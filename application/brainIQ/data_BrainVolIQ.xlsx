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dg18\Desktop\"/>
    </mc:Choice>
  </mc:AlternateContent>
  <xr:revisionPtr revIDLastSave="0" documentId="13_ncr:1_{131341D5-C820-4107-8D65-5D12A2474761}" xr6:coauthVersionLast="47" xr6:coauthVersionMax="47" xr10:uidLastSave="{00000000-0000-0000-0000-000000000000}"/>
  <bookViews>
    <workbookView xWindow="1035" yWindow="1875" windowWidth="23010" windowHeight="15435" activeTab="7" xr2:uid="{00000000-000D-0000-FFFF-FFFF00000000}"/>
  </bookViews>
  <sheets>
    <sheet name="FSIQ" sheetId="1" r:id="rId1"/>
    <sheet name="verbal" sheetId="2" r:id="rId2"/>
    <sheet name="performance" sheetId="3" r:id="rId3"/>
    <sheet name="RVE_FSIQ" sheetId="7" r:id="rId4"/>
    <sheet name="RVE_VIQ" sheetId="5" r:id="rId5"/>
    <sheet name="RVE_PIQ" sheetId="6" r:id="rId6"/>
    <sheet name="RVE_all" sheetId="13" r:id="rId7"/>
    <sheet name="Codebook" sheetId="1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Z453" i="13" l="1"/>
  <c r="Z451" i="13"/>
  <c r="Z438" i="13"/>
  <c r="Z437" i="13"/>
  <c r="Z436" i="13"/>
  <c r="Z435" i="13"/>
  <c r="Z434" i="13"/>
  <c r="Z433" i="13"/>
  <c r="Z432" i="13"/>
  <c r="Z431" i="13"/>
  <c r="Z430" i="13"/>
  <c r="Z429" i="13"/>
  <c r="Z427" i="13"/>
  <c r="Z426" i="13"/>
  <c r="Z425" i="13"/>
  <c r="Z424" i="13"/>
  <c r="Z423" i="13"/>
  <c r="Z414" i="13"/>
  <c r="Z413" i="13"/>
  <c r="Z412" i="13"/>
  <c r="Z411" i="13"/>
  <c r="Z409" i="13"/>
  <c r="Z408" i="13"/>
  <c r="Z405" i="13"/>
  <c r="Z404" i="13"/>
  <c r="Z403" i="13"/>
  <c r="Z402" i="13"/>
  <c r="Z401" i="13"/>
  <c r="Z400" i="13"/>
  <c r="Z399" i="13"/>
  <c r="Z398" i="13"/>
  <c r="Z395" i="13"/>
  <c r="Z394" i="13"/>
  <c r="Z389" i="13"/>
  <c r="Z388" i="13"/>
  <c r="Z387" i="13"/>
  <c r="Z386" i="13"/>
  <c r="Z385" i="13"/>
  <c r="Z384" i="13"/>
  <c r="Z383" i="13"/>
  <c r="Z382" i="13"/>
  <c r="Z381" i="13"/>
  <c r="Z380" i="13"/>
  <c r="Z379" i="13"/>
  <c r="Z378" i="13"/>
  <c r="Z377" i="13"/>
  <c r="Z374" i="13"/>
  <c r="Z373" i="13"/>
  <c r="Z363" i="13"/>
  <c r="Z360" i="13"/>
  <c r="Z359" i="13"/>
  <c r="Z356" i="13"/>
  <c r="Z355" i="13"/>
  <c r="Z354" i="13"/>
  <c r="Z350" i="13"/>
  <c r="Z348" i="13"/>
  <c r="Z347" i="13"/>
  <c r="Z346" i="13"/>
  <c r="Z343" i="13"/>
  <c r="Z341" i="13"/>
  <c r="Z340" i="13"/>
  <c r="Z325" i="13"/>
  <c r="Z324" i="13"/>
  <c r="Z323" i="13"/>
  <c r="Z322" i="13"/>
  <c r="Z319" i="13"/>
  <c r="Z318" i="13"/>
  <c r="Z317" i="13"/>
  <c r="Z316" i="13"/>
  <c r="Z315" i="13"/>
  <c r="Z314" i="13"/>
  <c r="Z313" i="13"/>
  <c r="Z310" i="13"/>
  <c r="Z309" i="13"/>
  <c r="Z308" i="13"/>
  <c r="Z307" i="13"/>
  <c r="Z306" i="13"/>
  <c r="Z301" i="13"/>
  <c r="Z298" i="13"/>
  <c r="Z297" i="13"/>
  <c r="Z293" i="13"/>
  <c r="Z292" i="13"/>
  <c r="Z291" i="13"/>
  <c r="Z290" i="13"/>
  <c r="Z289" i="13"/>
  <c r="Z287" i="13"/>
  <c r="Z286" i="13"/>
  <c r="Z276" i="13"/>
  <c r="Z275" i="13"/>
  <c r="Z270" i="13"/>
  <c r="Z269" i="13"/>
  <c r="Z268" i="13"/>
  <c r="Z267" i="13"/>
  <c r="Z266" i="13"/>
  <c r="Z265" i="13"/>
  <c r="Z264" i="13"/>
  <c r="Z263" i="13"/>
  <c r="Z262" i="13"/>
  <c r="Z260" i="13"/>
  <c r="Z259" i="13"/>
  <c r="Z258" i="13"/>
  <c r="Z257" i="13"/>
  <c r="Z256" i="13"/>
  <c r="Z255" i="13"/>
  <c r="Z251" i="13"/>
  <c r="Z250" i="13"/>
  <c r="Z237" i="13"/>
  <c r="Z231" i="13"/>
  <c r="Z230" i="13"/>
  <c r="Z229" i="13"/>
  <c r="Z228" i="13"/>
  <c r="Z227" i="13"/>
  <c r="Z226" i="13"/>
  <c r="Z225" i="13"/>
  <c r="Z222" i="13"/>
  <c r="Z219" i="13"/>
  <c r="Z215" i="13"/>
  <c r="Z213" i="13"/>
  <c r="Z209" i="13"/>
  <c r="Z207" i="13"/>
  <c r="Z206" i="13"/>
  <c r="Z205" i="13"/>
  <c r="Z203" i="13"/>
  <c r="Z202" i="13"/>
  <c r="Z201" i="13"/>
  <c r="Z200" i="13"/>
  <c r="Z199" i="13"/>
  <c r="Z198" i="13"/>
  <c r="Z197" i="13"/>
  <c r="Z196" i="13"/>
  <c r="Z195" i="13"/>
  <c r="Z194" i="13"/>
  <c r="Z193" i="13"/>
  <c r="Z191" i="13"/>
  <c r="Z190" i="13"/>
  <c r="Z188" i="13"/>
  <c r="Z187" i="13"/>
  <c r="Z186" i="13"/>
  <c r="Z185" i="13"/>
  <c r="Z184" i="13"/>
  <c r="Z183" i="13"/>
  <c r="Z182" i="13"/>
  <c r="Z181" i="13"/>
  <c r="Z180" i="13"/>
  <c r="Z175" i="13"/>
  <c r="Z172" i="13"/>
  <c r="Z169" i="13"/>
  <c r="Z168" i="13"/>
  <c r="Z167" i="13"/>
  <c r="Z166" i="13"/>
  <c r="Z165" i="13"/>
  <c r="Z164" i="13"/>
  <c r="Z161" i="13"/>
  <c r="Z160" i="13"/>
  <c r="Z159" i="13"/>
  <c r="Z158" i="13"/>
  <c r="Z157" i="13"/>
  <c r="Z153" i="13"/>
  <c r="Z150" i="13"/>
  <c r="Z149" i="13"/>
  <c r="Z148" i="13"/>
  <c r="Z147" i="13"/>
  <c r="Z146" i="13"/>
  <c r="Z145" i="13"/>
  <c r="Z144" i="13"/>
  <c r="Z143" i="13"/>
  <c r="Z142" i="13"/>
  <c r="Z141" i="13"/>
  <c r="Z140" i="13"/>
  <c r="Z137" i="13"/>
  <c r="Z136" i="13"/>
  <c r="Z135" i="13"/>
  <c r="Z134" i="13"/>
  <c r="Z133" i="13"/>
  <c r="Z132" i="13"/>
  <c r="Z131" i="13"/>
  <c r="Z130" i="13"/>
  <c r="Z129" i="13"/>
  <c r="Z128" i="13"/>
  <c r="Z127" i="13"/>
  <c r="Z126" i="13"/>
  <c r="Z123" i="13"/>
  <c r="Z122" i="13"/>
  <c r="Z121" i="13"/>
  <c r="Z120" i="13"/>
  <c r="Z119" i="13"/>
  <c r="Z115" i="13"/>
  <c r="Z114" i="13"/>
  <c r="Z113" i="13"/>
  <c r="Z111" i="13"/>
  <c r="Z103" i="13"/>
  <c r="Z102" i="13"/>
  <c r="Z101" i="13"/>
  <c r="Z99" i="13"/>
  <c r="Z97" i="13"/>
  <c r="Z96" i="13"/>
  <c r="Z95" i="13"/>
  <c r="Z94" i="13"/>
  <c r="Z89" i="13"/>
  <c r="Z86" i="13"/>
  <c r="Z83" i="13"/>
  <c r="Z82" i="13"/>
  <c r="Z81" i="13"/>
  <c r="Z80" i="13"/>
  <c r="Z79" i="13"/>
  <c r="Z78" i="13"/>
  <c r="Z77" i="13"/>
  <c r="Z76" i="13"/>
  <c r="Z75" i="13"/>
  <c r="Z74" i="13"/>
  <c r="Z73" i="13"/>
  <c r="Z71" i="13"/>
  <c r="Z70" i="13"/>
  <c r="Z69" i="13"/>
  <c r="Z68" i="13"/>
  <c r="Z66" i="13"/>
  <c r="Z65" i="13"/>
  <c r="Z64" i="13"/>
  <c r="Z63" i="13"/>
  <c r="Z62" i="13"/>
  <c r="Z61" i="13"/>
  <c r="Z60" i="13"/>
  <c r="Z59" i="13"/>
  <c r="Z58" i="13"/>
  <c r="Z54" i="13"/>
  <c r="Z51" i="13"/>
  <c r="Z40" i="13"/>
  <c r="Z36" i="13"/>
  <c r="Z35" i="13"/>
  <c r="Z33" i="13"/>
  <c r="Z32" i="13"/>
  <c r="Z26" i="13"/>
  <c r="Z25" i="13"/>
  <c r="Z24" i="13"/>
  <c r="Z23" i="13"/>
  <c r="Z22" i="13"/>
  <c r="Z21" i="13"/>
  <c r="Z20" i="13"/>
  <c r="Z19" i="13"/>
  <c r="Z18" i="13"/>
  <c r="Z15" i="13"/>
  <c r="Z13" i="13"/>
  <c r="Z11" i="13"/>
  <c r="Z9" i="13"/>
  <c r="Z8" i="13"/>
  <c r="Z7" i="13"/>
  <c r="Z6" i="13"/>
  <c r="Z5" i="13"/>
  <c r="Z2" i="13"/>
  <c r="AA4" i="6"/>
  <c r="AA6" i="6"/>
  <c r="AA10" i="6"/>
  <c r="AA11" i="6"/>
  <c r="AA12" i="6"/>
  <c r="AA15" i="6"/>
  <c r="AA16" i="6"/>
  <c r="AA19" i="6"/>
  <c r="AA29" i="6"/>
  <c r="AA30" i="6"/>
  <c r="AA33" i="6"/>
  <c r="AA34" i="6"/>
  <c r="AA35" i="6"/>
  <c r="AA36" i="6"/>
  <c r="AA37" i="6"/>
  <c r="AA38" i="6"/>
  <c r="AA39" i="6"/>
  <c r="AA40" i="6"/>
  <c r="AA41" i="6"/>
  <c r="AA42" i="6"/>
  <c r="AA43" i="6"/>
  <c r="AA44" i="6"/>
  <c r="AA45" i="6"/>
  <c r="AA50" i="6"/>
  <c r="AA51" i="6"/>
  <c r="AA54" i="6"/>
  <c r="AA55" i="6"/>
  <c r="AA56" i="6"/>
  <c r="AA57" i="6"/>
  <c r="AA58" i="6"/>
  <c r="AA59" i="6"/>
  <c r="AA60" i="6"/>
  <c r="AA61" i="6"/>
  <c r="AA64" i="6"/>
  <c r="AA65" i="6"/>
  <c r="AA67" i="6"/>
  <c r="AA68" i="6"/>
  <c r="AA69" i="6"/>
  <c r="AA70" i="6"/>
  <c r="AA79" i="6"/>
  <c r="AA80" i="6"/>
  <c r="AA81" i="6"/>
  <c r="AA82" i="6"/>
  <c r="AA83" i="6"/>
  <c r="AA85" i="6"/>
  <c r="AA86" i="6"/>
  <c r="AA87" i="6"/>
  <c r="AA88" i="6"/>
  <c r="AA89" i="6"/>
  <c r="AA90" i="6"/>
  <c r="AA91" i="6"/>
  <c r="AA92" i="6"/>
  <c r="AA93" i="6"/>
  <c r="AA94" i="6"/>
  <c r="AA107" i="6"/>
  <c r="AA109" i="6"/>
  <c r="AA3" i="6"/>
  <c r="AA2" i="6"/>
  <c r="AA4" i="5"/>
  <c r="AA6" i="5"/>
  <c r="AA10" i="5"/>
  <c r="AA12" i="5"/>
  <c r="AA16" i="5"/>
  <c r="AA19" i="5"/>
  <c r="AA22" i="5"/>
  <c r="AA23" i="5"/>
  <c r="AA24" i="5"/>
  <c r="AA25" i="5"/>
  <c r="AA26" i="5"/>
  <c r="AA27" i="5"/>
  <c r="AA28" i="5"/>
  <c r="AA34" i="5"/>
  <c r="AA47" i="5"/>
  <c r="AA48" i="5"/>
  <c r="AA52" i="5"/>
  <c r="AA53" i="5"/>
  <c r="AA54" i="5"/>
  <c r="AA55" i="5"/>
  <c r="AA56" i="5"/>
  <c r="AA57" i="5"/>
  <c r="AA59" i="5"/>
  <c r="AA60" i="5"/>
  <c r="AA61" i="5"/>
  <c r="AA62" i="5"/>
  <c r="AA63" i="5"/>
  <c r="AA64" i="5"/>
  <c r="AA65" i="5"/>
  <c r="AA66" i="5"/>
  <c r="AA67" i="5"/>
  <c r="AA72" i="5"/>
  <c r="AA73" i="5"/>
  <c r="AA83" i="5"/>
  <c r="AA84" i="5"/>
  <c r="AA86" i="5"/>
  <c r="AA87" i="5"/>
  <c r="AA88" i="5"/>
  <c r="AA89" i="5"/>
  <c r="AA90" i="5"/>
  <c r="AA94" i="5"/>
  <c r="AA95" i="5"/>
  <c r="AA98" i="5"/>
  <c r="AA103" i="5"/>
  <c r="AA104" i="5"/>
  <c r="AA105" i="5"/>
  <c r="AA106" i="5"/>
  <c r="AA107" i="5"/>
  <c r="AA110" i="5"/>
  <c r="AA111" i="5"/>
  <c r="AA112" i="5"/>
  <c r="AA113" i="5"/>
  <c r="AA114" i="5"/>
  <c r="AA115" i="5"/>
  <c r="AA116" i="5"/>
  <c r="AA119" i="5"/>
  <c r="AA120" i="5"/>
  <c r="AA121" i="5"/>
  <c r="AA122" i="5"/>
  <c r="AA137" i="5"/>
  <c r="AA138" i="5"/>
  <c r="AA140" i="5"/>
  <c r="AA3" i="5"/>
  <c r="AA2" i="5"/>
  <c r="Z203" i="7"/>
  <c r="Z202" i="7"/>
  <c r="Z201" i="7"/>
  <c r="Z200" i="7"/>
  <c r="Z166" i="7"/>
  <c r="Z113" i="7"/>
  <c r="Z199" i="7"/>
  <c r="Z198" i="7"/>
  <c r="Z197" i="7"/>
  <c r="Z196" i="7"/>
  <c r="Z195" i="7"/>
  <c r="Z194" i="7"/>
  <c r="Z193" i="7"/>
  <c r="Z191" i="7"/>
  <c r="Z190" i="7"/>
  <c r="Z188" i="7"/>
  <c r="Z187" i="7"/>
  <c r="Z186" i="7"/>
  <c r="Z185" i="7"/>
  <c r="Z184" i="7"/>
  <c r="Z183" i="7"/>
  <c r="Z182" i="7"/>
  <c r="Z181" i="7"/>
  <c r="Z180" i="7"/>
  <c r="Z175" i="7"/>
  <c r="Z172" i="7"/>
  <c r="Z169" i="7"/>
  <c r="Z168" i="7"/>
  <c r="Z167" i="7"/>
  <c r="Z165" i="7"/>
  <c r="Z164" i="7"/>
  <c r="Z161" i="7"/>
  <c r="Z160" i="7"/>
  <c r="Z159" i="7"/>
  <c r="Z158" i="7"/>
  <c r="Z157" i="7"/>
  <c r="Z153" i="7"/>
  <c r="Z150" i="7"/>
  <c r="Z149" i="7"/>
  <c r="Z148" i="7"/>
  <c r="Z147" i="7"/>
  <c r="Z146" i="7"/>
  <c r="Z145" i="7"/>
  <c r="Z144" i="7"/>
  <c r="Z143" i="7"/>
  <c r="Z142" i="7"/>
  <c r="Z141" i="7"/>
  <c r="Z140" i="7"/>
  <c r="Z137" i="7"/>
  <c r="Z136" i="7"/>
  <c r="Z135" i="7"/>
  <c r="Z134" i="7"/>
  <c r="Z133" i="7"/>
  <c r="Z132" i="7"/>
  <c r="Z131" i="7"/>
  <c r="Z130" i="7"/>
  <c r="Z129" i="7"/>
  <c r="Z128" i="7"/>
  <c r="Z127" i="7"/>
  <c r="Z126" i="7"/>
  <c r="Z123" i="7"/>
  <c r="Z122" i="7"/>
  <c r="Z121" i="7"/>
  <c r="Z120" i="7"/>
  <c r="Z119" i="7"/>
  <c r="Z115" i="7"/>
  <c r="Z114" i="7"/>
  <c r="Z111" i="7"/>
  <c r="Z103" i="7"/>
  <c r="Z102" i="7"/>
  <c r="Z101" i="7"/>
  <c r="Z99" i="7"/>
  <c r="Z97" i="7"/>
  <c r="Z96" i="7"/>
  <c r="Z95" i="7"/>
  <c r="Z94" i="7"/>
  <c r="Z89" i="7"/>
  <c r="Z86" i="7"/>
  <c r="Z83" i="7"/>
  <c r="Z82" i="7"/>
  <c r="Z81" i="7"/>
  <c r="Z80" i="7"/>
  <c r="Z79" i="7"/>
  <c r="Z78" i="7"/>
  <c r="Z77" i="7"/>
  <c r="Z76" i="7"/>
  <c r="Z75" i="7"/>
  <c r="Z74" i="7"/>
  <c r="Z73" i="7"/>
  <c r="Z71" i="7"/>
  <c r="Z70" i="7"/>
  <c r="Z69" i="7"/>
  <c r="Z68" i="7"/>
  <c r="Z66" i="7"/>
  <c r="Z65" i="7"/>
  <c r="Z64" i="7"/>
  <c r="Z63" i="7"/>
  <c r="Z62" i="7"/>
  <c r="Z61" i="7"/>
  <c r="Z60" i="7"/>
  <c r="Z59" i="7"/>
  <c r="Z58" i="7"/>
  <c r="Z54" i="7"/>
  <c r="Z51" i="7"/>
  <c r="Z40" i="7"/>
  <c r="Z36" i="7"/>
  <c r="Z35" i="7"/>
  <c r="Z33" i="7"/>
  <c r="Z32" i="7"/>
  <c r="Z26" i="7"/>
  <c r="Z25" i="7"/>
  <c r="Z24" i="7"/>
  <c r="Z23" i="7"/>
  <c r="Z22" i="7"/>
  <c r="Z21" i="7"/>
  <c r="Z20" i="7"/>
  <c r="Z19" i="7"/>
  <c r="Z18" i="7"/>
  <c r="Z15" i="7"/>
  <c r="Z13" i="7"/>
  <c r="Z11" i="7"/>
  <c r="Z9" i="7"/>
  <c r="Z8" i="7"/>
  <c r="Z7" i="7"/>
  <c r="Z6" i="7"/>
  <c r="Z5" i="7"/>
  <c r="Z2" i="7"/>
  <c r="Y82" i="3"/>
  <c r="Y80" i="3"/>
  <c r="Y74" i="3"/>
  <c r="Y73" i="3"/>
  <c r="Y72" i="3"/>
  <c r="Y71" i="3"/>
  <c r="Y70" i="3"/>
  <c r="Y69" i="3"/>
  <c r="Y68" i="3"/>
  <c r="Y67" i="3"/>
  <c r="Y66" i="3"/>
  <c r="Y65" i="3"/>
  <c r="Y64" i="3"/>
  <c r="Y63" i="3"/>
  <c r="Y62" i="3"/>
  <c r="Y61" i="3"/>
  <c r="Y60" i="3"/>
  <c r="Y58" i="3"/>
  <c r="Y57" i="3"/>
  <c r="Y54" i="3"/>
  <c r="Y53" i="3"/>
  <c r="Y52" i="3"/>
  <c r="Y51" i="3"/>
  <c r="Y50" i="3"/>
  <c r="Y49" i="3"/>
  <c r="Y48" i="3"/>
  <c r="Y45" i="3"/>
  <c r="Y44" i="3"/>
  <c r="Y39" i="3"/>
  <c r="Y38" i="3"/>
  <c r="Y37" i="3"/>
  <c r="Y36" i="3"/>
  <c r="Y35" i="3"/>
  <c r="Y34" i="3"/>
  <c r="Y33" i="3"/>
  <c r="Y32" i="3"/>
  <c r="Y31" i="3"/>
  <c r="Y30" i="3"/>
  <c r="Y29" i="3"/>
  <c r="Y28" i="3"/>
  <c r="Y27" i="3"/>
  <c r="Y24" i="3"/>
  <c r="Y23" i="3"/>
  <c r="Y15" i="3"/>
  <c r="Y12" i="3"/>
  <c r="Y11" i="3"/>
  <c r="Y10" i="3"/>
  <c r="Y8" i="3"/>
  <c r="Y6" i="3"/>
  <c r="Y4" i="3"/>
  <c r="Y3" i="3"/>
  <c r="Y2" i="3"/>
  <c r="Y115" i="2"/>
  <c r="Y114" i="2"/>
  <c r="Y113" i="2"/>
  <c r="Y104" i="2"/>
  <c r="Y103" i="2"/>
  <c r="Y102" i="2"/>
  <c r="Y101" i="2"/>
  <c r="Y100" i="2"/>
  <c r="Y99" i="2"/>
  <c r="Y98" i="2"/>
  <c r="Y97" i="2"/>
  <c r="Y95" i="2"/>
  <c r="Y94" i="2"/>
  <c r="Y93" i="2"/>
  <c r="Y92" i="2"/>
  <c r="Y89" i="2"/>
  <c r="Y88" i="2"/>
  <c r="Y84" i="2"/>
  <c r="Y83" i="2"/>
  <c r="Y82" i="2"/>
  <c r="Y81" i="2"/>
  <c r="Y80" i="2"/>
  <c r="Y78" i="2"/>
  <c r="Y77" i="2"/>
  <c r="Y67" i="2"/>
  <c r="Y66" i="2"/>
  <c r="Y61" i="2"/>
  <c r="Y60" i="2"/>
  <c r="Y59" i="2"/>
  <c r="Y58" i="2"/>
  <c r="Y57" i="2"/>
  <c r="Y56" i="2"/>
  <c r="Y55" i="2"/>
  <c r="Y54" i="2"/>
  <c r="Y53" i="2"/>
  <c r="Y52" i="2"/>
  <c r="Y51" i="2"/>
  <c r="Y50" i="2"/>
  <c r="Y49" i="2"/>
  <c r="Y48" i="2"/>
  <c r="Y47" i="2"/>
  <c r="Y43" i="2"/>
  <c r="Y42" i="2"/>
  <c r="Y38" i="2"/>
  <c r="Y31" i="2"/>
  <c r="Y27" i="2"/>
  <c r="Y26" i="2"/>
  <c r="Y25" i="2"/>
  <c r="Y24" i="2"/>
  <c r="Y23" i="2"/>
  <c r="Y22" i="2"/>
  <c r="Y21" i="2"/>
  <c r="Y20" i="2"/>
  <c r="Y19" i="2"/>
  <c r="Y16" i="2"/>
  <c r="Y14" i="2"/>
  <c r="Y12" i="2"/>
  <c r="Y10" i="2"/>
  <c r="Y6" i="2"/>
  <c r="Y4" i="2"/>
  <c r="Y3" i="2"/>
  <c r="Y2" i="2"/>
  <c r="Y82" i="1"/>
  <c r="Y81" i="1"/>
  <c r="Y80" i="1"/>
  <c r="Y36" i="1"/>
  <c r="Y35" i="1"/>
  <c r="Y195" i="1"/>
  <c r="Y194" i="1"/>
  <c r="Y193" i="1"/>
  <c r="Y192" i="1"/>
  <c r="Y191" i="1"/>
  <c r="Y190" i="1"/>
  <c r="Y189" i="1"/>
  <c r="Y187" i="1"/>
  <c r="Y186" i="1"/>
  <c r="Y184" i="1"/>
  <c r="Y183" i="1"/>
  <c r="Y182" i="1"/>
  <c r="Y181" i="1"/>
  <c r="Y180" i="1"/>
  <c r="Y179" i="1"/>
  <c r="Y178" i="1"/>
  <c r="Y177" i="1"/>
  <c r="Y176" i="1"/>
  <c r="Y171" i="1"/>
  <c r="Y168" i="1"/>
  <c r="Y165" i="1"/>
  <c r="Y164" i="1"/>
  <c r="Y163" i="1"/>
  <c r="Y162" i="1"/>
  <c r="Y161" i="1"/>
  <c r="Y159" i="1"/>
  <c r="Y158" i="1"/>
  <c r="Y157" i="1"/>
  <c r="Y156" i="1"/>
  <c r="Y155" i="1"/>
  <c r="Y151" i="1"/>
  <c r="Y148" i="1"/>
  <c r="Y147" i="1"/>
  <c r="Y146" i="1"/>
  <c r="Y145" i="1"/>
  <c r="Y144" i="1"/>
  <c r="Y143" i="1"/>
  <c r="Y142" i="1"/>
  <c r="Y141" i="1"/>
  <c r="Y140" i="1"/>
  <c r="Y139" i="1"/>
  <c r="Y138" i="1"/>
  <c r="Y135" i="1"/>
  <c r="Y134" i="1"/>
  <c r="Y133" i="1"/>
  <c r="Y132" i="1"/>
  <c r="Y131" i="1"/>
  <c r="Y130" i="1"/>
  <c r="Y129" i="1"/>
  <c r="Y128" i="1"/>
  <c r="Y127" i="1"/>
  <c r="Y126" i="1"/>
  <c r="Y125" i="1"/>
  <c r="Y124" i="1"/>
  <c r="Y121" i="1"/>
  <c r="Y120" i="1"/>
  <c r="Y119" i="1"/>
  <c r="Y118" i="1"/>
  <c r="Y117" i="1"/>
  <c r="Y113" i="1"/>
  <c r="Y112" i="1"/>
  <c r="Y110" i="1"/>
  <c r="Y102" i="1"/>
  <c r="Y101" i="1"/>
  <c r="Y100" i="1"/>
  <c r="Y98" i="1"/>
  <c r="Y96" i="1"/>
  <c r="Y95" i="1"/>
  <c r="Y94" i="1"/>
  <c r="Y93" i="1"/>
  <c r="Y88" i="1"/>
  <c r="Y85" i="1"/>
  <c r="Y79" i="1"/>
  <c r="Y78" i="1"/>
  <c r="Y77" i="1"/>
  <c r="Y76" i="1"/>
  <c r="Y75" i="1"/>
  <c r="Y74" i="1"/>
  <c r="Y73" i="1"/>
  <c r="Y72" i="1"/>
  <c r="Y71" i="1"/>
  <c r="Y70" i="1"/>
  <c r="Y69" i="1"/>
  <c r="Y68" i="1"/>
  <c r="Y66" i="1"/>
  <c r="Y65" i="1"/>
  <c r="Y64" i="1"/>
  <c r="Y63" i="1"/>
  <c r="Y62" i="1"/>
  <c r="Y61" i="1"/>
  <c r="Y60" i="1"/>
  <c r="Y59" i="1"/>
  <c r="Y58" i="1"/>
  <c r="Y54" i="1"/>
  <c r="Y51" i="1"/>
  <c r="Y40" i="1"/>
  <c r="Y33" i="1"/>
  <c r="Y32" i="1"/>
  <c r="Y26" i="1"/>
  <c r="Y25" i="1"/>
  <c r="Y24" i="1"/>
  <c r="Y23" i="1"/>
  <c r="Y22" i="1"/>
  <c r="Y21" i="1"/>
  <c r="Y20" i="1"/>
  <c r="Y19" i="1"/>
  <c r="Y18" i="1"/>
  <c r="Y15" i="1"/>
  <c r="Y13" i="1"/>
  <c r="Y11" i="1"/>
  <c r="Y9" i="1"/>
  <c r="Y8" i="1"/>
  <c r="Y7" i="1"/>
  <c r="Y6" i="1"/>
  <c r="Y5" i="1"/>
  <c r="Y2" i="1"/>
</calcChain>
</file>

<file path=xl/sharedStrings.xml><?xml version="1.0" encoding="utf-8"?>
<sst xmlns="http://schemas.openxmlformats.org/spreadsheetml/2006/main" count="19777" uniqueCount="1252">
  <si>
    <t>Study</t>
  </si>
  <si>
    <t>StudyID</t>
  </si>
  <si>
    <t>EffectSizeID</t>
  </si>
  <si>
    <t>RevCov</t>
  </si>
  <si>
    <t>Year</t>
  </si>
  <si>
    <t>SampleType</t>
  </si>
  <si>
    <t>AgeCat</t>
  </si>
  <si>
    <t>AgeMean</t>
  </si>
  <si>
    <t>AgeMeanSD</t>
  </si>
  <si>
    <t>SexCat</t>
  </si>
  <si>
    <t>r</t>
  </si>
  <si>
    <t>Page</t>
  </si>
  <si>
    <t>BVt</t>
  </si>
  <si>
    <t>ToBVM</t>
  </si>
  <si>
    <t>IQdomain</t>
  </si>
  <si>
    <t>TestMeasure</t>
  </si>
  <si>
    <t>sampleSD_IQ</t>
  </si>
  <si>
    <t>populationSD_IQ</t>
  </si>
  <si>
    <t>u_ratio</t>
  </si>
  <si>
    <t>NoT</t>
  </si>
  <si>
    <t>NoD</t>
  </si>
  <si>
    <t>CorrG</t>
  </si>
  <si>
    <t>RatinG</t>
  </si>
  <si>
    <t>NoC</t>
  </si>
  <si>
    <t>StudyGoal</t>
  </si>
  <si>
    <t>ToR</t>
  </si>
  <si>
    <t>ID001</t>
  </si>
  <si>
    <t>ES001</t>
  </si>
  <si>
    <t>patients</t>
  </si>
  <si>
    <t>adults</t>
  </si>
  <si>
    <t>overall</t>
  </si>
  <si>
    <t>NA</t>
  </si>
  <si>
    <t>CT</t>
  </si>
  <si>
    <t>FSIQ</t>
  </si>
  <si>
    <t>other</t>
  </si>
  <si>
    <t>reported</t>
  </si>
  <si>
    <t>ID002</t>
  </si>
  <si>
    <t>ES002</t>
  </si>
  <si>
    <t>healthy</t>
  </si>
  <si>
    <t>female</t>
  </si>
  <si>
    <t>MRI</t>
  </si>
  <si>
    <t>correlation assessment</t>
  </si>
  <si>
    <t>ES003</t>
  </si>
  <si>
    <t>male</t>
  </si>
  <si>
    <t>ID003</t>
  </si>
  <si>
    <t>ES004</t>
  </si>
  <si>
    <t>ICV</t>
  </si>
  <si>
    <t>ES005</t>
  </si>
  <si>
    <t>ID004</t>
  </si>
  <si>
    <t>ES006</t>
  </si>
  <si>
    <t>TBV</t>
  </si>
  <si>
    <t>fluid</t>
  </si>
  <si>
    <t>ID005</t>
  </si>
  <si>
    <t>ES007</t>
  </si>
  <si>
    <t>children</t>
  </si>
  <si>
    <t>Wickett et al. (1994)</t>
  </si>
  <si>
    <t>ID006</t>
  </si>
  <si>
    <t>ES008</t>
  </si>
  <si>
    <t>Egan et al. (1995)</t>
  </si>
  <si>
    <t>ES009</t>
  </si>
  <si>
    <t>ID008</t>
  </si>
  <si>
    <t>ES010</t>
  </si>
  <si>
    <t>mixed</t>
  </si>
  <si>
    <t>PC</t>
  </si>
  <si>
    <t>ID009</t>
  </si>
  <si>
    <t>ES011</t>
  </si>
  <si>
    <t>Raz et al. (1995)</t>
  </si>
  <si>
    <t>ID010</t>
  </si>
  <si>
    <t>ES012</t>
  </si>
  <si>
    <t>ID011</t>
  </si>
  <si>
    <t>ES013</t>
  </si>
  <si>
    <t>Reiss et al. (1995)</t>
  </si>
  <si>
    <t>ID012</t>
  </si>
  <si>
    <t>ES014</t>
  </si>
  <si>
    <t>ES015</t>
  </si>
  <si>
    <t>ID013</t>
  </si>
  <si>
    <t>ES016</t>
  </si>
  <si>
    <t>unknown FS</t>
  </si>
  <si>
    <t>ES017</t>
  </si>
  <si>
    <t>ID014</t>
  </si>
  <si>
    <t>ES018</t>
  </si>
  <si>
    <t>ID015</t>
  </si>
  <si>
    <t>ES019</t>
  </si>
  <si>
    <t>ID016</t>
  </si>
  <si>
    <t>ES020</t>
  </si>
  <si>
    <t>ID017</t>
  </si>
  <si>
    <t>ES021</t>
  </si>
  <si>
    <t>ES022</t>
  </si>
  <si>
    <t>ID018</t>
  </si>
  <si>
    <t>ES023</t>
  </si>
  <si>
    <t>ES024</t>
  </si>
  <si>
    <t>ID019</t>
  </si>
  <si>
    <t>ES025</t>
  </si>
  <si>
    <t>ES026</t>
  </si>
  <si>
    <t>Wickett et al. (2000)</t>
  </si>
  <si>
    <t>ID020</t>
  </si>
  <si>
    <t>ES027</t>
  </si>
  <si>
    <t>ID021</t>
  </si>
  <si>
    <t>ES028</t>
  </si>
  <si>
    <t>ES029</t>
  </si>
  <si>
    <t>ID022</t>
  </si>
  <si>
    <t>ES030</t>
  </si>
  <si>
    <t>ID023</t>
  </si>
  <si>
    <t>ES031</t>
  </si>
  <si>
    <t>ID024</t>
  </si>
  <si>
    <t>ES032</t>
  </si>
  <si>
    <t>ES033</t>
  </si>
  <si>
    <t>ID025</t>
  </si>
  <si>
    <t>ES034</t>
  </si>
  <si>
    <t>ES035</t>
  </si>
  <si>
    <t>Castellanos et al. (2001)</t>
  </si>
  <si>
    <t>ID026</t>
  </si>
  <si>
    <t>ES036</t>
  </si>
  <si>
    <t>ID027</t>
  </si>
  <si>
    <t>ES037</t>
  </si>
  <si>
    <t>RSPM</t>
  </si>
  <si>
    <t>ID028</t>
  </si>
  <si>
    <t>ES038</t>
  </si>
  <si>
    <t>ES039</t>
  </si>
  <si>
    <t>ES040</t>
  </si>
  <si>
    <t>ID029</t>
  </si>
  <si>
    <t>ES041</t>
  </si>
  <si>
    <t>ID030</t>
  </si>
  <si>
    <t>ES043</t>
  </si>
  <si>
    <t>ID031</t>
  </si>
  <si>
    <t>ES044</t>
  </si>
  <si>
    <t>ES045</t>
  </si>
  <si>
    <t>ES046</t>
  </si>
  <si>
    <t>ES047</t>
  </si>
  <si>
    <t>ES048</t>
  </si>
  <si>
    <t>ES049</t>
  </si>
  <si>
    <t>ID032</t>
  </si>
  <si>
    <t>ES050</t>
  </si>
  <si>
    <t>ID033</t>
  </si>
  <si>
    <t>ES051</t>
  </si>
  <si>
    <t>ES052</t>
  </si>
  <si>
    <t>Collinson et al. (2003)</t>
  </si>
  <si>
    <t>ID034</t>
  </si>
  <si>
    <t>ES053</t>
  </si>
  <si>
    <t>ES054</t>
  </si>
  <si>
    <t>ID035</t>
  </si>
  <si>
    <t>ES055</t>
  </si>
  <si>
    <t>Ivanovic et al. (2004)</t>
  </si>
  <si>
    <t>ID036</t>
  </si>
  <si>
    <t>ES056</t>
  </si>
  <si>
    <t>ES057</t>
  </si>
  <si>
    <t>ID037</t>
  </si>
  <si>
    <t>ES058</t>
  </si>
  <si>
    <t>Isaacs et al. (2004, 2009)</t>
  </si>
  <si>
    <t>ID038</t>
  </si>
  <si>
    <t>ES059</t>
  </si>
  <si>
    <t>Wechsler FS</t>
  </si>
  <si>
    <t>ES060</t>
  </si>
  <si>
    <t>ES061</t>
  </si>
  <si>
    <t>ID039</t>
  </si>
  <si>
    <t>ES062</t>
  </si>
  <si>
    <t>ES063</t>
  </si>
  <si>
    <t>Rojas et al. (2004)</t>
  </si>
  <si>
    <t>ID040</t>
  </si>
  <si>
    <t>ES064</t>
  </si>
  <si>
    <t>ES065</t>
  </si>
  <si>
    <t>ID041</t>
  </si>
  <si>
    <t>ES066</t>
  </si>
  <si>
    <t>ID042</t>
  </si>
  <si>
    <t>ES067</t>
  </si>
  <si>
    <t>ES068</t>
  </si>
  <si>
    <t>ID043</t>
  </si>
  <si>
    <t>ES069</t>
  </si>
  <si>
    <t>ES070</t>
  </si>
  <si>
    <t>Staff et al. (2006)</t>
  </si>
  <si>
    <t>ID044</t>
  </si>
  <si>
    <t>ES071</t>
  </si>
  <si>
    <t>ID045</t>
  </si>
  <si>
    <t>ES072</t>
  </si>
  <si>
    <t>ES073</t>
  </si>
  <si>
    <t>ES074</t>
  </si>
  <si>
    <t>Rojas et al. (2006)</t>
  </si>
  <si>
    <t>ID046</t>
  </si>
  <si>
    <t>ES075</t>
  </si>
  <si>
    <t>ES076</t>
  </si>
  <si>
    <t>ID047</t>
  </si>
  <si>
    <t>ES077</t>
  </si>
  <si>
    <t>ES078</t>
  </si>
  <si>
    <t>ID048</t>
  </si>
  <si>
    <t>ES079</t>
  </si>
  <si>
    <t>ID049</t>
  </si>
  <si>
    <t>ES080</t>
  </si>
  <si>
    <t>ID050</t>
  </si>
  <si>
    <t>ES081</t>
  </si>
  <si>
    <t>ES082</t>
  </si>
  <si>
    <t>ID051</t>
  </si>
  <si>
    <t>ES083</t>
  </si>
  <si>
    <t>ES084</t>
  </si>
  <si>
    <t>ID052</t>
  </si>
  <si>
    <t>ES085</t>
  </si>
  <si>
    <t>ES086</t>
  </si>
  <si>
    <t>ES087</t>
  </si>
  <si>
    <t>ES088</t>
  </si>
  <si>
    <t>ID053</t>
  </si>
  <si>
    <t>ES089</t>
  </si>
  <si>
    <t>ES090</t>
  </si>
  <si>
    <t>ID054</t>
  </si>
  <si>
    <t>ES091</t>
  </si>
  <si>
    <t>Raz et al. (2008)</t>
  </si>
  <si>
    <t>ID055</t>
  </si>
  <si>
    <t>ES092</t>
  </si>
  <si>
    <t>ES093</t>
  </si>
  <si>
    <t>ID056</t>
  </si>
  <si>
    <t>ES094</t>
  </si>
  <si>
    <t>ES095</t>
  </si>
  <si>
    <t>ID057</t>
  </si>
  <si>
    <t>ES096</t>
  </si>
  <si>
    <t>ES097</t>
  </si>
  <si>
    <t>ES098</t>
  </si>
  <si>
    <t>ID058</t>
  </si>
  <si>
    <t>ES099</t>
  </si>
  <si>
    <t>ID059</t>
  </si>
  <si>
    <t>ES100</t>
  </si>
  <si>
    <t>ID060</t>
  </si>
  <si>
    <t>ES101</t>
  </si>
  <si>
    <t>ES102</t>
  </si>
  <si>
    <t>ID061</t>
  </si>
  <si>
    <t>ES103</t>
  </si>
  <si>
    <t>ES104</t>
  </si>
  <si>
    <t>ES105</t>
  </si>
  <si>
    <t>ID062</t>
  </si>
  <si>
    <t>ES106</t>
  </si>
  <si>
    <t>ES107</t>
  </si>
  <si>
    <t>ID063</t>
  </si>
  <si>
    <t>ES108</t>
  </si>
  <si>
    <t>ES109</t>
  </si>
  <si>
    <t>Hogan et al. (2010)</t>
  </si>
  <si>
    <t>ID064</t>
  </si>
  <si>
    <t>ES110</t>
  </si>
  <si>
    <t>ID065</t>
  </si>
  <si>
    <t>ES111</t>
  </si>
  <si>
    <t>ES112</t>
  </si>
  <si>
    <t>ID066</t>
  </si>
  <si>
    <t>ES113</t>
  </si>
  <si>
    <t>VIQ+PIQ/2</t>
  </si>
  <si>
    <t>ID067</t>
  </si>
  <si>
    <t>ES114</t>
  </si>
  <si>
    <t>WRAT-III</t>
  </si>
  <si>
    <t>ES115</t>
  </si>
  <si>
    <t xml:space="preserve">Kievit et al. (2011)                    </t>
  </si>
  <si>
    <t>ID068</t>
  </si>
  <si>
    <t>ES116</t>
  </si>
  <si>
    <t>WAIS-III</t>
  </si>
  <si>
    <t>Tate et al. (2011)</t>
  </si>
  <si>
    <t>ID069</t>
  </si>
  <si>
    <t>ES117</t>
  </si>
  <si>
    <t xml:space="preserve">Burgaleta et al. (2012)                 </t>
  </si>
  <si>
    <t>ID070</t>
  </si>
  <si>
    <t>ES120</t>
  </si>
  <si>
    <t>composite of 9 tests from APM, DAT-AR-5, PMR-R</t>
  </si>
  <si>
    <t xml:space="preserve">Aydin et al. (2012)                     </t>
  </si>
  <si>
    <t>ID071</t>
  </si>
  <si>
    <t>ES121</t>
  </si>
  <si>
    <t>WISC-R</t>
  </si>
  <si>
    <t xml:space="preserve">Royle et al. (2013)                     </t>
  </si>
  <si>
    <t>ID084</t>
  </si>
  <si>
    <t>ES118</t>
  </si>
  <si>
    <t>ES119</t>
  </si>
  <si>
    <t>grey</t>
  </si>
  <si>
    <t>WISC-III</t>
  </si>
  <si>
    <t>two subtest version of WASI, WISC-III or WPPSI-R</t>
  </si>
  <si>
    <t>WASI</t>
  </si>
  <si>
    <t>E6</t>
  </si>
  <si>
    <t>WISC-R (Turkish)</t>
  </si>
  <si>
    <t>WISC-III (Dutch)</t>
  </si>
  <si>
    <t>WISC (Malayalam translation)</t>
  </si>
  <si>
    <t>Tanaka B Intelligence Scale</t>
  </si>
  <si>
    <t>WISC-IV</t>
  </si>
  <si>
    <t>MaleRatio</t>
  </si>
  <si>
    <t>SampleSD</t>
  </si>
  <si>
    <t>PopulationSD</t>
  </si>
  <si>
    <t>verbal</t>
  </si>
  <si>
    <t>WAIS verbal</t>
  </si>
  <si>
    <t>WAIS-R verbal</t>
  </si>
  <si>
    <t>Extended Vocabulary (V3)</t>
  </si>
  <si>
    <t>ID072</t>
  </si>
  <si>
    <t>ID073</t>
  </si>
  <si>
    <t>ID074</t>
  </si>
  <si>
    <t>ID075</t>
  </si>
  <si>
    <t>Quick IQ Test (Ammons et al. 1962)</t>
  </si>
  <si>
    <t>ID076</t>
  </si>
  <si>
    <t>WISC-III verbal</t>
  </si>
  <si>
    <t>ID077</t>
  </si>
  <si>
    <t>NART</t>
  </si>
  <si>
    <t>unknown verbal</t>
  </si>
  <si>
    <t>ID078</t>
  </si>
  <si>
    <t>WAIS-R verbal (z-scores, normalized for age &amp; gender)</t>
  </si>
  <si>
    <t>Shipley verbal</t>
  </si>
  <si>
    <t>Wechsler verbal</t>
  </si>
  <si>
    <t>ID079</t>
  </si>
  <si>
    <t>ID080</t>
  </si>
  <si>
    <t>WAIS-III verbal</t>
  </si>
  <si>
    <t>ID081</t>
  </si>
  <si>
    <t>WISC-III verbal comprehension</t>
  </si>
  <si>
    <t>ID082</t>
  </si>
  <si>
    <t>ID083</t>
  </si>
  <si>
    <t>WISC-R verbal</t>
  </si>
  <si>
    <t>Composite working memory - Reading Span, Rotation Span, Symmetrie Span</t>
  </si>
  <si>
    <t>composite working memory - Visual Short Term Memory, Spatial Working Memory, Running Span</t>
  </si>
  <si>
    <t>composite general verbal ability - DAT-VR, PMA-V, Reading Span, Letter Memory, Keep Track, Flanker (verbal + numerical), Simple Recognition verbal task</t>
  </si>
  <si>
    <t>performance</t>
  </si>
  <si>
    <t>WAIS performance</t>
  </si>
  <si>
    <t>WAIS-R performance</t>
  </si>
  <si>
    <t>WISC-III performance</t>
  </si>
  <si>
    <t>unknown performance</t>
  </si>
  <si>
    <t>Wechsler performance</t>
  </si>
  <si>
    <t>WAIS-III performance</t>
  </si>
  <si>
    <t>WISC-R performance</t>
  </si>
  <si>
    <t>Bigler et al. (2013)</t>
  </si>
  <si>
    <t>spatial</t>
  </si>
  <si>
    <t>composite general spatial ability - DAT-SR, PMA-S, Rotation of Solid Figures, Dot Matrix, 2-Backl task, spatial Simon task, spatial Simple Recognition</t>
  </si>
  <si>
    <t>composite language - Controlled Oral Word Association, Animal Naming, Boston Naming, Token Test, WRAT-R: Reading</t>
  </si>
  <si>
    <t>r_var</t>
  </si>
  <si>
    <t>zcor</t>
  </si>
  <si>
    <t>zcor_var</t>
  </si>
  <si>
    <t>ucor</t>
  </si>
  <si>
    <t>ucor_var</t>
  </si>
  <si>
    <t>rc</t>
  </si>
  <si>
    <t>NA; something from: visual reproduction, BIRT memory and information processing battery, speed of information processing, digit symbol, grooved pegboard, trail-making test, modified Wisconsin card sorting test</t>
  </si>
  <si>
    <t>CFIT</t>
  </si>
  <si>
    <t>WPPSI-R + BCS</t>
  </si>
  <si>
    <t>WISC-R or SB or BSID</t>
  </si>
  <si>
    <t>WISC-R or WAIS-R FS</t>
  </si>
  <si>
    <t>WISC-III or WISC-R or WAIS: voc, bd</t>
  </si>
  <si>
    <t>WISC-R or WISC-III: voc, bd</t>
  </si>
  <si>
    <t>Shipley total</t>
  </si>
  <si>
    <t>RPM + TrailsAB + WAIS-R: voc, bd, ds + VMRT + COWA</t>
  </si>
  <si>
    <t>WISC-III or WISC-IV</t>
  </si>
  <si>
    <t>WJIII (GIA)</t>
  </si>
  <si>
    <t>WJIII: thinking ability</t>
  </si>
  <si>
    <t>Shipley</t>
  </si>
  <si>
    <t>WAIS-III: ins, span, mr, bd, ss, ds</t>
  </si>
  <si>
    <t>WAIS-IV: voc, sim, mr, bd</t>
  </si>
  <si>
    <r>
      <rPr>
        <i/>
        <sz val="11"/>
        <color theme="1"/>
        <rFont val="Calibri"/>
        <family val="2"/>
        <scheme val="minor"/>
      </rPr>
      <t>g</t>
    </r>
    <r>
      <rPr>
        <sz val="11"/>
        <color theme="1"/>
        <rFont val="Calibri"/>
        <family val="2"/>
        <scheme val="minor"/>
      </rPr>
      <t>f - BOMAT, Number Series, Letter Sets</t>
    </r>
  </si>
  <si>
    <t>WAIS or WISC: voc, mr</t>
  </si>
  <si>
    <t>g - Conditional Exclusion, Emotional Differentiation, Emotional Identification, Face Memory, Letter N-Back, Line Orientation, Matrix Reasoning, Verbal Reasoning, Visual Object Learning, Word Memory, WRAT Reading</t>
  </si>
  <si>
    <t>WAIS-III: ds, bd, arith., span, inf</t>
  </si>
  <si>
    <t>gf - RAPM, Shipley Abstraction, Letter Sets, Spatial Relations, Paper Folding, Form Boards</t>
  </si>
  <si>
    <t>WRIT or WISC</t>
  </si>
  <si>
    <t>RCPM</t>
  </si>
  <si>
    <t>g - Penn Progressive Matrices, Peabody Vocabulary, Oral Reading Recognition,  List Sorting, Picture Sequence Memory, Penn line orientation, Dimensional Change Card Sorting, Word Memory, Salthouse Pattern Comparison, Flanker Task</t>
  </si>
  <si>
    <t>MSEL</t>
  </si>
  <si>
    <t>WASI: voc, mr</t>
  </si>
  <si>
    <t>g - Paired Associate Learning, Verbal Recognition Memory, Spatial Span Length, Simple Reaction Time, TrailAB, Grooved Pegboard task</t>
  </si>
  <si>
    <t>span, logical memory, visual reproduction, BIRT memory and information processing battery, speed of information processing, ds, grooved pegboard, trailt, verbal fluency, WCST</t>
  </si>
  <si>
    <t>g - Matrix Pattern Completion, Symbol Digit Substitution, Verbal-Numerical Reasoning, TrailB</t>
  </si>
  <si>
    <t>WISC-III or WAIS-III: voc, inf, bd, pic</t>
  </si>
  <si>
    <t>WAIS-III (Dutch): inf, arith, bd, ds</t>
  </si>
  <si>
    <t>GIT (short)</t>
  </si>
  <si>
    <t>g - Verbal Learning, ds, Conditional Exclusion, Spatial Working Memory, Facial Memory, TrailAB, Continuous Performance, ds, Letter-Number Seq, Balloon analog, Oral Word Association, Emotional Recognition</t>
  </si>
  <si>
    <t>MAB (5 subtests) + WAIS-R: ds</t>
  </si>
  <si>
    <t>WISC-R: voc</t>
  </si>
  <si>
    <t>MAB verbal</t>
  </si>
  <si>
    <t>NART or WAIS-R verbal</t>
  </si>
  <si>
    <t>WAIS-R: voc</t>
  </si>
  <si>
    <t>WAIS-R: voc + CVLT</t>
  </si>
  <si>
    <t>MAB: voc</t>
  </si>
  <si>
    <t>Verbal fluecy Task (produce words with S &amp; P)</t>
  </si>
  <si>
    <t>WISC-R or WAIS-R verbal</t>
  </si>
  <si>
    <t>WISC-III-R or WAIS-IV verbal</t>
  </si>
  <si>
    <t>WAIS-R or WAIS-III verbal</t>
  </si>
  <si>
    <t>WAIS-III: voc</t>
  </si>
  <si>
    <t>WAIS-III or WISC-III verbal</t>
  </si>
  <si>
    <t>WAIS-III orWISC-III verbal</t>
  </si>
  <si>
    <t>WASI verbal</t>
  </si>
  <si>
    <t>WISC-III or WISC-IV: VCI</t>
  </si>
  <si>
    <t>HAWIE-R verbal</t>
  </si>
  <si>
    <t>Vocabulary Test (V2 &amp; V3) from ETS Kit of factor-referenced cognitive tests</t>
  </si>
  <si>
    <t>MWT-B</t>
  </si>
  <si>
    <t>WJIII verbal ability</t>
  </si>
  <si>
    <t>COWA (verbal fluency)</t>
  </si>
  <si>
    <t>WISC-III or WAIS-III verbal</t>
  </si>
  <si>
    <t>WAIS or WISC: voc, sim</t>
  </si>
  <si>
    <t>WAIS-III: VCI</t>
  </si>
  <si>
    <t>WISC-III: WMI</t>
  </si>
  <si>
    <t>WAIS-IV: voc, sim</t>
  </si>
  <si>
    <t>WAIS-III: voc, sim</t>
  </si>
  <si>
    <t>PPVT-III</t>
  </si>
  <si>
    <t>composite working memory - RAVLT: immidate recall, delayed recall, delayed recognition + WAIS-III: ds</t>
  </si>
  <si>
    <t>MAB performance</t>
  </si>
  <si>
    <t>WAIS-R: bd</t>
  </si>
  <si>
    <t>WISC-R or WAIS-R performance</t>
  </si>
  <si>
    <t>WAIS-R or WAIS-III performance</t>
  </si>
  <si>
    <t>WISC-III-R or WAIS-IV performance</t>
  </si>
  <si>
    <t>WAIS-III or WISC-III performance</t>
  </si>
  <si>
    <t>WASI performance</t>
  </si>
  <si>
    <t>WISC-III or WISC-IV: PRI</t>
  </si>
  <si>
    <t>WISC-III: PRI</t>
  </si>
  <si>
    <t>HAWIE-R performance</t>
  </si>
  <si>
    <t>WISC-R: bd</t>
  </si>
  <si>
    <t>WISC-III or WAIS-III performance</t>
  </si>
  <si>
    <t>WAIS or WISC: pc, bd</t>
  </si>
  <si>
    <t>WISC-IV: PSI</t>
  </si>
  <si>
    <t>WAIS-II: POI</t>
  </si>
  <si>
    <t>WAIS-IV: mr, bd</t>
  </si>
  <si>
    <t>WAIS-III: mr, bd</t>
  </si>
  <si>
    <t>composite processing speed - TrailA, SCWT (I+II), WAIS-II: ds</t>
  </si>
  <si>
    <t>unknown selection from: visual reproduction, BIRT memory and information processing battery, speed of information processing, ds, grooved pegboard, trail, modified WCST</t>
  </si>
  <si>
    <t>ID111</t>
  </si>
  <si>
    <t>ID091</t>
  </si>
  <si>
    <t>ES126</t>
  </si>
  <si>
    <t>ES144</t>
  </si>
  <si>
    <t>ES122</t>
  </si>
  <si>
    <t>ES123</t>
  </si>
  <si>
    <t>ES124</t>
  </si>
  <si>
    <t>ES125</t>
  </si>
  <si>
    <t>ES127</t>
  </si>
  <si>
    <t>ES128</t>
  </si>
  <si>
    <t>ES129</t>
  </si>
  <si>
    <t>ES130</t>
  </si>
  <si>
    <t>ES131</t>
  </si>
  <si>
    <t>ES132</t>
  </si>
  <si>
    <t>ES133</t>
  </si>
  <si>
    <t>ES134</t>
  </si>
  <si>
    <t>ES135</t>
  </si>
  <si>
    <t>ES136</t>
  </si>
  <si>
    <t>ES137</t>
  </si>
  <si>
    <t>ES138</t>
  </si>
  <si>
    <t>ES139</t>
  </si>
  <si>
    <t>ES140</t>
  </si>
  <si>
    <t>ES141</t>
  </si>
  <si>
    <t>ES142</t>
  </si>
  <si>
    <t>ES143</t>
  </si>
  <si>
    <t>ES145</t>
  </si>
  <si>
    <t>ES146</t>
  </si>
  <si>
    <t>ES147</t>
  </si>
  <si>
    <t>ES148</t>
  </si>
  <si>
    <t>ES149</t>
  </si>
  <si>
    <t>ES150</t>
  </si>
  <si>
    <t>ES151</t>
  </si>
  <si>
    <t>ES152</t>
  </si>
  <si>
    <t>ES153</t>
  </si>
  <si>
    <t>ES154</t>
  </si>
  <si>
    <t>ES155</t>
  </si>
  <si>
    <t>ES156</t>
  </si>
  <si>
    <t>ES157</t>
  </si>
  <si>
    <t>ES158</t>
  </si>
  <si>
    <t>ES159</t>
  </si>
  <si>
    <t>ES160</t>
  </si>
  <si>
    <t>ES161</t>
  </si>
  <si>
    <t>ES162</t>
  </si>
  <si>
    <t>ES163</t>
  </si>
  <si>
    <t>ES164</t>
  </si>
  <si>
    <t>ES165</t>
  </si>
  <si>
    <t>ES166</t>
  </si>
  <si>
    <t>ES167</t>
  </si>
  <si>
    <t>ES168</t>
  </si>
  <si>
    <t>ES169</t>
  </si>
  <si>
    <t>ES170</t>
  </si>
  <si>
    <t>ES171</t>
  </si>
  <si>
    <t>ES172</t>
  </si>
  <si>
    <t>ES173</t>
  </si>
  <si>
    <t>ES174</t>
  </si>
  <si>
    <t>ES175</t>
  </si>
  <si>
    <t>ES176</t>
  </si>
  <si>
    <t>ES177</t>
  </si>
  <si>
    <t>ES178</t>
  </si>
  <si>
    <t>ES179</t>
  </si>
  <si>
    <t>ES180</t>
  </si>
  <si>
    <t>ES181</t>
  </si>
  <si>
    <t>ES182</t>
  </si>
  <si>
    <t>ES183</t>
  </si>
  <si>
    <t>ES184</t>
  </si>
  <si>
    <t>ES185</t>
  </si>
  <si>
    <t>ES186</t>
  </si>
  <si>
    <t>ES187</t>
  </si>
  <si>
    <t>ID085</t>
  </si>
  <si>
    <t>ID086</t>
  </si>
  <si>
    <t>ID087</t>
  </si>
  <si>
    <t>ID092</t>
  </si>
  <si>
    <t>ID088</t>
  </si>
  <si>
    <t>ID096</t>
  </si>
  <si>
    <t>ID089</t>
  </si>
  <si>
    <t>ID090</t>
  </si>
  <si>
    <t>ID093</t>
  </si>
  <si>
    <t>ID094</t>
  </si>
  <si>
    <t>ID095</t>
  </si>
  <si>
    <t>ID097</t>
  </si>
  <si>
    <t>ID098</t>
  </si>
  <si>
    <t>ID099</t>
  </si>
  <si>
    <t>ID100</t>
  </si>
  <si>
    <t>ID101</t>
  </si>
  <si>
    <t>ID102</t>
  </si>
  <si>
    <t>ID103</t>
  </si>
  <si>
    <t>ID104</t>
  </si>
  <si>
    <t>ID105</t>
  </si>
  <si>
    <t>ID106</t>
  </si>
  <si>
    <t>ID107</t>
  </si>
  <si>
    <t>ID108</t>
  </si>
  <si>
    <t>ID109</t>
  </si>
  <si>
    <t>ID110</t>
  </si>
  <si>
    <t>ID112</t>
  </si>
  <si>
    <t>ID113</t>
  </si>
  <si>
    <t>ID133</t>
  </si>
  <si>
    <t>ID134</t>
  </si>
  <si>
    <t>ID135</t>
  </si>
  <si>
    <t>rc_se</t>
  </si>
  <si>
    <t>Yeo et al. (1987)</t>
  </si>
  <si>
    <t>Andreasen et al. (1993)</t>
  </si>
  <si>
    <t>Raz et al. (1993)</t>
  </si>
  <si>
    <t>Castellanos et al. (1994)</t>
  </si>
  <si>
    <t>Bigler (1995)</t>
  </si>
  <si>
    <t>Haier et al. (1995)</t>
  </si>
  <si>
    <t>Kareken et al. (1995)</t>
  </si>
  <si>
    <t>Reiss et al. (1996)</t>
  </si>
  <si>
    <t>Mori et al. (1997)</t>
  </si>
  <si>
    <t>Paradiso et al. (1997)</t>
  </si>
  <si>
    <t>Flashman et al. (1998)</t>
  </si>
  <si>
    <t>Gur et al. (1999)</t>
  </si>
  <si>
    <t>Tan et al. (1999)</t>
  </si>
  <si>
    <t>Garde et al. (2000)</t>
  </si>
  <si>
    <t>Lawson et al. (2000)</t>
  </si>
  <si>
    <t>Schoenemann et al. (2000)</t>
  </si>
  <si>
    <t>Aylward et al. (2002)</t>
  </si>
  <si>
    <t>MacLullich et al. (20002)</t>
  </si>
  <si>
    <t>Nosarti et al. (2002)</t>
  </si>
  <si>
    <t>Kesler et al. (2003)</t>
  </si>
  <si>
    <t>Yurgelun-Todd et al. (2003)</t>
  </si>
  <si>
    <t>Frangou et al. (2004)</t>
  </si>
  <si>
    <t>Toulopoulou et al. (2004)</t>
  </si>
  <si>
    <t>Waiter et al. (2004)</t>
  </si>
  <si>
    <t>Lodygensky et al. (2005)</t>
  </si>
  <si>
    <t>Thoma et al. (2005)</t>
  </si>
  <si>
    <t>Debbané et al. (2006)</t>
  </si>
  <si>
    <t>Voelbel et al. (2006)</t>
  </si>
  <si>
    <t>Wozniak et al. (2006)</t>
  </si>
  <si>
    <t>DeBoer et al. (2007)</t>
  </si>
  <si>
    <t>Doernte (2007)</t>
  </si>
  <si>
    <t>Luders et al. (2007)</t>
  </si>
  <si>
    <t>Nakamura et al. (2007)</t>
  </si>
  <si>
    <t>Narr et al. (2007)</t>
  </si>
  <si>
    <t>Schottenbauer et al. &amp; Gilman et al. (2007)</t>
  </si>
  <si>
    <t>Schumann et al. (2007)</t>
  </si>
  <si>
    <t>Amat et al. (2008)</t>
  </si>
  <si>
    <t>Choi et al. (2008)</t>
  </si>
  <si>
    <t>Miller et al. (2009)</t>
  </si>
  <si>
    <t>Qiu et al. (2009)</t>
  </si>
  <si>
    <t>Shenkin et al. (2009)</t>
  </si>
  <si>
    <t>Van Leeuwen et al. (2009)</t>
  </si>
  <si>
    <t>Weniger et al. (2009)</t>
  </si>
  <si>
    <t>Hermann (2010)</t>
  </si>
  <si>
    <t>Isaacs et al. (2010)</t>
  </si>
  <si>
    <t>Lange et al. (2010)</t>
  </si>
  <si>
    <t>Wallace et al. (2010)</t>
  </si>
  <si>
    <t>Ashtari et al. (2011)</t>
  </si>
  <si>
    <t>Chen et al. (2011)</t>
  </si>
  <si>
    <t>Zelko et al. (2013)</t>
  </si>
  <si>
    <t>Bjuland et al. (2014)</t>
  </si>
  <si>
    <t>Grunewaldt et al. (2014)</t>
  </si>
  <si>
    <t>Jenkins et al. (2014)</t>
  </si>
  <si>
    <t>MacDonald et al. (2014)</t>
  </si>
  <si>
    <t>McCoy et al. (2014)</t>
  </si>
  <si>
    <t>Zhu et al. (2014)</t>
  </si>
  <si>
    <t>Boberg et al. (2015)</t>
  </si>
  <si>
    <t>Grazioplene et al. (2015)</t>
  </si>
  <si>
    <t>Lefebvre et al. (2015)</t>
  </si>
  <si>
    <t>Paul et al. (2015)</t>
  </si>
  <si>
    <t>Walters et al. (2015)</t>
  </si>
  <si>
    <t>Ballester-Plane et al. (2016)</t>
  </si>
  <si>
    <t>Bohlken et al. (2016)</t>
  </si>
  <si>
    <t>Gregory et al. (2016)</t>
  </si>
  <si>
    <t>Monson et al. (2016)</t>
  </si>
  <si>
    <t>Nikolaidis et al. (2016)</t>
  </si>
  <si>
    <t>Treit et al. (2016)</t>
  </si>
  <si>
    <t>Amaral et al. (2017)</t>
  </si>
  <si>
    <t>Arhan et al. (2017)</t>
  </si>
  <si>
    <t>van der Linden et al. (2017)</t>
  </si>
  <si>
    <t>Annink et al. (2018)</t>
  </si>
  <si>
    <t>Lammers et al. (2018)</t>
  </si>
  <si>
    <t>Nygaard et al. (2018)</t>
  </si>
  <si>
    <t>Sreedharan et al. (2018)</t>
  </si>
  <si>
    <t>Takeuchi et al. (2018)</t>
  </si>
  <si>
    <t>Tozer et al. (2018)</t>
  </si>
  <si>
    <t>Ahn et al. (2019)</t>
  </si>
  <si>
    <t>Cox et al. (2019)</t>
  </si>
  <si>
    <t>de Zwarte et al. (2019)</t>
  </si>
  <si>
    <t>Elliott et al. (2019)</t>
  </si>
  <si>
    <t>Hiraiwa et al. (2019)</t>
  </si>
  <si>
    <t>van Haren et al. (2019)</t>
  </si>
  <si>
    <t>Mathias et al. (2020)</t>
  </si>
  <si>
    <t>Mitchell et al. (2020)</t>
  </si>
  <si>
    <t>Gf - WAIS-III: ds, WMS-R: Logical Memory Story A, Phonemic Verbal Fluency (Lezak, 2004)</t>
  </si>
  <si>
    <t>ID136</t>
  </si>
  <si>
    <t>ES188</t>
  </si>
  <si>
    <t>ID137</t>
  </si>
  <si>
    <t>ES189</t>
  </si>
  <si>
    <t>ES190</t>
  </si>
  <si>
    <t>ES191</t>
  </si>
  <si>
    <t>ES192</t>
  </si>
  <si>
    <t>ES193</t>
  </si>
  <si>
    <t>ES194</t>
  </si>
  <si>
    <t>ES195</t>
  </si>
  <si>
    <t>ES196</t>
  </si>
  <si>
    <t>ES197</t>
  </si>
  <si>
    <t>ES198</t>
  </si>
  <si>
    <t>ES199</t>
  </si>
  <si>
    <t>ES200</t>
  </si>
  <si>
    <t>ES201</t>
  </si>
  <si>
    <t>ES202</t>
  </si>
  <si>
    <t>ES203</t>
  </si>
  <si>
    <t>ES204</t>
  </si>
  <si>
    <t>ES205</t>
  </si>
  <si>
    <t>ES206</t>
  </si>
  <si>
    <t>ES207</t>
  </si>
  <si>
    <t>ES208</t>
  </si>
  <si>
    <t>ES209</t>
  </si>
  <si>
    <t>ES210</t>
  </si>
  <si>
    <t>ES211</t>
  </si>
  <si>
    <t>ES212</t>
  </si>
  <si>
    <t>ES213</t>
  </si>
  <si>
    <t>ES214</t>
  </si>
  <si>
    <t>ES215</t>
  </si>
  <si>
    <t>ES216</t>
  </si>
  <si>
    <t>ES217</t>
  </si>
  <si>
    <t>ES218</t>
  </si>
  <si>
    <t>ES219</t>
  </si>
  <si>
    <t>ES220</t>
  </si>
  <si>
    <t>ES221</t>
  </si>
  <si>
    <t>ES222</t>
  </si>
  <si>
    <t>ES223</t>
  </si>
  <si>
    <t>ES224</t>
  </si>
  <si>
    <t>ES225</t>
  </si>
  <si>
    <t>ES226</t>
  </si>
  <si>
    <t>ES227</t>
  </si>
  <si>
    <t>ES228</t>
  </si>
  <si>
    <t>ES229</t>
  </si>
  <si>
    <t>ES230</t>
  </si>
  <si>
    <t>ES231</t>
  </si>
  <si>
    <t>ES232</t>
  </si>
  <si>
    <t>ES233</t>
  </si>
  <si>
    <t>ES234</t>
  </si>
  <si>
    <t>ES235</t>
  </si>
  <si>
    <t>ES236</t>
  </si>
  <si>
    <t>ES237</t>
  </si>
  <si>
    <t>ES238</t>
  </si>
  <si>
    <t>ES239</t>
  </si>
  <si>
    <t>ES240</t>
  </si>
  <si>
    <t>ES241</t>
  </si>
  <si>
    <t>ES242</t>
  </si>
  <si>
    <t>ES243</t>
  </si>
  <si>
    <t>ES244</t>
  </si>
  <si>
    <t>ES245</t>
  </si>
  <si>
    <t>ES246</t>
  </si>
  <si>
    <t>ES247</t>
  </si>
  <si>
    <t>ES248</t>
  </si>
  <si>
    <t>ES249</t>
  </si>
  <si>
    <t>ES250</t>
  </si>
  <si>
    <t>ES251</t>
  </si>
  <si>
    <t>ES252</t>
  </si>
  <si>
    <t>ES253</t>
  </si>
  <si>
    <t>ES254</t>
  </si>
  <si>
    <t>ES255</t>
  </si>
  <si>
    <t>ES256</t>
  </si>
  <si>
    <t>ES257</t>
  </si>
  <si>
    <t>ES258</t>
  </si>
  <si>
    <t>ES259</t>
  </si>
  <si>
    <t>ES260</t>
  </si>
  <si>
    <t>ES261</t>
  </si>
  <si>
    <t>ES262</t>
  </si>
  <si>
    <t>ES263</t>
  </si>
  <si>
    <t>ES264</t>
  </si>
  <si>
    <t>ES265</t>
  </si>
  <si>
    <t>ES266</t>
  </si>
  <si>
    <t>ES267</t>
  </si>
  <si>
    <t>ES268</t>
  </si>
  <si>
    <t>ES269</t>
  </si>
  <si>
    <t>ES270</t>
  </si>
  <si>
    <t>ES271</t>
  </si>
  <si>
    <t>ES272</t>
  </si>
  <si>
    <t>ES273</t>
  </si>
  <si>
    <t>ES274</t>
  </si>
  <si>
    <t>ES275</t>
  </si>
  <si>
    <t>ES276</t>
  </si>
  <si>
    <t>ES277</t>
  </si>
  <si>
    <t>ES278</t>
  </si>
  <si>
    <t>ES279</t>
  </si>
  <si>
    <t>ES280</t>
  </si>
  <si>
    <t>ES281</t>
  </si>
  <si>
    <t>ES282</t>
  </si>
  <si>
    <t>ES283</t>
  </si>
  <si>
    <t>ES284</t>
  </si>
  <si>
    <t>ES285</t>
  </si>
  <si>
    <t>ES286</t>
  </si>
  <si>
    <t>ES287</t>
  </si>
  <si>
    <t>ES288</t>
  </si>
  <si>
    <t>ES289</t>
  </si>
  <si>
    <t>ES290</t>
  </si>
  <si>
    <t>ES291</t>
  </si>
  <si>
    <t>ES292</t>
  </si>
  <si>
    <t>ES293</t>
  </si>
  <si>
    <t>ES294</t>
  </si>
  <si>
    <t>ES295</t>
  </si>
  <si>
    <t>ES296</t>
  </si>
  <si>
    <t>ES297</t>
  </si>
  <si>
    <t>ES298</t>
  </si>
  <si>
    <t>ES299</t>
  </si>
  <si>
    <t>ES300</t>
  </si>
  <si>
    <t>ES301</t>
  </si>
  <si>
    <t>ES302</t>
  </si>
  <si>
    <t>ES303</t>
  </si>
  <si>
    <t>ES304</t>
  </si>
  <si>
    <t>ES305</t>
  </si>
  <si>
    <t>ES306</t>
  </si>
  <si>
    <t>ES307</t>
  </si>
  <si>
    <t>ES308</t>
  </si>
  <si>
    <t>ES309</t>
  </si>
  <si>
    <t>ES310</t>
  </si>
  <si>
    <t>ES311</t>
  </si>
  <si>
    <t>ES312</t>
  </si>
  <si>
    <t>ES313</t>
  </si>
  <si>
    <t>ES314</t>
  </si>
  <si>
    <t>ES315</t>
  </si>
  <si>
    <t>ES316</t>
  </si>
  <si>
    <t>ES317</t>
  </si>
  <si>
    <t>ES318</t>
  </si>
  <si>
    <t>ES319</t>
  </si>
  <si>
    <t>ES320</t>
  </si>
  <si>
    <t>ES321</t>
  </si>
  <si>
    <t>ES322</t>
  </si>
  <si>
    <t>ES323</t>
  </si>
  <si>
    <t>ES324</t>
  </si>
  <si>
    <t>ES325</t>
  </si>
  <si>
    <t>ES326</t>
  </si>
  <si>
    <t>ID138</t>
  </si>
  <si>
    <t>ID139</t>
  </si>
  <si>
    <t>ID140</t>
  </si>
  <si>
    <t>ID141</t>
  </si>
  <si>
    <t>ID142</t>
  </si>
  <si>
    <t>ID143</t>
  </si>
  <si>
    <t>ID144</t>
  </si>
  <si>
    <t>ID145</t>
  </si>
  <si>
    <t>ID151</t>
  </si>
  <si>
    <t>ID146</t>
  </si>
  <si>
    <t>ID147</t>
  </si>
  <si>
    <t>ID148</t>
  </si>
  <si>
    <t>ID149</t>
  </si>
  <si>
    <t>ID150</t>
  </si>
  <si>
    <t>ES327</t>
  </si>
  <si>
    <t>ES328</t>
  </si>
  <si>
    <t>ES329</t>
  </si>
  <si>
    <t>ES330</t>
  </si>
  <si>
    <t>ES331</t>
  </si>
  <si>
    <t>ES332</t>
  </si>
  <si>
    <t>ES333</t>
  </si>
  <si>
    <t>ES334</t>
  </si>
  <si>
    <t>ES335</t>
  </si>
  <si>
    <t>ES336</t>
  </si>
  <si>
    <t>ES337</t>
  </si>
  <si>
    <t>ES338</t>
  </si>
  <si>
    <t>ES339</t>
  </si>
  <si>
    <t>ES340</t>
  </si>
  <si>
    <t>ES341</t>
  </si>
  <si>
    <t>ES342</t>
  </si>
  <si>
    <t>ES343</t>
  </si>
  <si>
    <t>ES344</t>
  </si>
  <si>
    <t>ES345</t>
  </si>
  <si>
    <t>ES346</t>
  </si>
  <si>
    <t>ES347</t>
  </si>
  <si>
    <t>ES348</t>
  </si>
  <si>
    <t>ES349</t>
  </si>
  <si>
    <t>ES350</t>
  </si>
  <si>
    <t>ES351</t>
  </si>
  <si>
    <t>ES352</t>
  </si>
  <si>
    <t>ES353</t>
  </si>
  <si>
    <t>ES354</t>
  </si>
  <si>
    <t>ES355</t>
  </si>
  <si>
    <t>ES356</t>
  </si>
  <si>
    <t>ES357</t>
  </si>
  <si>
    <t>ES359</t>
  </si>
  <si>
    <t>ES360</t>
  </si>
  <si>
    <t>ES361</t>
  </si>
  <si>
    <t>ES362</t>
  </si>
  <si>
    <t>ES363</t>
  </si>
  <si>
    <t>ES364</t>
  </si>
  <si>
    <t>ES365</t>
  </si>
  <si>
    <t>ES366</t>
  </si>
  <si>
    <t>ES367</t>
  </si>
  <si>
    <t>ES368</t>
  </si>
  <si>
    <t>ES369</t>
  </si>
  <si>
    <t>ES370</t>
  </si>
  <si>
    <t>ES371</t>
  </si>
  <si>
    <t>ES372</t>
  </si>
  <si>
    <t>ES373</t>
  </si>
  <si>
    <t>ES374</t>
  </si>
  <si>
    <t>ES375</t>
  </si>
  <si>
    <t>ES376</t>
  </si>
  <si>
    <t>ES377</t>
  </si>
  <si>
    <t>ES378</t>
  </si>
  <si>
    <t>ES379</t>
  </si>
  <si>
    <t>ES380</t>
  </si>
  <si>
    <t>ES381</t>
  </si>
  <si>
    <t>ES382</t>
  </si>
  <si>
    <t>ES383</t>
  </si>
  <si>
    <t>ES384</t>
  </si>
  <si>
    <t>ES385</t>
  </si>
  <si>
    <t>ES386</t>
  </si>
  <si>
    <t>ES387</t>
  </si>
  <si>
    <t>ES388</t>
  </si>
  <si>
    <t>ES389</t>
  </si>
  <si>
    <t>ES390</t>
  </si>
  <si>
    <t>ES391</t>
  </si>
  <si>
    <t>ES392</t>
  </si>
  <si>
    <t>ES393</t>
  </si>
  <si>
    <t>ES394</t>
  </si>
  <si>
    <t>ES395</t>
  </si>
  <si>
    <t>ES396</t>
  </si>
  <si>
    <t>ES397</t>
  </si>
  <si>
    <t>ES398</t>
  </si>
  <si>
    <t>ES399</t>
  </si>
  <si>
    <t>ES400</t>
  </si>
  <si>
    <t>ES401</t>
  </si>
  <si>
    <t>ES402</t>
  </si>
  <si>
    <t>ES403</t>
  </si>
  <si>
    <t>ES404</t>
  </si>
  <si>
    <t>ES405</t>
  </si>
  <si>
    <t>ES406</t>
  </si>
  <si>
    <t>ES407</t>
  </si>
  <si>
    <t>ES408</t>
  </si>
  <si>
    <t>ES409</t>
  </si>
  <si>
    <t>ES410</t>
  </si>
  <si>
    <t>ES411</t>
  </si>
  <si>
    <t>ES412</t>
  </si>
  <si>
    <t>ES413</t>
  </si>
  <si>
    <t>ES414</t>
  </si>
  <si>
    <t>ES415</t>
  </si>
  <si>
    <t>ES416</t>
  </si>
  <si>
    <t>ES417</t>
  </si>
  <si>
    <t>ES418</t>
  </si>
  <si>
    <t>ES419</t>
  </si>
  <si>
    <t>ES420</t>
  </si>
  <si>
    <t>ES421</t>
  </si>
  <si>
    <t>ES422</t>
  </si>
  <si>
    <t>ES423</t>
  </si>
  <si>
    <t>ES424</t>
  </si>
  <si>
    <t>ES425</t>
  </si>
  <si>
    <t>ES426</t>
  </si>
  <si>
    <t>ES427</t>
  </si>
  <si>
    <t>ES428</t>
  </si>
  <si>
    <t>Jensen et al. (2018)</t>
  </si>
  <si>
    <t>WAIS-III (Danish): voc, sim, bd, mr</t>
  </si>
  <si>
    <t>WAIS-III (Danish): voc, sim</t>
  </si>
  <si>
    <t>WAIS-III (Danish): bd, mr</t>
  </si>
  <si>
    <t>ID152</t>
  </si>
  <si>
    <t>ID153</t>
  </si>
  <si>
    <t>n</t>
  </si>
  <si>
    <t>Leonard et al. (1999)</t>
  </si>
  <si>
    <t>Coffey et al. (2001)</t>
  </si>
  <si>
    <t>Chiang et al. (2007)</t>
  </si>
  <si>
    <t>Castro-Fornieles et al. (2009)</t>
  </si>
  <si>
    <t>Betjemann et al. (2010)</t>
  </si>
  <si>
    <t>Martinez et al. (2017)</t>
  </si>
  <si>
    <t>Blatter et al. (1997)</t>
  </si>
  <si>
    <t>Voelbel et al. (1) (2006)</t>
  </si>
  <si>
    <t>Schottenbauer et al. (2007)</t>
  </si>
  <si>
    <t>Mankovsky et al. (2018)</t>
  </si>
  <si>
    <t>Harvey et al. (1994)</t>
  </si>
  <si>
    <t>Jones et al. (1994)</t>
  </si>
  <si>
    <t>Warwick et al. (1999)</t>
  </si>
  <si>
    <t>MacLullich et al. (2002)</t>
  </si>
  <si>
    <t>Antonova et al. (2005)</t>
  </si>
  <si>
    <t>Ebner et al. (2008)</t>
  </si>
  <si>
    <t>IQdomain2</t>
  </si>
  <si>
    <t>comprehension</t>
  </si>
  <si>
    <t>working memory</t>
  </si>
  <si>
    <t>perceptual</t>
  </si>
  <si>
    <t>speed</t>
  </si>
  <si>
    <t>Ferreira et al. (2016)</t>
  </si>
  <si>
    <t>composite language - COWA, Animal Naming, Boston Naming, Token Test, WRAT-R: Reading</t>
  </si>
  <si>
    <t>WAIS-R: span</t>
  </si>
  <si>
    <t>WAIS-R: voc, CVLT</t>
  </si>
  <si>
    <t>MAB vocabulary</t>
  </si>
  <si>
    <t>WAIS-III: ds</t>
  </si>
  <si>
    <t>WAIS-III: span</t>
  </si>
  <si>
    <t>Vocabulary Test (V2 &amp; V3) from ETS Kit of factor-referenced cognitive Tests</t>
  </si>
  <si>
    <t>WJIII-Cog verbal ability</t>
  </si>
  <si>
    <t>WISC-III: comp</t>
  </si>
  <si>
    <t>WAIS-III: lns</t>
  </si>
  <si>
    <t>WAIS-III: span b</t>
  </si>
  <si>
    <t>WAIS or WISC: arith, span</t>
  </si>
  <si>
    <t>WAIS-III: inf</t>
  </si>
  <si>
    <t>WAIS-III: arith</t>
  </si>
  <si>
    <t>WISC-R : voc</t>
  </si>
  <si>
    <t>WISC-R: sim</t>
  </si>
  <si>
    <t>WISC-R: inf</t>
  </si>
  <si>
    <t>WISC-R: comp</t>
  </si>
  <si>
    <t>WISC-R: span</t>
  </si>
  <si>
    <t>composite working memory - RAVLT: immidate recall, delayed recall, delayed recognition + WAIS-III: span</t>
  </si>
  <si>
    <t>ES358</t>
  </si>
  <si>
    <t>composite visual-spatial perception - WAIS-R: bd, Benton Line Orientation (form H), Geometric Figure Drawings</t>
  </si>
  <si>
    <t>WAIS-III: bd</t>
  </si>
  <si>
    <t>WAIS-III: mr</t>
  </si>
  <si>
    <t>WAIS-III: ss</t>
  </si>
  <si>
    <t>WAIS or WISC: cod, sym</t>
  </si>
  <si>
    <t>WISC-R: pc</t>
  </si>
  <si>
    <t>WISC-R: pic</t>
  </si>
  <si>
    <t>WISC-R: obj</t>
  </si>
  <si>
    <t>WISC-R: ds</t>
  </si>
  <si>
    <t>composite processing speed - Trails (A), SCWT (I+II), WAIS-II: ds</t>
  </si>
  <si>
    <t>Ritchie et al. (2017)</t>
  </si>
  <si>
    <t>WISC-III or WPPSI-R or DAS or SB or GMDS</t>
  </si>
  <si>
    <t>WISC-R: arith</t>
  </si>
  <si>
    <t>Vreeker et al. (2017)</t>
  </si>
  <si>
    <t>Willerman et al. (1991)</t>
  </si>
  <si>
    <t>Wechsler</t>
  </si>
  <si>
    <t>Paul et al. (2016)</t>
  </si>
  <si>
    <t>Bathelt et al. (2019)</t>
  </si>
  <si>
    <t>WAIS-R</t>
  </si>
  <si>
    <t>K-BIT</t>
  </si>
  <si>
    <t>WASI-II: voc, mr</t>
  </si>
  <si>
    <t>WISC-III or WASI-I or WAIS (R or III)</t>
  </si>
  <si>
    <t>abb. WAIS-III (German)</t>
  </si>
  <si>
    <t>WAIS-IV: voc, mr</t>
  </si>
  <si>
    <t>Elias (2020)</t>
  </si>
  <si>
    <t>WTAR</t>
  </si>
  <si>
    <t>S3</t>
  </si>
  <si>
    <t>NART, WTAR, PVF</t>
  </si>
  <si>
    <t>WAIS-III: mr, bd; WMS-III: spatial span f+b</t>
  </si>
  <si>
    <t>WASI-II</t>
  </si>
  <si>
    <t>short form of WAIS-IV</t>
  </si>
  <si>
    <t>S24</t>
  </si>
  <si>
    <t>mixed, mostly abbreviated Wechsler Scales</t>
  </si>
  <si>
    <t>WAIS-III: mr, bd, ss, ds; WMS-III: spatial span f+b, vpa, lm; four-choice reaction time, visual inspection time, NART, WTAR, PVF</t>
  </si>
  <si>
    <t>delayed non-match to sample task</t>
  </si>
  <si>
    <t>WMS-III: vpa, lm; WAIS-III: ds (b)</t>
  </si>
  <si>
    <t>WAIS-III: ss, ds; four-choice reaction time, visual inspection time</t>
  </si>
  <si>
    <t>S25</t>
  </si>
  <si>
    <t>S12</t>
  </si>
  <si>
    <t>S8</t>
  </si>
  <si>
    <t>S22</t>
  </si>
  <si>
    <t>S21</t>
  </si>
  <si>
    <t>Cadenas-Sanchez et al. (2020)</t>
  </si>
  <si>
    <t>Laliberté Durish (2020)</t>
  </si>
  <si>
    <t>Yankowitz et al. (2020)</t>
  </si>
  <si>
    <t>Hedderich et al. (2021)</t>
  </si>
  <si>
    <t>Naef et al. (2021)</t>
  </si>
  <si>
    <t>Corley et al. (2020)</t>
  </si>
  <si>
    <t>de Zwarte et al. (2020)</t>
  </si>
  <si>
    <t>Williams et al. (2020)</t>
  </si>
  <si>
    <t>Isaacs et al. (2000)</t>
  </si>
  <si>
    <t>Kumra et al. (2000)</t>
  </si>
  <si>
    <t>Pennington et al. (2000)</t>
  </si>
  <si>
    <t>Shapleske et al. (2002)</t>
  </si>
  <si>
    <t>Giedd (2003)</t>
  </si>
  <si>
    <t>Fine et al. (2007)</t>
  </si>
  <si>
    <t>Zeegers et al. (2009)</t>
  </si>
  <si>
    <t>WAIS</t>
  </si>
  <si>
    <t>MAB</t>
  </si>
  <si>
    <t>WAIS-R: voc, sim, bd, pc</t>
  </si>
  <si>
    <t>WAIS-R &amp; others?</t>
  </si>
  <si>
    <t>WISC-R or WAIS-R</t>
  </si>
  <si>
    <t>WAIS-R (z-scores, normalized for age &amp; gender)</t>
  </si>
  <si>
    <t>WISC-III or WAIS-III</t>
  </si>
  <si>
    <t>WAIS-R or WAIS-III</t>
  </si>
  <si>
    <t>WISC-III-R or WAIS-IV</t>
  </si>
  <si>
    <t>WAIS-III or WISC-III</t>
  </si>
  <si>
    <t>HAWIE-R: sim, info, bd, pc</t>
  </si>
  <si>
    <t>CFIT (form 2)</t>
  </si>
  <si>
    <t>g - MHT + RSPM + Verbal fluency + lm</t>
  </si>
  <si>
    <t>HAWIE-R</t>
  </si>
  <si>
    <t>WAIS or WISC: voc, sim, pc, bd, arith, ds, ss</t>
  </si>
  <si>
    <t>WISC-IV (GAI)</t>
  </si>
  <si>
    <t>WAIS-R (Chinese)</t>
  </si>
  <si>
    <t>WISC-IV (Swedish)</t>
  </si>
  <si>
    <t>unknown Wechsler</t>
  </si>
  <si>
    <t>K-WAIS-R</t>
  </si>
  <si>
    <t>WASI-II: Reasoning; AWMA: Digit Recall, Backward Digit Recall, Dot Matrix, Mr X</t>
  </si>
  <si>
    <t>WAIS-IV</t>
  </si>
  <si>
    <t>DAS (GCA) or WISC-IV or WASI (I or II)</t>
  </si>
  <si>
    <t>WAIS-R: voc, bd + CVLT + JLO</t>
  </si>
  <si>
    <t>WAIS-III (Dutch): info, srith., bf, ds</t>
  </si>
  <si>
    <t>WAIS-III: WMI</t>
  </si>
  <si>
    <t>WAIS-R: bd + JLO</t>
  </si>
  <si>
    <t>WISC-III or WISC-IV: POI</t>
  </si>
  <si>
    <t>WISC-III: POI</t>
  </si>
  <si>
    <t>WISC-III: PSI</t>
  </si>
  <si>
    <t>WAIS-II: PSI</t>
  </si>
  <si>
    <t>ID114</t>
  </si>
  <si>
    <t>ID115</t>
  </si>
  <si>
    <t>ID116</t>
  </si>
  <si>
    <t>ID117</t>
  </si>
  <si>
    <t>ID118</t>
  </si>
  <si>
    <t>ID119</t>
  </si>
  <si>
    <t>ID120</t>
  </si>
  <si>
    <t>ID121</t>
  </si>
  <si>
    <t>ID122</t>
  </si>
  <si>
    <t>ID123</t>
  </si>
  <si>
    <t>ID124</t>
  </si>
  <si>
    <t>ID125</t>
  </si>
  <si>
    <t>ID126</t>
  </si>
  <si>
    <t>ID127</t>
  </si>
  <si>
    <t>ID128</t>
  </si>
  <si>
    <t>ID129</t>
  </si>
  <si>
    <t>ID130</t>
  </si>
  <si>
    <t>ID131</t>
  </si>
  <si>
    <t>ID132</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</si>
  <si>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</si>
  <si>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</si>
  <si>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</si>
  <si>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</si>
  <si>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</si>
  <si>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</si>
  <si>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</si>
  <si>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</si>
  <si>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</si>
  <si>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</si>
  <si>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</si>
  <si>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</si>
  <si>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</si>
  <si>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</si>
  <si>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</si>
  <si>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</si>
  <si>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</si>
  <si>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</si>
  <si>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</si>
  <si>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</si>
  <si>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</si>
  <si>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</si>
  <si>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ID181</t>
  </si>
  <si>
    <t>ID176</t>
  </si>
  <si>
    <t>ID177</t>
  </si>
  <si>
    <t>ID178</t>
  </si>
  <si>
    <t>ID179</t>
  </si>
  <si>
    <t>ID180</t>
  </si>
  <si>
    <t>ID182</t>
  </si>
  <si>
    <t>ID183</t>
  </si>
  <si>
    <t>ID184</t>
  </si>
  <si>
    <t>ID185</t>
  </si>
  <si>
    <t>ID186</t>
  </si>
  <si>
    <t>ID187</t>
  </si>
  <si>
    <t>ID188</t>
  </si>
  <si>
    <t>ID189</t>
  </si>
  <si>
    <t>ES042</t>
  </si>
  <si>
    <t>ID195</t>
  </si>
  <si>
    <t>ID196</t>
  </si>
  <si>
    <t>ID197</t>
  </si>
  <si>
    <t>ID198</t>
  </si>
  <si>
    <t>ID199</t>
  </si>
  <si>
    <t>ID200</t>
  </si>
  <si>
    <t>ID201</t>
  </si>
  <si>
    <t>ID202</t>
  </si>
  <si>
    <t>ID203</t>
  </si>
  <si>
    <t>ID190</t>
  </si>
  <si>
    <t>ID191</t>
  </si>
  <si>
    <t>ID192</t>
  </si>
  <si>
    <t>ID193</t>
  </si>
  <si>
    <t>ID194</t>
  </si>
  <si>
    <t>ID211</t>
  </si>
  <si>
    <t>ID204</t>
  </si>
  <si>
    <t>ID205</t>
  </si>
  <si>
    <t>ID206</t>
  </si>
  <si>
    <t>ID207</t>
  </si>
  <si>
    <t>ID208</t>
  </si>
  <si>
    <t>ID209</t>
  </si>
  <si>
    <t>ID210</t>
  </si>
  <si>
    <t>ID212</t>
  </si>
  <si>
    <t>ID213</t>
  </si>
  <si>
    <t>ID214</t>
  </si>
  <si>
    <t>ID215</t>
  </si>
  <si>
    <t>ID216</t>
  </si>
  <si>
    <t>ID217</t>
  </si>
  <si>
    <t>ID218</t>
  </si>
  <si>
    <t>ID219</t>
  </si>
  <si>
    <t>ID220</t>
  </si>
  <si>
    <t>ID221</t>
  </si>
  <si>
    <t>ES429</t>
  </si>
  <si>
    <t>ES430</t>
  </si>
  <si>
    <t>ES431</t>
  </si>
  <si>
    <t>ES432</t>
  </si>
  <si>
    <t>ES433</t>
  </si>
  <si>
    <t>ES434</t>
  </si>
  <si>
    <t>ES435</t>
  </si>
  <si>
    <t>ES436</t>
  </si>
  <si>
    <t>ES437</t>
  </si>
  <si>
    <t>ES438</t>
  </si>
  <si>
    <t>ES439</t>
  </si>
  <si>
    <t>ES440</t>
  </si>
  <si>
    <t>ES441</t>
  </si>
  <si>
    <t>ES442</t>
  </si>
  <si>
    <t>ES443</t>
  </si>
  <si>
    <t>ES444</t>
  </si>
  <si>
    <t>ES445</t>
  </si>
  <si>
    <t>ES446</t>
  </si>
  <si>
    <t>ES447</t>
  </si>
  <si>
    <t>ES448</t>
  </si>
  <si>
    <t>ES449</t>
  </si>
  <si>
    <t>ES450</t>
  </si>
  <si>
    <t>ES451</t>
  </si>
  <si>
    <t>ES452</t>
  </si>
  <si>
    <t>ES453</t>
  </si>
  <si>
    <t>ES454</t>
  </si>
  <si>
    <t>Variable</t>
  </si>
  <si>
    <t>Content</t>
  </si>
  <si>
    <t>Authors of study (short form)</t>
  </si>
  <si>
    <t>Identifier of every individual sample; same ID indicates complete or partial sample overlap (= dependent data)</t>
  </si>
  <si>
    <t>Identifier of every individual effect size; not necessarily identical between independent data only and RVE sheets</t>
  </si>
  <si>
    <t>Review coverage; 1 = study accumulated by McDaniel (2005); 2 = by Pietschnig et al. (2015); 3 = newly accumulated study</t>
  </si>
  <si>
    <t>Year of publication</t>
  </si>
  <si>
    <t xml:space="preserve">Health-status of sample, either healthy or patients. Patients are defined as having some form of medical or psychological issue at time of scan or test which is not highly prevalent in the general population. Mixed samples are coded as patients. </t>
  </si>
  <si>
    <t xml:space="preserve">Age of sample categorially coded, either children (0-18yrs) or adults. Choice is forced, mixed samples are coded according to predominant age group. </t>
  </si>
  <si>
    <t>Mean age of sample</t>
  </si>
  <si>
    <t>Standard deviation of mean age in sample</t>
  </si>
  <si>
    <t>Sex composition of sample categorially coded, either female, male, or overall (mixed)</t>
  </si>
  <si>
    <t>Ratio of males in sample; e.g. 0 = females only, 0.33 = 33% males, 1 = males only</t>
  </si>
  <si>
    <t>Number of participants in sample</t>
  </si>
  <si>
    <t>Correlation between in vivo brain volume and intelligence (= effect size); mostly Pearson correlation and standardized regression betas with one exception: Harvey (1994) = Spearman´s rho</t>
  </si>
  <si>
    <t>Variances of r; computed with escalc (package metafor, measure = "COR")</t>
  </si>
  <si>
    <t xml:space="preserve">Page of coded effect size in study paper, either the page number or “PC” for effect sizes obtained via personal communication. The prefix “S” means the effect size is displayed in supplemental materials. </t>
  </si>
  <si>
    <t>Value of r to Fisher´s z transformed correlation coefficients; computed with escalc (package metafor, measure = "ZCOR")</t>
  </si>
  <si>
    <t>Variance of the Fisher´s r-to-z transformed correlation coefficients; computed with escalc (package metafor, measure = "ZCOR")</t>
  </si>
  <si>
    <t>r corrected for its slight negative bias; computed with escalc (package metafor, measure = "UCOR")</t>
  </si>
  <si>
    <t>Variance of the corrected r;  computed with escalc (package metafor, measure = "UCOR")</t>
  </si>
  <si>
    <t>Brain volume type (operationalization of brain volume), either TBV (total brain volume) or ICV (intracranial volume, also cranial capacity).</t>
  </si>
  <si>
    <t>Tool of Brain Volume Measurement (used imaging technology); either MRI or CT</t>
  </si>
  <si>
    <t xml:space="preserve">Intelligence domain assessed in study; either FSIQ (full-scale IQ), fluid (measure of fluid intelligence counted as FSIQ), verbal (for verbal IQ), or performance (performance IQ). </t>
  </si>
  <si>
    <t>Applied test(s) to measure intellectual intelligence; see below for abbreviations</t>
  </si>
  <si>
    <t>Standard deviation of intelligence test scores in sample</t>
  </si>
  <si>
    <t>Standard deviation of intelligence test scores in the norm sample of the respective IQ test</t>
  </si>
  <si>
    <t>sampleSD_IQ divided by populationSD_IQ; needed to correct correlation coefficients for univariate direct range departure. A value below 1 means the IQ test scores are range restricted compared to the norm sample; a value above 1 means the range was enhanced.</t>
  </si>
  <si>
    <t>r corrected for univariate direct range departure (Thorndike Case II formula)</t>
  </si>
  <si>
    <t>standard error of rc; computed with Kelley´s (1923) formula</t>
  </si>
  <si>
    <t>Number of subtests used in intelligence assessment; 1 = 1 test, 2= 1-2 test(s), 3 = 2-8 tests, 4 = 8+ tests;  difference between 2 tests rated "2" or "3" is the estimated importance of tests for IQ assessment.</t>
  </si>
  <si>
    <t>Number of dimensions assessed in intelligence assessment; 1 = 1 dimension, 2 = 1-2 dimensions, 3 = 2-3 dimensions, 4 = 3+ dimensions; difference between 2 dimensions rated "2" or "3" is the estimated importance of domains for IQ assessment.</t>
  </si>
  <si>
    <r>
      <t xml:space="preserve">Correlation of applied intelligence measurement with </t>
    </r>
    <r>
      <rPr>
        <i/>
        <sz val="11"/>
        <color theme="1"/>
        <rFont val="Calibri"/>
        <family val="2"/>
        <scheme val="minor"/>
      </rPr>
      <t>g</t>
    </r>
    <r>
      <rPr>
        <sz val="11"/>
        <color theme="1"/>
        <rFont val="Calibri"/>
        <family val="2"/>
        <scheme val="minor"/>
      </rPr>
      <t>; estimated based on intelligence research and/or on NoT and NoD</t>
    </r>
  </si>
  <si>
    <t>Overall rating of how well the applied intelligence measurement represents the whole range of intellectual functioning in humans. The rating comprises NoT, NoD and CorrG. Procedure from Gignac &amp; Bates (2017).</t>
  </si>
  <si>
    <t>Number of included covariates used in computation of r; e.g. sex, age, or height of participants, scanner movement</t>
  </si>
  <si>
    <t>Indicator of wheter the effect size was reported as an important part of the study, or rather as a byproduct of other goals; either correlation assessment or other</t>
  </si>
  <si>
    <t>Abbreviation IQ test</t>
  </si>
  <si>
    <t>Full name IQ test</t>
  </si>
  <si>
    <t>APM</t>
  </si>
  <si>
    <t>Advanced Progressive Matrices</t>
  </si>
  <si>
    <t>AWMA</t>
  </si>
  <si>
    <t>Automatic Working Memory Assessment</t>
  </si>
  <si>
    <t>BCS</t>
  </si>
  <si>
    <t>Bracken Basic Concepts Scale</t>
  </si>
  <si>
    <t>BOMAT</t>
  </si>
  <si>
    <t>Bochumer Matritzen Test</t>
  </si>
  <si>
    <t>BMIPB</t>
  </si>
  <si>
    <t>BIRT Memory and Information Processing Battery</t>
  </si>
  <si>
    <t>BSID</t>
  </si>
  <si>
    <t>Bayley Scales of Infant Development</t>
  </si>
  <si>
    <t>CLVT</t>
  </si>
  <si>
    <t>California Verbal Learning Test</t>
  </si>
  <si>
    <t>Cattell's Culture Fair Intelligence Test</t>
  </si>
  <si>
    <t>COWA</t>
  </si>
  <si>
    <t>Controlled Oral Word Association test</t>
  </si>
  <si>
    <t>DAS</t>
  </si>
  <si>
    <t>Differential Ability Scale</t>
  </si>
  <si>
    <t>DAT</t>
  </si>
  <si>
    <t>Differential Aptitude Test</t>
  </si>
  <si>
    <t>GIT</t>
  </si>
  <si>
    <t>Groningen Intelligence Test</t>
  </si>
  <si>
    <t>GMDS</t>
  </si>
  <si>
    <t>Griffiths Mental Developmental Scales</t>
  </si>
  <si>
    <t>HAWIE</t>
  </si>
  <si>
    <t>Hamburg Wechsler Intelligence Scale</t>
  </si>
  <si>
    <t>JLO</t>
  </si>
  <si>
    <t>Judgement of Line Orientation Test</t>
  </si>
  <si>
    <t>Kaufman Brief Intelligence Test</t>
  </si>
  <si>
    <t>Multidimensional Aptitude Battery</t>
  </si>
  <si>
    <t>MHT</t>
  </si>
  <si>
    <t>Moray House Test</t>
  </si>
  <si>
    <t>Mullen Scales of Early Learning</t>
  </si>
  <si>
    <t>MWT</t>
  </si>
  <si>
    <t>Mehrfach-Wortschatz-Intelligenztest; B = version B</t>
  </si>
  <si>
    <t>National Adult Reading Test</t>
  </si>
  <si>
    <t>PMA</t>
  </si>
  <si>
    <t>Primary Mental Ability test</t>
  </si>
  <si>
    <t>PPVT</t>
  </si>
  <si>
    <t>Peabody Picture Vocabulary Test</t>
  </si>
  <si>
    <t>PVF</t>
  </si>
  <si>
    <t>Phonemic Verbal Fluency (Lezak et al., 2004)</t>
  </si>
  <si>
    <t>RAVLT</t>
  </si>
  <si>
    <t>Rey Auditory Verbal Learning Test</t>
  </si>
  <si>
    <t>Raven´s Coloured Progressive Matrices</t>
  </si>
  <si>
    <t xml:space="preserve">Raven's Standard Progressive Matrices </t>
  </si>
  <si>
    <t>SB</t>
  </si>
  <si>
    <t>Standford-Binet Intelligence Scale</t>
  </si>
  <si>
    <t>SCWT</t>
  </si>
  <si>
    <t>Stroop-Color Word Test</t>
  </si>
  <si>
    <t>Shipley Hartford Test of Vocabulary and Abstract Thinking; total = verbal and numeric subtests</t>
  </si>
  <si>
    <t>Trails</t>
  </si>
  <si>
    <t>Trail Making Test; A and B = Version A and B</t>
  </si>
  <si>
    <t>VMRT</t>
  </si>
  <si>
    <t>Vandenberg &amp; Kuse Mental Rotation test</t>
  </si>
  <si>
    <t>Wechsler Adult Intelligence Scale (-R = revised; -III = 3rd edition etc.)</t>
  </si>
  <si>
    <t>Wechsler Abbreviated Scale of Intelligence</t>
  </si>
  <si>
    <t>WCST</t>
  </si>
  <si>
    <t>Wisconsin Card Sorting Test</t>
  </si>
  <si>
    <t>WJ</t>
  </si>
  <si>
    <t>Woodcock-Johnson-Test of Cognitive Abilities</t>
  </si>
  <si>
    <t>WMS</t>
  </si>
  <si>
    <t>Wechsler Memory Scale (-III = 3rd edition etc.)</t>
  </si>
  <si>
    <t>WPPSI-R</t>
  </si>
  <si>
    <t>Wechsler Preschool and Primary Scales of Intelligence-R</t>
  </si>
  <si>
    <t>Wechsler Intelligence Scale for Children - Revised</t>
  </si>
  <si>
    <t>WRAT</t>
  </si>
  <si>
    <t>Wide Range Achievement Test</t>
  </si>
  <si>
    <t>WRIT</t>
  </si>
  <si>
    <t>Wide Range Intelligence Test</t>
  </si>
  <si>
    <t>Wechsler’s Test of Adult Reading</t>
  </si>
  <si>
    <t>Abbreviations of Subtests</t>
  </si>
  <si>
    <t>Full name of subtest or subdomain</t>
  </si>
  <si>
    <t>arith</t>
  </si>
  <si>
    <t>arithmetic</t>
  </si>
  <si>
    <t>bd</t>
  </si>
  <si>
    <t>block design</t>
  </si>
  <si>
    <t>comp</t>
  </si>
  <si>
    <t>ds</t>
  </si>
  <si>
    <t>digit symbol</t>
  </si>
  <si>
    <t>FS</t>
  </si>
  <si>
    <t>full scale (it is only known that full scale IQ was assessed, but not with what test or test version)</t>
  </si>
  <si>
    <t>inf</t>
  </si>
  <si>
    <t>information</t>
  </si>
  <si>
    <t>lm</t>
  </si>
  <si>
    <t>logical memory</t>
  </si>
  <si>
    <t>lns</t>
  </si>
  <si>
    <t>letter-number sequencing</t>
  </si>
  <si>
    <t>mr</t>
  </si>
  <si>
    <t>matrix reasoning</t>
  </si>
  <si>
    <t>obj</t>
  </si>
  <si>
    <t>object assembly</t>
  </si>
  <si>
    <t>pc</t>
  </si>
  <si>
    <t>picture completion</t>
  </si>
  <si>
    <t>pic</t>
  </si>
  <si>
    <t>picture arrangement</t>
  </si>
  <si>
    <t>POI</t>
  </si>
  <si>
    <t>perceptual organization index (Wechsler)</t>
  </si>
  <si>
    <t>PRI</t>
  </si>
  <si>
    <t>perceptual reasoning index (Wechsler)</t>
  </si>
  <si>
    <t>PSI</t>
  </si>
  <si>
    <t>processing speed index (Wechsler)</t>
  </si>
  <si>
    <t>sim</t>
  </si>
  <si>
    <t>similarities</t>
  </si>
  <si>
    <t>span</t>
  </si>
  <si>
    <t>digit span; b = backwards</t>
  </si>
  <si>
    <t>ss</t>
  </si>
  <si>
    <t>symbol search</t>
  </si>
  <si>
    <t>ss p+f</t>
  </si>
  <si>
    <t>spatial span forwards and backwards</t>
  </si>
  <si>
    <t>VCI</t>
  </si>
  <si>
    <t>verbal comprehension index (Wechsler)</t>
  </si>
  <si>
    <t>vpa</t>
  </si>
  <si>
    <t>verbal pair associates</t>
  </si>
  <si>
    <t>WMI</t>
  </si>
  <si>
    <t>working memory index (Wechsler)</t>
  </si>
  <si>
    <t>composite working memory - RAVLT: immediate recall, delayed recall, delayed recognition; WAIS-III: span</t>
  </si>
  <si>
    <t>span, lm, visual reproduction, BIRT memory and information processing battery, speed of information processing, ds, grooved pegboard, trailt, verbal fluency, WCST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</si>
</sst>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3" x14ac:knownFonts="1">
    <font>
      <sz val="11"/>
      <color theme="1"/>
      <name val="Calibri"/>
      <family val="2"/>
      <scheme val="minor"/>
    </font>
    <font>
      <i/>
      <sz val="11"/>
      <color theme="1"/>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s>
  <cellStyleXfs count="1">
    <xf numFmtId="0" fontId="0" fillId="0" borderId="0"/>
  </cellStyleXfs>
  <cellXfs count="12">
    <xf numFmtId="0" fontId="0" fillId="0" borderId="0" xfId="0"/>
    <xf numFmtId="2" fontId="0" fillId="0" borderId="0" xfId="0" applyNumberFormat="1"/>
    <xf numFmtId="11" fontId="0" fillId="0" borderId="0" xfId="0" applyNumberFormat="1"/>
    <xf numFmtId="164" fontId="0" fillId="0" borderId="0" xfId="0" applyNumberFormat="1"/>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49" fontId="0" fillId="0" borderId="0" xfId="0" applyNumberFormat="1"/>
    <xf numFmtId="1" fontId="0" fillId="0" borderId="0" xfId="0" applyNumberFormat="1"/>
    <xf numFmtId="165"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5"/>
  <sheetViews>
    <sheetView topLeftCell="U1" workbookViewId="0">
      <selection activeCell="AF1" sqref="AF1:AF1048576"/>
    </sheetView>
  </sheetViews>
  <sheetFormatPr baseColWidth="10" defaultColWidth="9.140625" defaultRowHeight="15" x14ac:dyDescent="0.25"/>
  <cols>
    <col min="1" max="1" width="11.42578125" style="9" customWidth="1"/>
    <col min="2" max="2" width="11.42578125" style="1" customWidth="1"/>
    <col min="3" max="4" width="11.42578125" style="10" customWidth="1"/>
    <col min="5" max="6" width="11.42578125" style="9" customWidth="1"/>
    <col min="7" max="8" width="11.42578125" style="1" customWidth="1"/>
    <col min="9" max="9" width="11.42578125" style="9" customWidth="1"/>
    <col min="10" max="10" width="11.42578125" style="1" customWidth="1"/>
    <col min="11" max="11" width="11.42578125" style="10" customWidth="1"/>
    <col min="12" max="12" width="11.42578125" style="3" customWidth="1"/>
    <col min="13" max="13" width="11.42578125" style="11" customWidth="1"/>
    <col min="14" max="14" width="11.42578125" customWidth="1"/>
    <col min="15" max="18" width="11.42578125" style="11" customWidth="1"/>
    <col min="19" max="22" width="11.42578125" style="9" customWidth="1"/>
    <col min="23" max="24" width="11.42578125" style="1" customWidth="1"/>
    <col min="25" max="25" width="11.42578125" style="3" customWidth="1"/>
    <col min="26" max="27" width="11.42578125" style="11" customWidth="1"/>
    <col min="28" max="32" width="11.42578125" style="10" customWidth="1"/>
    <col min="33" max="34" width="11.42578125" style="9" customWidth="1"/>
  </cols>
  <sheetData>
    <row r="1" spans="1:34" x14ac:dyDescent="0.25">
      <c r="A1" s="9" t="s">
        <v>0</v>
      </c>
      <c r="B1" s="1" t="s">
        <v>2</v>
      </c>
      <c r="C1" s="10" t="s">
        <v>3</v>
      </c>
      <c r="D1" s="10" t="s">
        <v>4</v>
      </c>
      <c r="E1" s="9" t="s">
        <v>5</v>
      </c>
      <c r="F1" s="9" t="s">
        <v>6</v>
      </c>
      <c r="G1" s="1" t="s">
        <v>7</v>
      </c>
      <c r="H1" s="1" t="s">
        <v>8</v>
      </c>
      <c r="I1" s="9" t="s">
        <v>9</v>
      </c>
      <c r="J1" s="1" t="s">
        <v>273</v>
      </c>
      <c r="K1" s="10" t="s">
        <v>849</v>
      </c>
      <c r="L1" s="3" t="s">
        <v>10</v>
      </c>
      <c r="M1" s="11" t="s">
        <v>317</v>
      </c>
      <c r="N1" t="s">
        <v>11</v>
      </c>
      <c r="O1" s="11" t="s">
        <v>318</v>
      </c>
      <c r="P1" s="11" t="s">
        <v>319</v>
      </c>
      <c r="Q1" s="11" t="s">
        <v>320</v>
      </c>
      <c r="R1" s="11" t="s">
        <v>321</v>
      </c>
      <c r="S1" s="9" t="s">
        <v>12</v>
      </c>
      <c r="T1" s="9" t="s">
        <v>13</v>
      </c>
      <c r="U1" s="9" t="s">
        <v>14</v>
      </c>
      <c r="V1" s="9" t="s">
        <v>15</v>
      </c>
      <c r="W1" s="1" t="s">
        <v>16</v>
      </c>
      <c r="X1" s="1" t="s">
        <v>17</v>
      </c>
      <c r="Y1" s="3" t="s">
        <v>18</v>
      </c>
      <c r="Z1" s="11" t="s">
        <v>322</v>
      </c>
      <c r="AA1" s="11" t="s">
        <v>501</v>
      </c>
      <c r="AB1" s="10" t="s">
        <v>19</v>
      </c>
      <c r="AC1" s="10" t="s">
        <v>20</v>
      </c>
      <c r="AD1" s="10" t="s">
        <v>21</v>
      </c>
      <c r="AE1" s="10" t="s">
        <v>22</v>
      </c>
      <c r="AF1" s="10" t="s">
        <v>23</v>
      </c>
      <c r="AG1" s="9" t="s">
        <v>24</v>
      </c>
      <c r="AH1" s="9" t="s">
        <v>25</v>
      </c>
    </row>
    <row r="2" spans="1:34" x14ac:dyDescent="0.25">
      <c r="A2" s="9" t="s">
        <v>502</v>
      </c>
      <c r="B2" s="1" t="s">
        <v>27</v>
      </c>
      <c r="C2" s="10">
        <v>2</v>
      </c>
      <c r="D2" s="10">
        <v>1987</v>
      </c>
      <c r="E2" s="9" t="s">
        <v>28</v>
      </c>
      <c r="F2" s="9" t="s">
        <v>29</v>
      </c>
      <c r="G2" s="1">
        <v>38.4</v>
      </c>
      <c r="H2" s="1">
        <v>14.1</v>
      </c>
      <c r="I2" s="9" t="s">
        <v>30</v>
      </c>
      <c r="J2" s="1">
        <v>0.34</v>
      </c>
      <c r="K2" s="10">
        <v>41</v>
      </c>
      <c r="L2" s="3">
        <v>7.0000000000000007E-2</v>
      </c>
      <c r="M2" s="11">
        <v>2.4755600249999999E-2</v>
      </c>
      <c r="N2">
        <v>20</v>
      </c>
      <c r="O2" s="11">
        <v>7.0114670654325154E-2</v>
      </c>
      <c r="P2" s="11">
        <v>2.6315789473684209E-2</v>
      </c>
      <c r="Q2" s="11">
        <v>7.0947284734271754E-2</v>
      </c>
      <c r="R2" s="11">
        <v>2.4748957546829591E-2</v>
      </c>
      <c r="S2" s="9" t="s">
        <v>32</v>
      </c>
      <c r="T2" s="9" t="s">
        <v>31</v>
      </c>
      <c r="U2" s="9" t="s">
        <v>33</v>
      </c>
      <c r="V2" s="9" t="s">
        <v>950</v>
      </c>
      <c r="W2" s="1">
        <v>11.1</v>
      </c>
      <c r="X2" s="1">
        <v>15</v>
      </c>
      <c r="Y2" s="3">
        <f>W2/X2</f>
        <v>0.74</v>
      </c>
      <c r="Z2" s="11">
        <v>9.4403707996221192E-2</v>
      </c>
      <c r="AA2" s="11">
        <v>0.2145544555173757</v>
      </c>
      <c r="AB2" s="10">
        <v>4</v>
      </c>
      <c r="AC2" s="10">
        <v>4</v>
      </c>
      <c r="AD2" s="10">
        <v>4</v>
      </c>
      <c r="AE2" s="10">
        <v>4</v>
      </c>
      <c r="AF2" s="10">
        <v>1</v>
      </c>
      <c r="AG2" s="9" t="s">
        <v>34</v>
      </c>
      <c r="AH2" s="9" t="s">
        <v>35</v>
      </c>
    </row>
    <row r="3" spans="1:34" x14ac:dyDescent="0.25">
      <c r="A3" s="9" t="s">
        <v>907</v>
      </c>
      <c r="B3" s="1" t="s">
        <v>37</v>
      </c>
      <c r="C3" s="10">
        <v>1</v>
      </c>
      <c r="D3" s="10">
        <v>1991</v>
      </c>
      <c r="E3" s="9" t="s">
        <v>38</v>
      </c>
      <c r="F3" s="9" t="s">
        <v>29</v>
      </c>
      <c r="G3" s="1">
        <v>18.899999999999999</v>
      </c>
      <c r="H3" s="1">
        <v>0.6</v>
      </c>
      <c r="I3" s="9" t="s">
        <v>39</v>
      </c>
      <c r="J3" s="1">
        <v>0</v>
      </c>
      <c r="K3" s="10">
        <v>20</v>
      </c>
      <c r="L3" s="3">
        <v>0.33</v>
      </c>
      <c r="M3" s="11">
        <v>4.1792589999999998E-2</v>
      </c>
      <c r="N3">
        <v>225</v>
      </c>
      <c r="O3" s="11">
        <v>0.34282825441539388</v>
      </c>
      <c r="P3" s="11">
        <v>5.8823529411764712E-2</v>
      </c>
      <c r="Q3" s="11">
        <v>0.33917015198391759</v>
      </c>
      <c r="R3" s="11">
        <v>4.1218978288950138E-2</v>
      </c>
      <c r="S3" s="9" t="s">
        <v>40</v>
      </c>
      <c r="T3" s="9" t="s">
        <v>31</v>
      </c>
      <c r="U3" s="9" t="s">
        <v>33</v>
      </c>
      <c r="V3" s="9" t="s">
        <v>952</v>
      </c>
      <c r="W3" s="1" t="s">
        <v>31</v>
      </c>
      <c r="X3" s="1" t="s">
        <v>31</v>
      </c>
      <c r="Y3" s="3" t="s">
        <v>31</v>
      </c>
      <c r="Z3" s="11" t="s">
        <v>31</v>
      </c>
      <c r="AA3" s="11" t="s">
        <v>31</v>
      </c>
      <c r="AB3" s="10">
        <v>3</v>
      </c>
      <c r="AC3" s="10">
        <v>3</v>
      </c>
      <c r="AD3" s="10">
        <v>3</v>
      </c>
      <c r="AE3" s="10">
        <v>3</v>
      </c>
      <c r="AF3" s="10">
        <v>0</v>
      </c>
      <c r="AG3" s="9" t="s">
        <v>41</v>
      </c>
      <c r="AH3" s="9" t="s">
        <v>35</v>
      </c>
    </row>
    <row r="4" spans="1:34" x14ac:dyDescent="0.25">
      <c r="A4" s="9" t="s">
        <v>907</v>
      </c>
      <c r="B4" s="1" t="s">
        <v>42</v>
      </c>
      <c r="C4" s="10">
        <v>1</v>
      </c>
      <c r="D4" s="10">
        <v>1991</v>
      </c>
      <c r="E4" s="9" t="s">
        <v>38</v>
      </c>
      <c r="F4" s="9" t="s">
        <v>29</v>
      </c>
      <c r="G4" s="1">
        <v>18.899999999999999</v>
      </c>
      <c r="H4" s="1">
        <v>0.6</v>
      </c>
      <c r="I4" s="9" t="s">
        <v>43</v>
      </c>
      <c r="J4" s="1">
        <v>1</v>
      </c>
      <c r="K4" s="10">
        <v>20</v>
      </c>
      <c r="L4" s="3">
        <v>0.51</v>
      </c>
      <c r="M4" s="11">
        <v>2.8813263684210531E-2</v>
      </c>
      <c r="N4">
        <v>225</v>
      </c>
      <c r="O4" s="11">
        <v>0.56272976935214891</v>
      </c>
      <c r="P4" s="11">
        <v>5.8823529411764712E-2</v>
      </c>
      <c r="Q4" s="11">
        <v>0.52150714845195456</v>
      </c>
      <c r="R4" s="11">
        <v>2.789621627089502E-2</v>
      </c>
      <c r="S4" s="9" t="s">
        <v>40</v>
      </c>
      <c r="T4" s="9" t="s">
        <v>31</v>
      </c>
      <c r="U4" s="9" t="s">
        <v>33</v>
      </c>
      <c r="V4" s="9" t="s">
        <v>952</v>
      </c>
      <c r="W4" s="1" t="s">
        <v>31</v>
      </c>
      <c r="X4" s="1" t="s">
        <v>31</v>
      </c>
      <c r="Y4" s="3" t="s">
        <v>31</v>
      </c>
      <c r="Z4" s="11" t="s">
        <v>31</v>
      </c>
      <c r="AA4" s="11" t="s">
        <v>31</v>
      </c>
      <c r="AB4" s="10">
        <v>3</v>
      </c>
      <c r="AC4" s="10">
        <v>3</v>
      </c>
      <c r="AD4" s="10">
        <v>3</v>
      </c>
      <c r="AE4" s="10">
        <v>3</v>
      </c>
      <c r="AF4" s="10">
        <v>0</v>
      </c>
      <c r="AG4" s="9" t="s">
        <v>41</v>
      </c>
      <c r="AH4" s="9" t="s">
        <v>35</v>
      </c>
    </row>
    <row r="5" spans="1:34" x14ac:dyDescent="0.25">
      <c r="A5" s="9" t="s">
        <v>503</v>
      </c>
      <c r="B5" s="1" t="s">
        <v>45</v>
      </c>
      <c r="C5" s="10">
        <v>1</v>
      </c>
      <c r="D5" s="10">
        <v>1993</v>
      </c>
      <c r="E5" s="9" t="s">
        <v>38</v>
      </c>
      <c r="F5" s="9" t="s">
        <v>29</v>
      </c>
      <c r="G5" s="1">
        <v>38</v>
      </c>
      <c r="H5" s="1">
        <v>16</v>
      </c>
      <c r="I5" s="9" t="s">
        <v>39</v>
      </c>
      <c r="J5" s="1">
        <v>0</v>
      </c>
      <c r="K5" s="10">
        <v>30</v>
      </c>
      <c r="L5" s="3">
        <v>0.44</v>
      </c>
      <c r="M5" s="11">
        <v>2.2423481379310349E-2</v>
      </c>
      <c r="N5">
        <v>132</v>
      </c>
      <c r="O5" s="11">
        <v>0.47223080442042559</v>
      </c>
      <c r="P5" s="11">
        <v>3.7037037037037042E-2</v>
      </c>
      <c r="Q5" s="11">
        <v>0.44676664666476429</v>
      </c>
      <c r="R5" s="11">
        <v>2.2091015901227851E-2</v>
      </c>
      <c r="S5" s="9" t="s">
        <v>40</v>
      </c>
      <c r="T5" s="9" t="s">
        <v>46</v>
      </c>
      <c r="U5" s="9" t="s">
        <v>33</v>
      </c>
      <c r="V5" s="9" t="s">
        <v>911</v>
      </c>
      <c r="W5" s="1">
        <v>14</v>
      </c>
      <c r="X5" s="1">
        <v>15</v>
      </c>
      <c r="Y5" s="3">
        <f>W5/X5</f>
        <v>0.93333333333333335</v>
      </c>
      <c r="Z5" s="11">
        <v>0.46481823974569431</v>
      </c>
      <c r="AA5" s="11">
        <v>0.17428549841488991</v>
      </c>
      <c r="AB5" s="10">
        <v>4</v>
      </c>
      <c r="AC5" s="10">
        <v>4</v>
      </c>
      <c r="AD5" s="10">
        <v>4</v>
      </c>
      <c r="AE5" s="10">
        <v>4</v>
      </c>
      <c r="AF5" s="10">
        <v>1</v>
      </c>
      <c r="AG5" s="9" t="s">
        <v>41</v>
      </c>
      <c r="AH5" s="9" t="s">
        <v>35</v>
      </c>
    </row>
    <row r="6" spans="1:34" x14ac:dyDescent="0.25">
      <c r="A6" s="9" t="s">
        <v>503</v>
      </c>
      <c r="B6" s="1" t="s">
        <v>47</v>
      </c>
      <c r="C6" s="10">
        <v>1</v>
      </c>
      <c r="D6" s="10">
        <v>1993</v>
      </c>
      <c r="E6" s="9" t="s">
        <v>38</v>
      </c>
      <c r="F6" s="9" t="s">
        <v>29</v>
      </c>
      <c r="G6" s="1">
        <v>38</v>
      </c>
      <c r="H6" s="1">
        <v>16</v>
      </c>
      <c r="I6" s="9" t="s">
        <v>43</v>
      </c>
      <c r="J6" s="1">
        <v>1</v>
      </c>
      <c r="K6" s="10">
        <v>37</v>
      </c>
      <c r="L6" s="3">
        <v>0.4</v>
      </c>
      <c r="M6" s="11">
        <v>1.9599999999999999E-2</v>
      </c>
      <c r="N6">
        <v>132</v>
      </c>
      <c r="O6" s="11">
        <v>0.42364893019360178</v>
      </c>
      <c r="P6" s="11">
        <v>2.9411764705882349E-2</v>
      </c>
      <c r="Q6" s="11">
        <v>0.40507049738189937</v>
      </c>
      <c r="R6" s="11">
        <v>1.9409964511605669E-2</v>
      </c>
      <c r="S6" s="9" t="s">
        <v>40</v>
      </c>
      <c r="T6" s="9" t="s">
        <v>46</v>
      </c>
      <c r="U6" s="9" t="s">
        <v>33</v>
      </c>
      <c r="V6" s="9" t="s">
        <v>911</v>
      </c>
      <c r="W6" s="1">
        <v>14</v>
      </c>
      <c r="X6" s="1">
        <v>15</v>
      </c>
      <c r="Y6" s="3">
        <f>W6/X6</f>
        <v>0.93333333333333335</v>
      </c>
      <c r="Z6" s="11">
        <v>0.42358687104367881</v>
      </c>
      <c r="AA6" s="11">
        <v>0.1602605661164066</v>
      </c>
      <c r="AB6" s="10">
        <v>4</v>
      </c>
      <c r="AC6" s="10">
        <v>4</v>
      </c>
      <c r="AD6" s="10">
        <v>4</v>
      </c>
      <c r="AE6" s="10">
        <v>4</v>
      </c>
      <c r="AF6" s="10">
        <v>1</v>
      </c>
      <c r="AG6" s="9" t="s">
        <v>41</v>
      </c>
      <c r="AH6" s="9" t="s">
        <v>35</v>
      </c>
    </row>
    <row r="7" spans="1:34" x14ac:dyDescent="0.25">
      <c r="A7" s="9" t="s">
        <v>504</v>
      </c>
      <c r="B7" s="1" t="s">
        <v>49</v>
      </c>
      <c r="C7" s="10">
        <v>1</v>
      </c>
      <c r="D7" s="10">
        <v>1993</v>
      </c>
      <c r="E7" s="9" t="s">
        <v>38</v>
      </c>
      <c r="F7" s="9" t="s">
        <v>29</v>
      </c>
      <c r="G7" s="1">
        <v>43.8</v>
      </c>
      <c r="H7" s="1">
        <v>21.5</v>
      </c>
      <c r="I7" s="9" t="s">
        <v>30</v>
      </c>
      <c r="J7" s="1">
        <v>0.59</v>
      </c>
      <c r="K7" s="10">
        <v>29</v>
      </c>
      <c r="L7" s="3">
        <v>0.43</v>
      </c>
      <c r="M7" s="11">
        <v>2.3728143214285711E-2</v>
      </c>
      <c r="N7">
        <v>415</v>
      </c>
      <c r="O7" s="11">
        <v>0.45989668121267852</v>
      </c>
      <c r="P7" s="11">
        <v>3.8461538461538457E-2</v>
      </c>
      <c r="Q7" s="11">
        <v>0.4369545233551767</v>
      </c>
      <c r="R7" s="11">
        <v>2.337840962990206E-2</v>
      </c>
      <c r="S7" s="9" t="s">
        <v>40</v>
      </c>
      <c r="T7" s="9" t="s">
        <v>50</v>
      </c>
      <c r="U7" s="9" t="s">
        <v>51</v>
      </c>
      <c r="V7" s="9" t="s">
        <v>324</v>
      </c>
      <c r="W7" s="1">
        <v>17.5</v>
      </c>
      <c r="X7" s="1">
        <v>16</v>
      </c>
      <c r="Y7" s="3">
        <f>W7/X7</f>
        <v>1.09375</v>
      </c>
      <c r="Z7" s="11">
        <v>0.39924580055286318</v>
      </c>
      <c r="AA7" s="11">
        <v>0.16637014686887761</v>
      </c>
      <c r="AB7" s="10">
        <v>4</v>
      </c>
      <c r="AC7" s="10">
        <v>2</v>
      </c>
      <c r="AD7" s="10">
        <v>2</v>
      </c>
      <c r="AE7" s="10">
        <v>2</v>
      </c>
      <c r="AF7" s="10">
        <v>0</v>
      </c>
      <c r="AG7" s="9" t="s">
        <v>41</v>
      </c>
      <c r="AH7" s="9" t="s">
        <v>35</v>
      </c>
    </row>
    <row r="8" spans="1:34" x14ac:dyDescent="0.25">
      <c r="A8" s="9" t="s">
        <v>55</v>
      </c>
      <c r="B8" s="1" t="s">
        <v>53</v>
      </c>
      <c r="C8" s="10">
        <v>1</v>
      </c>
      <c r="D8" s="10">
        <v>1994</v>
      </c>
      <c r="E8" s="9" t="s">
        <v>38</v>
      </c>
      <c r="F8" s="9" t="s">
        <v>29</v>
      </c>
      <c r="G8" s="1">
        <v>25</v>
      </c>
      <c r="H8" s="1" t="s">
        <v>31</v>
      </c>
      <c r="I8" s="9" t="s">
        <v>39</v>
      </c>
      <c r="J8" s="1">
        <v>0</v>
      </c>
      <c r="K8" s="10">
        <v>40</v>
      </c>
      <c r="L8" s="3">
        <v>0.39500000000000002</v>
      </c>
      <c r="M8" s="11">
        <v>1.8263943605769231E-2</v>
      </c>
      <c r="N8">
        <v>834</v>
      </c>
      <c r="O8" s="11">
        <v>0.4177106181123123</v>
      </c>
      <c r="P8" s="11">
        <v>2.7027027027027029E-2</v>
      </c>
      <c r="Q8" s="11">
        <v>0.39961454619088549</v>
      </c>
      <c r="R8" s="11">
        <v>1.8105587059236351E-2</v>
      </c>
      <c r="S8" s="9" t="s">
        <v>40</v>
      </c>
      <c r="T8" s="9" t="s">
        <v>50</v>
      </c>
      <c r="U8" s="9" t="s">
        <v>33</v>
      </c>
      <c r="V8" s="9" t="s">
        <v>951</v>
      </c>
      <c r="W8" s="1">
        <v>11.42</v>
      </c>
      <c r="X8" s="1">
        <v>15</v>
      </c>
      <c r="Y8" s="3">
        <f>W8/X8</f>
        <v>0.76133333333333331</v>
      </c>
      <c r="Z8" s="11">
        <v>0.49174983513883108</v>
      </c>
      <c r="AA8" s="11">
        <v>0.1666725441234761</v>
      </c>
      <c r="AB8" s="10">
        <v>4</v>
      </c>
      <c r="AC8" s="10">
        <v>4</v>
      </c>
      <c r="AD8" s="10">
        <v>4</v>
      </c>
      <c r="AE8" s="10">
        <v>4</v>
      </c>
      <c r="AF8" s="10">
        <v>0</v>
      </c>
      <c r="AG8" s="9" t="s">
        <v>41</v>
      </c>
      <c r="AH8" s="9" t="s">
        <v>35</v>
      </c>
    </row>
    <row r="9" spans="1:34" x14ac:dyDescent="0.25">
      <c r="A9" s="9" t="s">
        <v>506</v>
      </c>
      <c r="B9" s="1" t="s">
        <v>57</v>
      </c>
      <c r="C9" s="10">
        <v>2</v>
      </c>
      <c r="D9" s="10">
        <v>1995</v>
      </c>
      <c r="E9" s="9" t="s">
        <v>28</v>
      </c>
      <c r="F9" s="9" t="s">
        <v>29</v>
      </c>
      <c r="G9" s="1">
        <v>29.4</v>
      </c>
      <c r="H9" s="1">
        <v>11.7</v>
      </c>
      <c r="I9" s="9" t="s">
        <v>30</v>
      </c>
      <c r="J9" s="1">
        <v>0.71</v>
      </c>
      <c r="K9" s="10">
        <v>72</v>
      </c>
      <c r="L9" s="3">
        <v>-0.03</v>
      </c>
      <c r="M9" s="11">
        <v>1.4059166338028169E-2</v>
      </c>
      <c r="N9">
        <v>387</v>
      </c>
      <c r="O9" s="11">
        <v>-3.000900486312652E-2</v>
      </c>
      <c r="P9" s="11">
        <v>1.4492753623188409E-2</v>
      </c>
      <c r="Q9" s="11">
        <v>-3.0221187156945419E-2</v>
      </c>
      <c r="R9" s="11">
        <v>1.405879146263876E-2</v>
      </c>
      <c r="S9" s="9" t="s">
        <v>40</v>
      </c>
      <c r="T9" s="9" t="s">
        <v>50</v>
      </c>
      <c r="U9" s="9" t="s">
        <v>33</v>
      </c>
      <c r="V9" s="9" t="s">
        <v>911</v>
      </c>
      <c r="W9" s="1">
        <v>13.1</v>
      </c>
      <c r="X9" s="1">
        <v>15</v>
      </c>
      <c r="Y9" s="3">
        <f>W9/X9</f>
        <v>0.87333333333333329</v>
      </c>
      <c r="Z9" s="11">
        <v>-3.4346336867542092E-2</v>
      </c>
      <c r="AA9" s="11">
        <v>0.13673920291569619</v>
      </c>
      <c r="AB9" s="10">
        <v>4</v>
      </c>
      <c r="AC9" s="10">
        <v>4</v>
      </c>
      <c r="AD9" s="10">
        <v>4</v>
      </c>
      <c r="AE9" s="10">
        <v>4</v>
      </c>
      <c r="AF9" s="10">
        <v>0</v>
      </c>
      <c r="AG9" s="9" t="s">
        <v>41</v>
      </c>
      <c r="AH9" s="9" t="s">
        <v>35</v>
      </c>
    </row>
    <row r="10" spans="1:34" x14ac:dyDescent="0.25">
      <c r="A10" s="9" t="s">
        <v>58</v>
      </c>
      <c r="B10" s="1" t="s">
        <v>59</v>
      </c>
      <c r="C10" s="10">
        <v>1</v>
      </c>
      <c r="D10" s="10">
        <v>1995</v>
      </c>
      <c r="E10" s="9" t="s">
        <v>38</v>
      </c>
      <c r="F10" s="9" t="s">
        <v>29</v>
      </c>
      <c r="G10" s="1">
        <v>22.5</v>
      </c>
      <c r="H10" s="1">
        <v>5</v>
      </c>
      <c r="I10" s="9" t="s">
        <v>43</v>
      </c>
      <c r="J10" s="1">
        <v>1</v>
      </c>
      <c r="K10" s="10">
        <v>40</v>
      </c>
      <c r="L10" s="3">
        <v>0.31</v>
      </c>
      <c r="M10" s="11">
        <v>2.0949620769230771E-2</v>
      </c>
      <c r="N10">
        <v>114</v>
      </c>
      <c r="O10" s="11">
        <v>0.32054540930194608</v>
      </c>
      <c r="P10" s="11">
        <v>2.7027027027027029E-2</v>
      </c>
      <c r="Q10" s="11">
        <v>0.31389376629318377</v>
      </c>
      <c r="R10" s="11">
        <v>2.083716485222659E-2</v>
      </c>
      <c r="S10" s="9" t="s">
        <v>40</v>
      </c>
      <c r="T10" s="9" t="s">
        <v>50</v>
      </c>
      <c r="U10" s="9" t="s">
        <v>33</v>
      </c>
      <c r="V10" s="9" t="s">
        <v>911</v>
      </c>
      <c r="W10" s="1">
        <v>9.3000000000000007</v>
      </c>
      <c r="X10" s="1">
        <v>15</v>
      </c>
      <c r="Y10" s="3">
        <v>0.62</v>
      </c>
      <c r="Z10" s="11">
        <v>0.46546380743016469</v>
      </c>
      <c r="AA10" s="11">
        <v>0.2006894049941142</v>
      </c>
      <c r="AB10" s="10">
        <v>3</v>
      </c>
      <c r="AC10" s="10">
        <v>4</v>
      </c>
      <c r="AD10" s="10">
        <v>3</v>
      </c>
      <c r="AE10" s="10">
        <v>3</v>
      </c>
      <c r="AF10" s="10">
        <v>0</v>
      </c>
      <c r="AG10" s="9" t="s">
        <v>41</v>
      </c>
      <c r="AH10" s="9" t="s">
        <v>35</v>
      </c>
    </row>
    <row r="11" spans="1:34" x14ac:dyDescent="0.25">
      <c r="A11" s="9" t="s">
        <v>507</v>
      </c>
      <c r="B11" s="1" t="s">
        <v>61</v>
      </c>
      <c r="C11" s="10">
        <v>2</v>
      </c>
      <c r="D11" s="10">
        <v>1995</v>
      </c>
      <c r="E11" s="9" t="s">
        <v>28</v>
      </c>
      <c r="F11" s="9" t="s">
        <v>29</v>
      </c>
      <c r="G11" s="1">
        <v>26.39</v>
      </c>
      <c r="H11" s="1">
        <v>6.86</v>
      </c>
      <c r="I11" s="9" t="s">
        <v>30</v>
      </c>
      <c r="J11" s="1">
        <v>0.54</v>
      </c>
      <c r="K11" s="10">
        <v>28</v>
      </c>
      <c r="L11" s="3">
        <v>0.65</v>
      </c>
      <c r="M11" s="11">
        <v>1.235208333333333E-2</v>
      </c>
      <c r="N11">
        <v>202</v>
      </c>
      <c r="O11" s="11">
        <v>0.7752987062055835</v>
      </c>
      <c r="P11" s="11">
        <v>0.04</v>
      </c>
      <c r="Q11" s="11">
        <v>0.65758407460778479</v>
      </c>
      <c r="R11" s="11">
        <v>1.193150635899771E-2</v>
      </c>
      <c r="S11" s="9" t="s">
        <v>40</v>
      </c>
      <c r="T11" s="9" t="s">
        <v>50</v>
      </c>
      <c r="U11" s="9" t="s">
        <v>33</v>
      </c>
      <c r="V11" s="9" t="s">
        <v>911</v>
      </c>
      <c r="W11" s="1">
        <v>9.0969999999999995</v>
      </c>
      <c r="X11" s="1">
        <v>15</v>
      </c>
      <c r="Y11" s="3">
        <f>W11/X11</f>
        <v>0.6064666666666666</v>
      </c>
      <c r="Z11" s="11">
        <v>0.81575321671654899</v>
      </c>
      <c r="AA11" s="11">
        <v>0.10835264232979699</v>
      </c>
      <c r="AB11" s="10">
        <v>4</v>
      </c>
      <c r="AC11" s="10">
        <v>4</v>
      </c>
      <c r="AD11" s="10">
        <v>4</v>
      </c>
      <c r="AE11" s="10">
        <v>4</v>
      </c>
      <c r="AF11" s="10">
        <v>0</v>
      </c>
      <c r="AG11" s="9" t="s">
        <v>41</v>
      </c>
      <c r="AH11" s="9" t="s">
        <v>35</v>
      </c>
    </row>
    <row r="12" spans="1:34" x14ac:dyDescent="0.25">
      <c r="A12" s="9" t="s">
        <v>508</v>
      </c>
      <c r="B12" s="1" t="s">
        <v>65</v>
      </c>
      <c r="C12" s="10">
        <v>1</v>
      </c>
      <c r="D12" s="10">
        <v>1995</v>
      </c>
      <c r="E12" s="9" t="s">
        <v>38</v>
      </c>
      <c r="F12" s="9" t="s">
        <v>29</v>
      </c>
      <c r="G12" s="1">
        <v>27.66</v>
      </c>
      <c r="H12" s="1">
        <v>7.31</v>
      </c>
      <c r="I12" s="9" t="s">
        <v>30</v>
      </c>
      <c r="J12" s="1">
        <v>0.63</v>
      </c>
      <c r="K12" s="10">
        <v>68</v>
      </c>
      <c r="L12" s="3">
        <v>0.3</v>
      </c>
      <c r="M12" s="11">
        <v>1.235970149253731E-2</v>
      </c>
      <c r="N12" t="s">
        <v>63</v>
      </c>
      <c r="O12" s="11">
        <v>0.30951960420311181</v>
      </c>
      <c r="P12" s="11">
        <v>1.5384615384615391E-2</v>
      </c>
      <c r="Q12" s="11">
        <v>0.30213411933817091</v>
      </c>
      <c r="R12" s="11">
        <v>1.2324819460414589E-2</v>
      </c>
      <c r="S12" s="9" t="s">
        <v>40</v>
      </c>
      <c r="T12" s="9" t="s">
        <v>50</v>
      </c>
      <c r="U12" s="9" t="s">
        <v>33</v>
      </c>
      <c r="V12" s="9" t="s">
        <v>953</v>
      </c>
      <c r="W12" s="1" t="s">
        <v>31</v>
      </c>
      <c r="X12" s="1" t="s">
        <v>31</v>
      </c>
      <c r="Y12" s="3" t="s">
        <v>31</v>
      </c>
      <c r="Z12" s="11" t="s">
        <v>31</v>
      </c>
      <c r="AA12" s="11" t="s">
        <v>31</v>
      </c>
      <c r="AB12" s="10" t="s">
        <v>31</v>
      </c>
      <c r="AC12" s="10" t="s">
        <v>31</v>
      </c>
      <c r="AD12" s="10" t="s">
        <v>31</v>
      </c>
      <c r="AE12" s="10" t="s">
        <v>31</v>
      </c>
      <c r="AF12" s="10">
        <v>0</v>
      </c>
      <c r="AG12" s="9" t="s">
        <v>41</v>
      </c>
      <c r="AH12" s="9" t="s">
        <v>63</v>
      </c>
    </row>
    <row r="13" spans="1:34" x14ac:dyDescent="0.25">
      <c r="A13" s="9" t="s">
        <v>66</v>
      </c>
      <c r="B13" s="1" t="s">
        <v>68</v>
      </c>
      <c r="C13" s="10">
        <v>2</v>
      </c>
      <c r="D13" s="10">
        <v>1995</v>
      </c>
      <c r="E13" s="9" t="s">
        <v>28</v>
      </c>
      <c r="F13" s="9" t="s">
        <v>29</v>
      </c>
      <c r="G13" s="1">
        <v>35.200000000000003</v>
      </c>
      <c r="H13" s="1">
        <v>8.32</v>
      </c>
      <c r="I13" s="9" t="s">
        <v>30</v>
      </c>
      <c r="J13" s="1">
        <v>0.77</v>
      </c>
      <c r="K13" s="10">
        <v>11</v>
      </c>
      <c r="L13" s="3">
        <v>-0.24</v>
      </c>
      <c r="M13" s="11">
        <v>8.8811775999999995E-2</v>
      </c>
      <c r="N13">
        <v>363</v>
      </c>
      <c r="O13" s="11">
        <v>-0.24477411265935289</v>
      </c>
      <c r="P13" s="11">
        <v>0.125</v>
      </c>
      <c r="Q13" s="11">
        <v>-0.25628031443357258</v>
      </c>
      <c r="R13" s="11">
        <v>8.729546106668308E-2</v>
      </c>
      <c r="S13" s="9" t="s">
        <v>40</v>
      </c>
      <c r="T13" s="9" t="s">
        <v>46</v>
      </c>
      <c r="U13" s="9" t="s">
        <v>33</v>
      </c>
      <c r="V13" s="9" t="s">
        <v>325</v>
      </c>
      <c r="W13" s="1">
        <v>12.71</v>
      </c>
      <c r="X13" s="1">
        <v>15</v>
      </c>
      <c r="Y13" s="3">
        <f>W13/X13</f>
        <v>0.84733333333333338</v>
      </c>
      <c r="Z13" s="11">
        <v>-0.2800906320716347</v>
      </c>
      <c r="AA13" s="11">
        <v>0.36928952823281802</v>
      </c>
      <c r="AB13" s="10">
        <v>4</v>
      </c>
      <c r="AC13" s="10">
        <v>4</v>
      </c>
      <c r="AD13" s="10">
        <v>4</v>
      </c>
      <c r="AE13" s="10">
        <v>4</v>
      </c>
      <c r="AF13" s="10">
        <v>0</v>
      </c>
      <c r="AG13" s="9" t="s">
        <v>41</v>
      </c>
      <c r="AH13" s="9" t="s">
        <v>35</v>
      </c>
    </row>
    <row r="14" spans="1:34" x14ac:dyDescent="0.25">
      <c r="A14" s="9" t="s">
        <v>71</v>
      </c>
      <c r="B14" s="1" t="s">
        <v>70</v>
      </c>
      <c r="C14" s="10">
        <v>2</v>
      </c>
      <c r="D14" s="10">
        <v>1995</v>
      </c>
      <c r="E14" s="9" t="s">
        <v>38</v>
      </c>
      <c r="F14" s="9" t="s">
        <v>54</v>
      </c>
      <c r="G14" s="1">
        <v>11.28</v>
      </c>
      <c r="H14" s="1" t="s">
        <v>31</v>
      </c>
      <c r="I14" s="9" t="s">
        <v>30</v>
      </c>
      <c r="J14" s="1">
        <v>0.42</v>
      </c>
      <c r="K14" s="10">
        <v>87</v>
      </c>
      <c r="L14" s="3">
        <v>0</v>
      </c>
      <c r="M14" s="11">
        <v>1.1627906976744189E-2</v>
      </c>
      <c r="N14" t="s">
        <v>63</v>
      </c>
      <c r="O14" s="11">
        <v>0</v>
      </c>
      <c r="P14" s="11">
        <v>1.1904761904761901E-2</v>
      </c>
      <c r="Q14" s="11">
        <v>0</v>
      </c>
      <c r="R14" s="11">
        <v>1.1627906976744189E-2</v>
      </c>
      <c r="S14" s="9" t="s">
        <v>40</v>
      </c>
      <c r="T14" s="9" t="s">
        <v>50</v>
      </c>
      <c r="U14" s="9" t="s">
        <v>33</v>
      </c>
      <c r="V14" s="9" t="s">
        <v>326</v>
      </c>
      <c r="W14" s="1" t="s">
        <v>31</v>
      </c>
      <c r="X14" s="1" t="s">
        <v>31</v>
      </c>
      <c r="Y14" s="3" t="s">
        <v>31</v>
      </c>
      <c r="Z14" s="11" t="s">
        <v>31</v>
      </c>
      <c r="AA14" s="11" t="s">
        <v>31</v>
      </c>
      <c r="AB14" s="10" t="s">
        <v>31</v>
      </c>
      <c r="AC14" s="10" t="s">
        <v>31</v>
      </c>
      <c r="AD14" s="10" t="s">
        <v>31</v>
      </c>
      <c r="AE14" s="10" t="s">
        <v>31</v>
      </c>
      <c r="AF14" s="10">
        <v>0</v>
      </c>
      <c r="AG14" s="9" t="s">
        <v>34</v>
      </c>
      <c r="AH14" s="9" t="s">
        <v>63</v>
      </c>
    </row>
    <row r="15" spans="1:34" x14ac:dyDescent="0.25">
      <c r="A15" s="9" t="s">
        <v>71</v>
      </c>
      <c r="B15" s="1" t="s">
        <v>73</v>
      </c>
      <c r="C15" s="10">
        <v>2</v>
      </c>
      <c r="D15" s="10">
        <v>1995</v>
      </c>
      <c r="E15" s="9" t="s">
        <v>28</v>
      </c>
      <c r="F15" s="9" t="s">
        <v>54</v>
      </c>
      <c r="G15" s="1">
        <v>10.8</v>
      </c>
      <c r="H15" s="1" t="s">
        <v>31</v>
      </c>
      <c r="I15" s="9" t="s">
        <v>30</v>
      </c>
      <c r="J15" s="1">
        <v>0.35</v>
      </c>
      <c r="K15" s="10">
        <v>51</v>
      </c>
      <c r="L15" s="3">
        <v>0.245</v>
      </c>
      <c r="M15" s="11">
        <v>1.76710600125E-2</v>
      </c>
      <c r="N15">
        <v>163</v>
      </c>
      <c r="O15" s="11">
        <v>0.25008652982489171</v>
      </c>
      <c r="P15" s="11">
        <v>2.0833333333333329E-2</v>
      </c>
      <c r="Q15" s="11">
        <v>0.2474554640907542</v>
      </c>
      <c r="R15" s="11">
        <v>1.762562429308925E-2</v>
      </c>
      <c r="S15" s="9" t="s">
        <v>40</v>
      </c>
      <c r="T15" s="9" t="s">
        <v>50</v>
      </c>
      <c r="U15" s="9" t="s">
        <v>33</v>
      </c>
      <c r="V15" s="9" t="s">
        <v>326</v>
      </c>
      <c r="W15" s="1">
        <v>17</v>
      </c>
      <c r="X15" s="1">
        <v>15</v>
      </c>
      <c r="Y15" s="3">
        <f>W15/X15</f>
        <v>1.1333333333333333</v>
      </c>
      <c r="Z15" s="11">
        <v>0.21762774337286189</v>
      </c>
      <c r="AA15" s="11">
        <v>0.1246866507720661</v>
      </c>
      <c r="AB15" s="10" t="s">
        <v>31</v>
      </c>
      <c r="AC15" s="10" t="s">
        <v>31</v>
      </c>
      <c r="AD15" s="10" t="s">
        <v>31</v>
      </c>
      <c r="AE15" s="10" t="s">
        <v>31</v>
      </c>
      <c r="AF15" s="10">
        <v>0</v>
      </c>
      <c r="AG15" s="9" t="s">
        <v>34</v>
      </c>
      <c r="AH15" s="9" t="s">
        <v>35</v>
      </c>
    </row>
    <row r="16" spans="1:34" x14ac:dyDescent="0.25">
      <c r="A16" s="9" t="s">
        <v>509</v>
      </c>
      <c r="B16" s="1" t="s">
        <v>74</v>
      </c>
      <c r="C16" s="10">
        <v>1</v>
      </c>
      <c r="D16" s="10">
        <v>1996</v>
      </c>
      <c r="E16" s="9" t="s">
        <v>38</v>
      </c>
      <c r="F16" s="9" t="s">
        <v>54</v>
      </c>
      <c r="G16" s="1">
        <v>10.6</v>
      </c>
      <c r="H16" s="1">
        <v>2.7</v>
      </c>
      <c r="I16" s="9" t="s">
        <v>39</v>
      </c>
      <c r="J16" s="1">
        <v>0</v>
      </c>
      <c r="K16" s="10">
        <v>57</v>
      </c>
      <c r="L16" s="3">
        <v>0.37</v>
      </c>
      <c r="M16" s="11">
        <v>1.3302528750000001E-2</v>
      </c>
      <c r="N16" t="s">
        <v>63</v>
      </c>
      <c r="O16" s="11">
        <v>0.38842309971829619</v>
      </c>
      <c r="P16" s="11">
        <v>1.8518518518518521E-2</v>
      </c>
      <c r="Q16" s="11">
        <v>0.37300868284024669</v>
      </c>
      <c r="R16" s="11">
        <v>1.323370939542047E-2</v>
      </c>
      <c r="S16" s="9" t="s">
        <v>40</v>
      </c>
      <c r="T16" s="9" t="s">
        <v>50</v>
      </c>
      <c r="U16" s="9" t="s">
        <v>33</v>
      </c>
      <c r="V16" s="9" t="s">
        <v>77</v>
      </c>
      <c r="W16" s="1">
        <v>15</v>
      </c>
      <c r="X16" s="1" t="s">
        <v>31</v>
      </c>
      <c r="Y16" s="3" t="s">
        <v>31</v>
      </c>
      <c r="Z16" s="11" t="s">
        <v>31</v>
      </c>
      <c r="AA16" s="11" t="s">
        <v>31</v>
      </c>
      <c r="AB16" s="10" t="s">
        <v>31</v>
      </c>
      <c r="AC16" s="10" t="s">
        <v>31</v>
      </c>
      <c r="AD16" s="10" t="s">
        <v>31</v>
      </c>
      <c r="AE16" s="10" t="s">
        <v>31</v>
      </c>
      <c r="AF16" s="10">
        <v>0</v>
      </c>
      <c r="AG16" s="9" t="s">
        <v>41</v>
      </c>
      <c r="AH16" s="9" t="s">
        <v>63</v>
      </c>
    </row>
    <row r="17" spans="1:34" x14ac:dyDescent="0.25">
      <c r="A17" s="9" t="s">
        <v>509</v>
      </c>
      <c r="B17" s="1" t="s">
        <v>76</v>
      </c>
      <c r="C17" s="10">
        <v>2</v>
      </c>
      <c r="D17" s="10">
        <v>1996</v>
      </c>
      <c r="E17" s="9" t="s">
        <v>38</v>
      </c>
      <c r="F17" s="9" t="s">
        <v>54</v>
      </c>
      <c r="G17" s="1">
        <v>10.1</v>
      </c>
      <c r="H17" s="1">
        <v>2.7</v>
      </c>
      <c r="I17" s="9" t="s">
        <v>43</v>
      </c>
      <c r="J17" s="1">
        <v>1</v>
      </c>
      <c r="K17" s="10">
        <v>12</v>
      </c>
      <c r="L17" s="3">
        <v>0.52</v>
      </c>
      <c r="M17" s="11">
        <v>4.8392378181818192E-2</v>
      </c>
      <c r="N17" t="s">
        <v>63</v>
      </c>
      <c r="O17" s="11">
        <v>0.57633975496919276</v>
      </c>
      <c r="P17" s="11">
        <v>0.1111111111111111</v>
      </c>
      <c r="Q17" s="11">
        <v>0.54236991046820004</v>
      </c>
      <c r="R17" s="11">
        <v>4.5291170739397292E-2</v>
      </c>
      <c r="S17" s="9" t="s">
        <v>40</v>
      </c>
      <c r="T17" s="9" t="s">
        <v>50</v>
      </c>
      <c r="U17" s="9" t="s">
        <v>33</v>
      </c>
      <c r="V17" s="9" t="s">
        <v>77</v>
      </c>
      <c r="W17" s="1">
        <v>17</v>
      </c>
      <c r="X17" s="1" t="s">
        <v>31</v>
      </c>
      <c r="Y17" s="3" t="s">
        <v>31</v>
      </c>
      <c r="Z17" s="11" t="s">
        <v>31</v>
      </c>
      <c r="AA17" s="11" t="s">
        <v>31</v>
      </c>
      <c r="AB17" s="10" t="s">
        <v>31</v>
      </c>
      <c r="AC17" s="10" t="s">
        <v>31</v>
      </c>
      <c r="AD17" s="10" t="s">
        <v>31</v>
      </c>
      <c r="AE17" s="10" t="s">
        <v>31</v>
      </c>
      <c r="AF17" s="10">
        <v>0</v>
      </c>
      <c r="AG17" s="9" t="s">
        <v>41</v>
      </c>
      <c r="AH17" s="9" t="s">
        <v>63</v>
      </c>
    </row>
    <row r="18" spans="1:34" x14ac:dyDescent="0.25">
      <c r="A18" s="9" t="s">
        <v>510</v>
      </c>
      <c r="B18" s="1" t="s">
        <v>78</v>
      </c>
      <c r="C18" s="10">
        <v>2</v>
      </c>
      <c r="D18" s="10">
        <v>1997</v>
      </c>
      <c r="E18" s="9" t="s">
        <v>28</v>
      </c>
      <c r="F18" s="9" t="s">
        <v>29</v>
      </c>
      <c r="G18" s="1">
        <v>70.2</v>
      </c>
      <c r="H18" s="1">
        <v>7.1</v>
      </c>
      <c r="I18" s="9" t="s">
        <v>30</v>
      </c>
      <c r="J18" s="1">
        <v>0.38</v>
      </c>
      <c r="K18" s="10">
        <v>60</v>
      </c>
      <c r="L18" s="3">
        <v>0.39900000000000002</v>
      </c>
      <c r="M18" s="11">
        <v>1.198208404069492E-2</v>
      </c>
      <c r="N18">
        <v>21</v>
      </c>
      <c r="O18" s="11">
        <v>0.4224590200651368</v>
      </c>
      <c r="P18" s="11">
        <v>1.754385964912281E-2</v>
      </c>
      <c r="Q18" s="11">
        <v>0.40198886130584272</v>
      </c>
      <c r="R18" s="11">
        <v>1.191394693586194E-2</v>
      </c>
      <c r="S18" s="9" t="s">
        <v>40</v>
      </c>
      <c r="T18" s="9" t="s">
        <v>50</v>
      </c>
      <c r="U18" s="9" t="s">
        <v>33</v>
      </c>
      <c r="V18" s="9" t="s">
        <v>911</v>
      </c>
      <c r="W18" s="1">
        <v>12.5</v>
      </c>
      <c r="X18" s="1">
        <v>15</v>
      </c>
      <c r="Y18" s="3">
        <f t="shared" ref="Y18:Y26" si="0">W18/X18</f>
        <v>0.83333333333333337</v>
      </c>
      <c r="Z18" s="11">
        <v>0.46286295393275628</v>
      </c>
      <c r="AA18" s="11">
        <v>0.1305293529650027</v>
      </c>
      <c r="AB18" s="10">
        <v>4</v>
      </c>
      <c r="AC18" s="10">
        <v>4</v>
      </c>
      <c r="AD18" s="10">
        <v>4</v>
      </c>
      <c r="AE18" s="10">
        <v>4</v>
      </c>
      <c r="AF18" s="10">
        <v>3</v>
      </c>
      <c r="AG18" s="9" t="s">
        <v>34</v>
      </c>
      <c r="AH18" s="9" t="s">
        <v>35</v>
      </c>
    </row>
    <row r="19" spans="1:34" x14ac:dyDescent="0.25">
      <c r="A19" s="9" t="s">
        <v>511</v>
      </c>
      <c r="B19" s="1" t="s">
        <v>80</v>
      </c>
      <c r="C19" s="10">
        <v>2</v>
      </c>
      <c r="D19" s="10">
        <v>1997</v>
      </c>
      <c r="E19" s="9" t="s">
        <v>38</v>
      </c>
      <c r="F19" s="9" t="s">
        <v>29</v>
      </c>
      <c r="G19" s="1">
        <v>24.8</v>
      </c>
      <c r="H19" s="1">
        <v>4.5</v>
      </c>
      <c r="I19" s="9" t="s">
        <v>30</v>
      </c>
      <c r="J19" s="1">
        <v>0.53</v>
      </c>
      <c r="K19" s="10">
        <v>62</v>
      </c>
      <c r="L19" s="3">
        <v>0.38</v>
      </c>
      <c r="M19" s="11">
        <v>1.200084196721312E-2</v>
      </c>
      <c r="N19">
        <v>4</v>
      </c>
      <c r="O19" s="11">
        <v>0.40005965005605648</v>
      </c>
      <c r="P19" s="11">
        <v>1.6949152542372881E-2</v>
      </c>
      <c r="Q19" s="11">
        <v>0.38279862848911328</v>
      </c>
      <c r="R19" s="11">
        <v>1.194103056928167E-2</v>
      </c>
      <c r="S19" s="9" t="s">
        <v>40</v>
      </c>
      <c r="T19" s="9" t="s">
        <v>50</v>
      </c>
      <c r="U19" s="9" t="s">
        <v>33</v>
      </c>
      <c r="V19" s="9" t="s">
        <v>911</v>
      </c>
      <c r="W19" s="1">
        <v>12.2</v>
      </c>
      <c r="X19" s="1">
        <v>15</v>
      </c>
      <c r="Y19" s="3">
        <f t="shared" si="0"/>
        <v>0.81333333333333324</v>
      </c>
      <c r="Z19" s="11">
        <v>0.45085356817418942</v>
      </c>
      <c r="AA19" s="11">
        <v>0.1319327605223104</v>
      </c>
      <c r="AB19" s="10">
        <v>4</v>
      </c>
      <c r="AC19" s="10">
        <v>4</v>
      </c>
      <c r="AD19" s="10">
        <v>4</v>
      </c>
      <c r="AE19" s="10">
        <v>4</v>
      </c>
      <c r="AF19" s="10">
        <v>0</v>
      </c>
      <c r="AG19" s="9" t="s">
        <v>41</v>
      </c>
      <c r="AH19" s="9" t="s">
        <v>35</v>
      </c>
    </row>
    <row r="20" spans="1:34" x14ac:dyDescent="0.25">
      <c r="A20" s="9" t="s">
        <v>512</v>
      </c>
      <c r="B20" s="1" t="s">
        <v>82</v>
      </c>
      <c r="C20" s="10">
        <v>1</v>
      </c>
      <c r="D20" s="10">
        <v>1998</v>
      </c>
      <c r="E20" s="9" t="s">
        <v>38</v>
      </c>
      <c r="F20" s="9" t="s">
        <v>29</v>
      </c>
      <c r="G20" s="1">
        <v>27</v>
      </c>
      <c r="H20" s="1">
        <v>10</v>
      </c>
      <c r="I20" s="9" t="s">
        <v>30</v>
      </c>
      <c r="J20" s="1">
        <v>0.53</v>
      </c>
      <c r="K20" s="10">
        <v>90</v>
      </c>
      <c r="L20" s="3">
        <v>0.25</v>
      </c>
      <c r="M20" s="11">
        <v>9.8753511235955063E-3</v>
      </c>
      <c r="N20">
        <v>152</v>
      </c>
      <c r="O20" s="11">
        <v>0.25541281188299542</v>
      </c>
      <c r="P20" s="11">
        <v>1.149425287356322E-2</v>
      </c>
      <c r="Q20" s="11">
        <v>0.2513643005523179</v>
      </c>
      <c r="R20" s="11">
        <v>9.8609460240063548E-3</v>
      </c>
      <c r="S20" s="9" t="s">
        <v>40</v>
      </c>
      <c r="T20" s="9" t="s">
        <v>50</v>
      </c>
      <c r="U20" s="9" t="s">
        <v>33</v>
      </c>
      <c r="V20" s="9" t="s">
        <v>911</v>
      </c>
      <c r="W20" s="1">
        <v>12</v>
      </c>
      <c r="X20" s="1">
        <v>15</v>
      </c>
      <c r="Y20" s="3">
        <f t="shared" si="0"/>
        <v>0.8</v>
      </c>
      <c r="Z20" s="11">
        <v>0.30714755841697561</v>
      </c>
      <c r="AA20" s="11">
        <v>0.1225026411583235</v>
      </c>
      <c r="AB20" s="10">
        <v>4</v>
      </c>
      <c r="AC20" s="10">
        <v>4</v>
      </c>
      <c r="AD20" s="10">
        <v>4</v>
      </c>
      <c r="AE20" s="10">
        <v>4</v>
      </c>
      <c r="AF20" s="10">
        <v>1</v>
      </c>
      <c r="AG20" s="9" t="s">
        <v>41</v>
      </c>
      <c r="AH20" s="9" t="s">
        <v>35</v>
      </c>
    </row>
    <row r="21" spans="1:34" x14ac:dyDescent="0.25">
      <c r="A21" s="9" t="s">
        <v>513</v>
      </c>
      <c r="B21" s="1" t="s">
        <v>84</v>
      </c>
      <c r="C21" s="10">
        <v>1</v>
      </c>
      <c r="D21" s="10">
        <v>1999</v>
      </c>
      <c r="E21" s="9" t="s">
        <v>38</v>
      </c>
      <c r="F21" s="9" t="s">
        <v>29</v>
      </c>
      <c r="G21" s="1">
        <v>25</v>
      </c>
      <c r="H21" s="1">
        <v>5.3</v>
      </c>
      <c r="I21" s="9" t="s">
        <v>39</v>
      </c>
      <c r="J21" s="1">
        <v>0</v>
      </c>
      <c r="K21" s="10">
        <v>40</v>
      </c>
      <c r="L21" s="3">
        <v>0.4</v>
      </c>
      <c r="M21" s="11">
        <v>1.8092307692307689E-2</v>
      </c>
      <c r="N21">
        <v>4069</v>
      </c>
      <c r="O21" s="11">
        <v>0.42364893019360178</v>
      </c>
      <c r="P21" s="11">
        <v>2.7027027027027029E-2</v>
      </c>
      <c r="Q21" s="11">
        <v>0.40464975908000661</v>
      </c>
      <c r="R21" s="11">
        <v>1.7931497436933879E-2</v>
      </c>
      <c r="S21" s="9" t="s">
        <v>40</v>
      </c>
      <c r="T21" s="9" t="s">
        <v>46</v>
      </c>
      <c r="U21" s="9" t="s">
        <v>33</v>
      </c>
      <c r="V21" s="9" t="s">
        <v>973</v>
      </c>
      <c r="W21" s="1">
        <v>12.9</v>
      </c>
      <c r="X21" s="1">
        <v>15</v>
      </c>
      <c r="Y21" s="3">
        <f t="shared" si="0"/>
        <v>0.86</v>
      </c>
      <c r="Z21" s="11">
        <v>0.45254428518076062</v>
      </c>
      <c r="AA21" s="11">
        <v>0.1592384816671196</v>
      </c>
      <c r="AB21" s="10">
        <v>3</v>
      </c>
      <c r="AC21" s="10">
        <v>3</v>
      </c>
      <c r="AD21" s="10">
        <v>3</v>
      </c>
      <c r="AE21" s="10">
        <v>3</v>
      </c>
      <c r="AF21" s="10">
        <v>0</v>
      </c>
      <c r="AG21" s="9" t="s">
        <v>41</v>
      </c>
      <c r="AH21" s="9" t="s">
        <v>35</v>
      </c>
    </row>
    <row r="22" spans="1:34" x14ac:dyDescent="0.25">
      <c r="A22" s="9" t="s">
        <v>513</v>
      </c>
      <c r="B22" s="1" t="s">
        <v>86</v>
      </c>
      <c r="C22" s="10">
        <v>1</v>
      </c>
      <c r="D22" s="10">
        <v>1999</v>
      </c>
      <c r="E22" s="9" t="s">
        <v>38</v>
      </c>
      <c r="F22" s="9" t="s">
        <v>29</v>
      </c>
      <c r="G22" s="1">
        <v>27</v>
      </c>
      <c r="H22" s="1">
        <v>5.7</v>
      </c>
      <c r="I22" s="9" t="s">
        <v>43</v>
      </c>
      <c r="J22" s="1">
        <v>1</v>
      </c>
      <c r="K22" s="10">
        <v>40</v>
      </c>
      <c r="L22" s="3">
        <v>0.39</v>
      </c>
      <c r="M22" s="11">
        <v>1.8434215641025639E-2</v>
      </c>
      <c r="N22">
        <v>4069</v>
      </c>
      <c r="O22" s="11">
        <v>0.41180003447869029</v>
      </c>
      <c r="P22" s="11">
        <v>2.7027027027027029E-2</v>
      </c>
      <c r="Q22" s="11">
        <v>0.39457848071424662</v>
      </c>
      <c r="R22" s="11">
        <v>1.8278351262342118E-2</v>
      </c>
      <c r="S22" s="9" t="s">
        <v>40</v>
      </c>
      <c r="T22" s="9" t="s">
        <v>46</v>
      </c>
      <c r="U22" s="9" t="s">
        <v>33</v>
      </c>
      <c r="V22" s="9" t="s">
        <v>973</v>
      </c>
      <c r="W22" s="1">
        <v>13.5</v>
      </c>
      <c r="X22" s="1">
        <v>15</v>
      </c>
      <c r="Y22" s="3">
        <f t="shared" si="0"/>
        <v>0.9</v>
      </c>
      <c r="Z22" s="11">
        <v>0.42580403117336912</v>
      </c>
      <c r="AA22" s="11">
        <v>0.15747115871364911</v>
      </c>
      <c r="AB22" s="10">
        <v>3</v>
      </c>
      <c r="AC22" s="10">
        <v>3</v>
      </c>
      <c r="AD22" s="10">
        <v>3</v>
      </c>
      <c r="AE22" s="10">
        <v>3</v>
      </c>
      <c r="AF22" s="10">
        <v>0</v>
      </c>
      <c r="AG22" s="9" t="s">
        <v>41</v>
      </c>
      <c r="AH22" s="9" t="s">
        <v>35</v>
      </c>
    </row>
    <row r="23" spans="1:34" x14ac:dyDescent="0.25">
      <c r="A23" s="9" t="s">
        <v>514</v>
      </c>
      <c r="B23" s="1" t="s">
        <v>87</v>
      </c>
      <c r="C23" s="10">
        <v>1</v>
      </c>
      <c r="D23" s="10">
        <v>1999</v>
      </c>
      <c r="E23" s="9" t="s">
        <v>38</v>
      </c>
      <c r="F23" s="9" t="s">
        <v>29</v>
      </c>
      <c r="G23" s="1">
        <v>22</v>
      </c>
      <c r="H23" s="1" t="s">
        <v>31</v>
      </c>
      <c r="I23" s="9" t="s">
        <v>39</v>
      </c>
      <c r="J23" s="1">
        <v>0</v>
      </c>
      <c r="K23" s="10">
        <v>54</v>
      </c>
      <c r="L23" s="3">
        <v>0.62</v>
      </c>
      <c r="M23" s="11">
        <v>7.1502520754716968E-3</v>
      </c>
      <c r="N23">
        <v>87</v>
      </c>
      <c r="O23" s="11">
        <v>0.72500508775299921</v>
      </c>
      <c r="P23" s="11">
        <v>1.9607843137254902E-2</v>
      </c>
      <c r="Q23" s="11">
        <v>0.62376867449294315</v>
      </c>
      <c r="R23" s="11">
        <v>7.041778388548919E-3</v>
      </c>
      <c r="S23" s="9" t="s">
        <v>40</v>
      </c>
      <c r="T23" s="9" t="s">
        <v>50</v>
      </c>
      <c r="U23" s="9" t="s">
        <v>51</v>
      </c>
      <c r="V23" s="9" t="s">
        <v>324</v>
      </c>
      <c r="W23" s="1">
        <v>18</v>
      </c>
      <c r="X23" s="1">
        <v>16</v>
      </c>
      <c r="Y23" s="3">
        <f t="shared" si="0"/>
        <v>1.125</v>
      </c>
      <c r="Z23" s="11">
        <v>0.57478443142762869</v>
      </c>
      <c r="AA23" s="11">
        <v>0.10972171803399849</v>
      </c>
      <c r="AB23" s="10">
        <v>4</v>
      </c>
      <c r="AC23" s="10">
        <v>2</v>
      </c>
      <c r="AD23" s="10">
        <v>2</v>
      </c>
      <c r="AE23" s="10">
        <v>2</v>
      </c>
      <c r="AF23" s="10">
        <v>0</v>
      </c>
      <c r="AG23" s="9" t="s">
        <v>41</v>
      </c>
      <c r="AH23" s="9" t="s">
        <v>35</v>
      </c>
    </row>
    <row r="24" spans="1:34" x14ac:dyDescent="0.25">
      <c r="A24" s="9" t="s">
        <v>514</v>
      </c>
      <c r="B24" s="1" t="s">
        <v>89</v>
      </c>
      <c r="C24" s="10">
        <v>1</v>
      </c>
      <c r="D24" s="10">
        <v>1999</v>
      </c>
      <c r="E24" s="9" t="s">
        <v>38</v>
      </c>
      <c r="F24" s="9" t="s">
        <v>29</v>
      </c>
      <c r="G24" s="1">
        <v>22</v>
      </c>
      <c r="H24" s="1" t="s">
        <v>31</v>
      </c>
      <c r="I24" s="9" t="s">
        <v>43</v>
      </c>
      <c r="J24" s="1">
        <v>1</v>
      </c>
      <c r="K24" s="10">
        <v>49</v>
      </c>
      <c r="L24" s="3">
        <v>0.28000000000000003</v>
      </c>
      <c r="M24" s="11">
        <v>1.7694720000000001E-2</v>
      </c>
      <c r="N24">
        <v>87</v>
      </c>
      <c r="O24" s="11">
        <v>0.28768207245178101</v>
      </c>
      <c r="P24" s="11">
        <v>2.1739130434782612E-2</v>
      </c>
      <c r="Q24" s="11">
        <v>0.28287119422869161</v>
      </c>
      <c r="R24" s="11">
        <v>1.7632715691974579E-2</v>
      </c>
      <c r="S24" s="9" t="s">
        <v>40</v>
      </c>
      <c r="T24" s="9" t="s">
        <v>50</v>
      </c>
      <c r="U24" s="9" t="s">
        <v>51</v>
      </c>
      <c r="V24" s="9" t="s">
        <v>324</v>
      </c>
      <c r="W24" s="1">
        <v>18</v>
      </c>
      <c r="X24" s="1">
        <v>16</v>
      </c>
      <c r="Y24" s="3">
        <f t="shared" si="0"/>
        <v>1.125</v>
      </c>
      <c r="Z24" s="11">
        <v>0.25096215878372619</v>
      </c>
      <c r="AA24" s="11">
        <v>0.12760802276354491</v>
      </c>
      <c r="AB24" s="10">
        <v>4</v>
      </c>
      <c r="AC24" s="10">
        <v>2</v>
      </c>
      <c r="AD24" s="10">
        <v>2</v>
      </c>
      <c r="AE24" s="10">
        <v>2</v>
      </c>
      <c r="AF24" s="10">
        <v>0</v>
      </c>
      <c r="AG24" s="9" t="s">
        <v>41</v>
      </c>
      <c r="AH24" s="9" t="s">
        <v>35</v>
      </c>
    </row>
    <row r="25" spans="1:34" x14ac:dyDescent="0.25">
      <c r="A25" s="9" t="s">
        <v>515</v>
      </c>
      <c r="B25" s="1" t="s">
        <v>90</v>
      </c>
      <c r="C25" s="10">
        <v>1</v>
      </c>
      <c r="D25" s="10">
        <v>2000</v>
      </c>
      <c r="E25" s="9" t="s">
        <v>38</v>
      </c>
      <c r="F25" s="9" t="s">
        <v>29</v>
      </c>
      <c r="G25" s="1">
        <v>80.7</v>
      </c>
      <c r="H25" s="1">
        <v>0.3</v>
      </c>
      <c r="I25" s="9" t="s">
        <v>39</v>
      </c>
      <c r="J25" s="1">
        <v>0</v>
      </c>
      <c r="K25" s="10">
        <v>22</v>
      </c>
      <c r="L25" s="3">
        <v>0.22</v>
      </c>
      <c r="M25" s="11">
        <v>4.3121074285714288E-2</v>
      </c>
      <c r="N25" t="s">
        <v>63</v>
      </c>
      <c r="O25" s="11">
        <v>0.22365610902183239</v>
      </c>
      <c r="P25" s="11">
        <v>5.2631578947368418E-2</v>
      </c>
      <c r="Q25" s="11">
        <v>0.2258540587709644</v>
      </c>
      <c r="R25" s="11">
        <v>4.2884853051073452E-2</v>
      </c>
      <c r="S25" s="9" t="s">
        <v>40</v>
      </c>
      <c r="T25" s="9" t="s">
        <v>31</v>
      </c>
      <c r="U25" s="9" t="s">
        <v>33</v>
      </c>
      <c r="V25" s="9" t="s">
        <v>950</v>
      </c>
      <c r="W25" s="1">
        <v>14.2</v>
      </c>
      <c r="X25" s="1">
        <v>15</v>
      </c>
      <c r="Y25" s="3">
        <f t="shared" si="0"/>
        <v>0.94666666666666666</v>
      </c>
      <c r="Z25" s="11">
        <v>0.23174555934907609</v>
      </c>
      <c r="AA25" s="11">
        <v>0.22849284764605621</v>
      </c>
      <c r="AB25" s="10">
        <v>4</v>
      </c>
      <c r="AC25" s="10">
        <v>4</v>
      </c>
      <c r="AD25" s="10">
        <v>4</v>
      </c>
      <c r="AE25" s="10">
        <v>4</v>
      </c>
      <c r="AF25" s="10">
        <v>0</v>
      </c>
      <c r="AG25" s="9" t="s">
        <v>34</v>
      </c>
      <c r="AH25" s="9" t="s">
        <v>63</v>
      </c>
    </row>
    <row r="26" spans="1:34" x14ac:dyDescent="0.25">
      <c r="A26" s="9" t="s">
        <v>515</v>
      </c>
      <c r="B26" s="1" t="s">
        <v>92</v>
      </c>
      <c r="C26" s="10">
        <v>1</v>
      </c>
      <c r="D26" s="10">
        <v>2000</v>
      </c>
      <c r="E26" s="9" t="s">
        <v>38</v>
      </c>
      <c r="F26" s="9" t="s">
        <v>29</v>
      </c>
      <c r="G26" s="1">
        <v>80.7</v>
      </c>
      <c r="H26" s="1">
        <v>0.3</v>
      </c>
      <c r="I26" s="9" t="s">
        <v>43</v>
      </c>
      <c r="J26" s="1">
        <v>1</v>
      </c>
      <c r="K26" s="10">
        <v>46</v>
      </c>
      <c r="L26" s="3">
        <v>7.0000000000000007E-2</v>
      </c>
      <c r="M26" s="11">
        <v>2.2004978000000001E-2</v>
      </c>
      <c r="N26" t="s">
        <v>63</v>
      </c>
      <c r="O26" s="11">
        <v>7.0114670654325154E-2</v>
      </c>
      <c r="P26" s="11">
        <v>2.3255813953488368E-2</v>
      </c>
      <c r="Q26" s="11">
        <v>7.0833896185650461E-2</v>
      </c>
      <c r="R26" s="11">
        <v>2.1999784289222061E-2</v>
      </c>
      <c r="S26" s="9" t="s">
        <v>40</v>
      </c>
      <c r="T26" s="9" t="s">
        <v>31</v>
      </c>
      <c r="U26" s="9" t="s">
        <v>33</v>
      </c>
      <c r="V26" s="9" t="s">
        <v>950</v>
      </c>
      <c r="W26" s="1">
        <v>14.2</v>
      </c>
      <c r="X26" s="1">
        <v>15</v>
      </c>
      <c r="Y26" s="3">
        <f t="shared" si="0"/>
        <v>0.94666666666666666</v>
      </c>
      <c r="Z26" s="11">
        <v>7.3922683283234064E-2</v>
      </c>
      <c r="AA26" s="11">
        <v>0.1587231389846708</v>
      </c>
      <c r="AB26" s="10">
        <v>4</v>
      </c>
      <c r="AC26" s="10">
        <v>4</v>
      </c>
      <c r="AD26" s="10">
        <v>4</v>
      </c>
      <c r="AE26" s="10">
        <v>4</v>
      </c>
      <c r="AF26" s="10">
        <v>0</v>
      </c>
      <c r="AG26" s="9" t="s">
        <v>34</v>
      </c>
      <c r="AH26" s="9" t="s">
        <v>63</v>
      </c>
    </row>
    <row r="27" spans="1:34" x14ac:dyDescent="0.25">
      <c r="A27" s="9" t="s">
        <v>943</v>
      </c>
      <c r="B27" s="1" t="s">
        <v>93</v>
      </c>
      <c r="C27" s="10">
        <v>2</v>
      </c>
      <c r="D27" s="10">
        <v>2000</v>
      </c>
      <c r="E27" s="9" t="s">
        <v>38</v>
      </c>
      <c r="F27" s="9" t="s">
        <v>54</v>
      </c>
      <c r="G27" s="1">
        <v>7.75</v>
      </c>
      <c r="H27" s="1" t="s">
        <v>31</v>
      </c>
      <c r="I27" s="9" t="s">
        <v>30</v>
      </c>
      <c r="J27" s="1">
        <v>0.73</v>
      </c>
      <c r="K27" s="10">
        <v>11</v>
      </c>
      <c r="L27" s="3">
        <v>-2.7E-2</v>
      </c>
      <c r="M27" s="11">
        <v>9.98542531441E-2</v>
      </c>
      <c r="N27" t="s">
        <v>63</v>
      </c>
      <c r="O27" s="11">
        <v>-2.7006563871276541E-2</v>
      </c>
      <c r="P27" s="11">
        <v>0.125</v>
      </c>
      <c r="Q27" s="11">
        <v>-2.8990124509301319E-2</v>
      </c>
      <c r="R27" s="11">
        <v>9.9831985167994908E-2</v>
      </c>
      <c r="S27" s="9" t="s">
        <v>40</v>
      </c>
      <c r="T27" s="9" t="s">
        <v>31</v>
      </c>
      <c r="U27" s="9" t="s">
        <v>33</v>
      </c>
      <c r="V27" s="9" t="s">
        <v>264</v>
      </c>
      <c r="W27" s="1" t="s">
        <v>31</v>
      </c>
      <c r="X27" s="1" t="s">
        <v>31</v>
      </c>
      <c r="Y27" s="3" t="s">
        <v>31</v>
      </c>
      <c r="Z27" s="11" t="s">
        <v>31</v>
      </c>
      <c r="AA27" s="11" t="s">
        <v>31</v>
      </c>
      <c r="AB27" s="10">
        <v>4</v>
      </c>
      <c r="AC27" s="10">
        <v>4</v>
      </c>
      <c r="AD27" s="10">
        <v>4</v>
      </c>
      <c r="AE27" s="10">
        <v>4</v>
      </c>
      <c r="AF27" s="10">
        <v>0</v>
      </c>
      <c r="AG27" s="9" t="s">
        <v>34</v>
      </c>
      <c r="AH27" s="9" t="s">
        <v>63</v>
      </c>
    </row>
    <row r="28" spans="1:34" x14ac:dyDescent="0.25">
      <c r="A28" s="9" t="s">
        <v>943</v>
      </c>
      <c r="B28" s="1" t="s">
        <v>96</v>
      </c>
      <c r="C28" s="10">
        <v>2</v>
      </c>
      <c r="D28" s="10">
        <v>2000</v>
      </c>
      <c r="E28" s="9" t="s">
        <v>38</v>
      </c>
      <c r="F28" s="9" t="s">
        <v>54</v>
      </c>
      <c r="G28" s="1">
        <v>7.75</v>
      </c>
      <c r="H28" s="1" t="s">
        <v>31</v>
      </c>
      <c r="I28" s="9" t="s">
        <v>30</v>
      </c>
      <c r="J28" s="1">
        <v>0.38</v>
      </c>
      <c r="K28" s="10">
        <v>8</v>
      </c>
      <c r="L28" s="3">
        <v>0.54800000000000004</v>
      </c>
      <c r="M28" s="11">
        <v>6.9939213202285688E-2</v>
      </c>
      <c r="N28" t="s">
        <v>63</v>
      </c>
      <c r="O28" s="11">
        <v>0.61551843715872068</v>
      </c>
      <c r="P28" s="11">
        <v>0.2</v>
      </c>
      <c r="Q28" s="11">
        <v>0.58922233995307449</v>
      </c>
      <c r="R28" s="11">
        <v>6.0881440001630337E-2</v>
      </c>
      <c r="S28" s="9" t="s">
        <v>40</v>
      </c>
      <c r="T28" s="9" t="s">
        <v>31</v>
      </c>
      <c r="U28" s="9" t="s">
        <v>33</v>
      </c>
      <c r="V28" s="9" t="s">
        <v>264</v>
      </c>
      <c r="W28" s="1" t="s">
        <v>31</v>
      </c>
      <c r="X28" s="1" t="s">
        <v>31</v>
      </c>
      <c r="Y28" s="3" t="s">
        <v>31</v>
      </c>
      <c r="Z28" s="11" t="s">
        <v>31</v>
      </c>
      <c r="AA28" s="11" t="s">
        <v>31</v>
      </c>
      <c r="AB28" s="10">
        <v>4</v>
      </c>
      <c r="AC28" s="10">
        <v>4</v>
      </c>
      <c r="AD28" s="10">
        <v>4</v>
      </c>
      <c r="AE28" s="10">
        <v>4</v>
      </c>
      <c r="AF28" s="10">
        <v>0</v>
      </c>
      <c r="AG28" s="9" t="s">
        <v>34</v>
      </c>
      <c r="AH28" s="9" t="s">
        <v>63</v>
      </c>
    </row>
    <row r="29" spans="1:34" x14ac:dyDescent="0.25">
      <c r="A29" s="9" t="s">
        <v>944</v>
      </c>
      <c r="B29" s="1" t="s">
        <v>98</v>
      </c>
      <c r="C29" s="10">
        <v>2</v>
      </c>
      <c r="D29" s="10">
        <v>2000</v>
      </c>
      <c r="E29" s="9" t="s">
        <v>28</v>
      </c>
      <c r="F29" s="9" t="s">
        <v>54</v>
      </c>
      <c r="G29" s="1">
        <v>12.3</v>
      </c>
      <c r="H29" s="1">
        <v>2.9</v>
      </c>
      <c r="I29" s="9" t="s">
        <v>30</v>
      </c>
      <c r="J29" s="1">
        <v>0.81</v>
      </c>
      <c r="K29" s="10">
        <v>27</v>
      </c>
      <c r="L29" s="3">
        <v>0</v>
      </c>
      <c r="M29" s="11">
        <v>3.8461538461538457E-2</v>
      </c>
      <c r="N29">
        <v>1471</v>
      </c>
      <c r="O29" s="11">
        <v>0</v>
      </c>
      <c r="P29" s="11">
        <v>4.1666666666666657E-2</v>
      </c>
      <c r="Q29" s="11">
        <v>0</v>
      </c>
      <c r="R29" s="11">
        <v>3.8461538461538457E-2</v>
      </c>
      <c r="S29" s="9" t="s">
        <v>40</v>
      </c>
      <c r="T29" s="9" t="s">
        <v>50</v>
      </c>
      <c r="U29" s="9" t="s">
        <v>33</v>
      </c>
      <c r="V29" s="9" t="s">
        <v>328</v>
      </c>
      <c r="W29" s="1" t="s">
        <v>31</v>
      </c>
      <c r="X29" s="1" t="s">
        <v>31</v>
      </c>
      <c r="Y29" s="3" t="s">
        <v>31</v>
      </c>
      <c r="Z29" s="11" t="s">
        <v>31</v>
      </c>
      <c r="AA29" s="11" t="s">
        <v>31</v>
      </c>
      <c r="AB29" s="10">
        <v>3</v>
      </c>
      <c r="AC29" s="10">
        <v>3</v>
      </c>
      <c r="AD29" s="10">
        <v>3</v>
      </c>
      <c r="AE29" s="10">
        <v>3</v>
      </c>
      <c r="AF29" s="10">
        <v>0</v>
      </c>
      <c r="AG29" s="9" t="s">
        <v>34</v>
      </c>
      <c r="AH29" s="9" t="s">
        <v>63</v>
      </c>
    </row>
    <row r="30" spans="1:34" x14ac:dyDescent="0.25">
      <c r="A30" s="9" t="s">
        <v>944</v>
      </c>
      <c r="B30" s="1" t="s">
        <v>99</v>
      </c>
      <c r="C30" s="10">
        <v>2</v>
      </c>
      <c r="D30" s="10">
        <v>2000</v>
      </c>
      <c r="E30" s="9" t="s">
        <v>28</v>
      </c>
      <c r="F30" s="9" t="s">
        <v>54</v>
      </c>
      <c r="G30" s="1">
        <v>14.4</v>
      </c>
      <c r="H30" s="1">
        <v>2.2999999999999998</v>
      </c>
      <c r="I30" s="9" t="s">
        <v>30</v>
      </c>
      <c r="J30" s="1">
        <v>0.56999999999999995</v>
      </c>
      <c r="K30" s="10">
        <v>44</v>
      </c>
      <c r="L30" s="3">
        <v>0</v>
      </c>
      <c r="M30" s="11">
        <v>2.3255813953488368E-2</v>
      </c>
      <c r="N30">
        <v>1471</v>
      </c>
      <c r="O30" s="11">
        <v>0</v>
      </c>
      <c r="P30" s="11">
        <v>2.4390243902439029E-2</v>
      </c>
      <c r="Q30" s="11">
        <v>0</v>
      </c>
      <c r="R30" s="11">
        <v>2.3255813953488368E-2</v>
      </c>
      <c r="S30" s="9" t="s">
        <v>40</v>
      </c>
      <c r="T30" s="9" t="s">
        <v>50</v>
      </c>
      <c r="U30" s="9" t="s">
        <v>33</v>
      </c>
      <c r="V30" s="9" t="s">
        <v>328</v>
      </c>
      <c r="W30" s="1" t="s">
        <v>31</v>
      </c>
      <c r="X30" s="1" t="s">
        <v>31</v>
      </c>
      <c r="Y30" s="3" t="s">
        <v>31</v>
      </c>
      <c r="Z30" s="11" t="s">
        <v>31</v>
      </c>
      <c r="AA30" s="11" t="s">
        <v>31</v>
      </c>
      <c r="AB30" s="10">
        <v>3</v>
      </c>
      <c r="AC30" s="10">
        <v>3</v>
      </c>
      <c r="AD30" s="10">
        <v>3</v>
      </c>
      <c r="AE30" s="10">
        <v>3</v>
      </c>
      <c r="AF30" s="10">
        <v>0</v>
      </c>
      <c r="AG30" s="9" t="s">
        <v>34</v>
      </c>
      <c r="AH30" s="9" t="s">
        <v>63</v>
      </c>
    </row>
    <row r="31" spans="1:34" x14ac:dyDescent="0.25">
      <c r="A31" s="9" t="s">
        <v>516</v>
      </c>
      <c r="B31" s="1" t="s">
        <v>101</v>
      </c>
      <c r="C31" s="10">
        <v>2</v>
      </c>
      <c r="D31" s="10">
        <v>2000</v>
      </c>
      <c r="E31" s="9" t="s">
        <v>28</v>
      </c>
      <c r="F31" s="9" t="s">
        <v>54</v>
      </c>
      <c r="G31" s="1" t="s">
        <v>31</v>
      </c>
      <c r="H31" s="1" t="s">
        <v>31</v>
      </c>
      <c r="I31" s="9" t="s">
        <v>31</v>
      </c>
      <c r="J31" s="1" t="s">
        <v>31</v>
      </c>
      <c r="K31" s="10">
        <v>47</v>
      </c>
      <c r="L31" s="3">
        <v>0.43</v>
      </c>
      <c r="M31" s="11">
        <v>1.4443217608695651E-2</v>
      </c>
      <c r="N31">
        <v>1459</v>
      </c>
      <c r="O31" s="11">
        <v>0.45989668121267852</v>
      </c>
      <c r="P31" s="11">
        <v>2.2727272727272731E-2</v>
      </c>
      <c r="Q31" s="11">
        <v>0.43405804319303692</v>
      </c>
      <c r="R31" s="11">
        <v>1.43192216551107E-2</v>
      </c>
      <c r="S31" s="9" t="s">
        <v>40</v>
      </c>
      <c r="T31" s="9" t="s">
        <v>50</v>
      </c>
      <c r="U31" s="9" t="s">
        <v>33</v>
      </c>
      <c r="V31" s="9" t="s">
        <v>904</v>
      </c>
      <c r="W31" s="1" t="s">
        <v>31</v>
      </c>
      <c r="X31" s="1" t="s">
        <v>31</v>
      </c>
      <c r="Y31" s="3" t="s">
        <v>31</v>
      </c>
      <c r="Z31" s="11" t="s">
        <v>31</v>
      </c>
      <c r="AA31" s="11" t="s">
        <v>31</v>
      </c>
      <c r="AB31" s="10" t="s">
        <v>31</v>
      </c>
      <c r="AC31" s="10" t="s">
        <v>31</v>
      </c>
      <c r="AD31" s="10" t="s">
        <v>31</v>
      </c>
      <c r="AE31" s="10" t="s">
        <v>31</v>
      </c>
      <c r="AF31" s="10">
        <v>0</v>
      </c>
      <c r="AG31" s="9" t="s">
        <v>34</v>
      </c>
      <c r="AH31" s="9" t="s">
        <v>35</v>
      </c>
    </row>
    <row r="32" spans="1:34" x14ac:dyDescent="0.25">
      <c r="A32" s="9" t="s">
        <v>945</v>
      </c>
      <c r="B32" s="1" t="s">
        <v>103</v>
      </c>
      <c r="C32" s="10">
        <v>1</v>
      </c>
      <c r="D32" s="10">
        <v>2000</v>
      </c>
      <c r="E32" s="9" t="s">
        <v>38</v>
      </c>
      <c r="F32" s="9" t="s">
        <v>29</v>
      </c>
      <c r="G32" s="1">
        <v>19.059999999999999</v>
      </c>
      <c r="H32" s="1">
        <v>3.92</v>
      </c>
      <c r="I32" s="9" t="s">
        <v>30</v>
      </c>
      <c r="J32" s="1">
        <v>0.44</v>
      </c>
      <c r="K32" s="10">
        <v>36</v>
      </c>
      <c r="L32" s="3">
        <v>0.309</v>
      </c>
      <c r="M32" s="11">
        <v>2.3375846324599998E-2</v>
      </c>
      <c r="N32">
        <v>229</v>
      </c>
      <c r="O32" s="11">
        <v>0.31943947107111492</v>
      </c>
      <c r="P32" s="11">
        <v>3.03030303030303E-2</v>
      </c>
      <c r="Q32" s="11">
        <v>0.31336955018916379</v>
      </c>
      <c r="R32" s="11">
        <v>2.3235496666168889E-2</v>
      </c>
      <c r="S32" s="9" t="s">
        <v>40</v>
      </c>
      <c r="T32" s="9" t="s">
        <v>50</v>
      </c>
      <c r="U32" s="9" t="s">
        <v>33</v>
      </c>
      <c r="V32" s="9" t="s">
        <v>954</v>
      </c>
      <c r="W32" s="1">
        <v>9.7650000000000006</v>
      </c>
      <c r="X32" s="1">
        <v>15</v>
      </c>
      <c r="Y32" s="3">
        <f>W32/X32</f>
        <v>0.65100000000000002</v>
      </c>
      <c r="Z32" s="11">
        <v>0.44655368038594567</v>
      </c>
      <c r="AA32" s="11">
        <v>0.20863009052553039</v>
      </c>
      <c r="AB32" s="10">
        <v>4</v>
      </c>
      <c r="AC32" s="10">
        <v>4</v>
      </c>
      <c r="AD32" s="10">
        <v>4</v>
      </c>
      <c r="AE32" s="10">
        <v>4</v>
      </c>
      <c r="AF32" s="10">
        <v>0</v>
      </c>
      <c r="AG32" s="9" t="s">
        <v>41</v>
      </c>
      <c r="AH32" s="9" t="s">
        <v>35</v>
      </c>
    </row>
    <row r="33" spans="1:34" x14ac:dyDescent="0.25">
      <c r="A33" s="9" t="s">
        <v>945</v>
      </c>
      <c r="B33" s="1" t="s">
        <v>105</v>
      </c>
      <c r="C33" s="10">
        <v>2</v>
      </c>
      <c r="D33" s="10">
        <v>2000</v>
      </c>
      <c r="E33" s="9" t="s">
        <v>38</v>
      </c>
      <c r="F33" s="9" t="s">
        <v>54</v>
      </c>
      <c r="G33" s="1">
        <v>16.97</v>
      </c>
      <c r="H33" s="1">
        <v>4.17</v>
      </c>
      <c r="I33" s="9" t="s">
        <v>30</v>
      </c>
      <c r="J33" s="1">
        <v>0.57999999999999996</v>
      </c>
      <c r="K33" s="10">
        <v>96</v>
      </c>
      <c r="L33" s="3">
        <v>0.42299999999999999</v>
      </c>
      <c r="M33" s="11">
        <v>7.0963956530631584E-3</v>
      </c>
      <c r="N33">
        <v>229</v>
      </c>
      <c r="O33" s="11">
        <v>0.45134016579087638</v>
      </c>
      <c r="P33" s="11">
        <v>1.075268817204301E-2</v>
      </c>
      <c r="Q33" s="11">
        <v>0.424884268947745</v>
      </c>
      <c r="R33" s="11">
        <v>7.0688061523474684E-3</v>
      </c>
      <c r="S33" s="9" t="s">
        <v>40</v>
      </c>
      <c r="T33" s="9" t="s">
        <v>50</v>
      </c>
      <c r="U33" s="9" t="s">
        <v>33</v>
      </c>
      <c r="V33" s="9" t="s">
        <v>954</v>
      </c>
      <c r="W33" s="1">
        <v>9.8510000000000009</v>
      </c>
      <c r="X33" s="1">
        <v>15</v>
      </c>
      <c r="Y33" s="3">
        <f>W33/X33</f>
        <v>0.65673333333333339</v>
      </c>
      <c r="Z33" s="11">
        <v>0.57936735137610818</v>
      </c>
      <c r="AA33" s="11">
        <v>0.1035727486953017</v>
      </c>
      <c r="AB33" s="10">
        <v>4</v>
      </c>
      <c r="AC33" s="10">
        <v>4</v>
      </c>
      <c r="AD33" s="10">
        <v>4</v>
      </c>
      <c r="AE33" s="10">
        <v>4</v>
      </c>
      <c r="AF33" s="10">
        <v>0</v>
      </c>
      <c r="AG33" s="9" t="s">
        <v>41</v>
      </c>
      <c r="AH33" s="9" t="s">
        <v>35</v>
      </c>
    </row>
    <row r="34" spans="1:34" x14ac:dyDescent="0.25">
      <c r="A34" s="9" t="s">
        <v>517</v>
      </c>
      <c r="B34" s="1" t="s">
        <v>106</v>
      </c>
      <c r="C34" s="10">
        <v>1</v>
      </c>
      <c r="D34" s="10">
        <v>2000</v>
      </c>
      <c r="E34" s="9" t="s">
        <v>38</v>
      </c>
      <c r="F34" s="9" t="s">
        <v>29</v>
      </c>
      <c r="G34" s="1">
        <v>23.2</v>
      </c>
      <c r="H34" s="1">
        <v>5.0999999999999996</v>
      </c>
      <c r="I34" s="9" t="s">
        <v>39</v>
      </c>
      <c r="J34" s="1">
        <v>0</v>
      </c>
      <c r="K34" s="10">
        <v>72</v>
      </c>
      <c r="L34" s="3">
        <v>0.21</v>
      </c>
      <c r="M34" s="11">
        <v>1.286964521126761E-2</v>
      </c>
      <c r="N34" t="s">
        <v>63</v>
      </c>
      <c r="O34" s="11">
        <v>0.21317134656485981</v>
      </c>
      <c r="P34" s="11">
        <v>1.4492753623188409E-2</v>
      </c>
      <c r="Q34" s="11">
        <v>0.2114791848419722</v>
      </c>
      <c r="R34" s="11">
        <v>1.285286331472398E-2</v>
      </c>
      <c r="S34" s="9" t="s">
        <v>40</v>
      </c>
      <c r="T34" s="9" t="s">
        <v>50</v>
      </c>
      <c r="U34" s="9" t="s">
        <v>51</v>
      </c>
      <c r="V34" s="9" t="s">
        <v>115</v>
      </c>
      <c r="W34" s="1" t="s">
        <v>31</v>
      </c>
      <c r="X34" s="1" t="s">
        <v>31</v>
      </c>
      <c r="Y34" s="3" t="s">
        <v>31</v>
      </c>
      <c r="Z34" s="11" t="s">
        <v>31</v>
      </c>
      <c r="AA34" s="11" t="s">
        <v>31</v>
      </c>
      <c r="AB34" s="10">
        <v>1</v>
      </c>
      <c r="AC34" s="10">
        <v>1</v>
      </c>
      <c r="AD34" s="10">
        <v>2</v>
      </c>
      <c r="AE34" s="10">
        <v>2</v>
      </c>
      <c r="AF34" s="10">
        <v>0</v>
      </c>
      <c r="AG34" s="9" t="s">
        <v>41</v>
      </c>
      <c r="AH34" s="9" t="s">
        <v>63</v>
      </c>
    </row>
    <row r="35" spans="1:34" x14ac:dyDescent="0.25">
      <c r="A35" s="9" t="s">
        <v>94</v>
      </c>
      <c r="B35" s="1" t="s">
        <v>108</v>
      </c>
      <c r="C35" s="10">
        <v>1</v>
      </c>
      <c r="D35" s="10">
        <v>2000</v>
      </c>
      <c r="E35" s="9" t="s">
        <v>38</v>
      </c>
      <c r="F35" s="9" t="s">
        <v>29</v>
      </c>
      <c r="G35" s="1">
        <v>24.97</v>
      </c>
      <c r="H35" s="1">
        <v>4.47</v>
      </c>
      <c r="I35" s="9" t="s">
        <v>43</v>
      </c>
      <c r="J35" s="1">
        <v>1</v>
      </c>
      <c r="K35" s="10">
        <v>68</v>
      </c>
      <c r="L35" s="3">
        <v>0.34799999999999998</v>
      </c>
      <c r="M35" s="11">
        <v>1.152922654949254E-2</v>
      </c>
      <c r="N35">
        <v>1106</v>
      </c>
      <c r="O35" s="11">
        <v>0.36316636477279962</v>
      </c>
      <c r="P35" s="11">
        <v>1.5384615384615391E-2</v>
      </c>
      <c r="Q35" s="11">
        <v>0.35038829055086579</v>
      </c>
      <c r="R35" s="11">
        <v>1.148550812562329E-2</v>
      </c>
      <c r="S35" s="9" t="s">
        <v>40</v>
      </c>
      <c r="T35" s="9" t="s">
        <v>50</v>
      </c>
      <c r="U35" s="9" t="s">
        <v>33</v>
      </c>
      <c r="V35" s="9" t="s">
        <v>951</v>
      </c>
      <c r="W35" s="1">
        <v>10.91</v>
      </c>
      <c r="X35" s="1">
        <v>15</v>
      </c>
      <c r="Y35" s="3">
        <f>W35/X35</f>
        <v>0.72733333333333339</v>
      </c>
      <c r="Z35" s="11">
        <v>0.45458084668824861</v>
      </c>
      <c r="AA35" s="11">
        <v>0.13606907330497911</v>
      </c>
      <c r="AB35" s="10">
        <v>4</v>
      </c>
      <c r="AC35" s="10">
        <v>4</v>
      </c>
      <c r="AD35" s="10">
        <v>4</v>
      </c>
      <c r="AE35" s="10">
        <v>4</v>
      </c>
      <c r="AF35" s="10">
        <v>0</v>
      </c>
      <c r="AG35" s="9" t="s">
        <v>41</v>
      </c>
      <c r="AH35" s="9" t="s">
        <v>35</v>
      </c>
    </row>
    <row r="36" spans="1:34" x14ac:dyDescent="0.25">
      <c r="A36" s="9" t="s">
        <v>110</v>
      </c>
      <c r="B36" s="1" t="s">
        <v>109</v>
      </c>
      <c r="C36" s="10">
        <v>1</v>
      </c>
      <c r="D36" s="10">
        <v>2001</v>
      </c>
      <c r="E36" s="9" t="s">
        <v>28</v>
      </c>
      <c r="F36" s="9" t="s">
        <v>54</v>
      </c>
      <c r="G36" s="1">
        <v>9.6999999999999993</v>
      </c>
      <c r="H36" s="1">
        <v>2.6</v>
      </c>
      <c r="I36" s="9" t="s">
        <v>39</v>
      </c>
      <c r="J36" s="1">
        <v>0</v>
      </c>
      <c r="K36" s="10">
        <v>40</v>
      </c>
      <c r="L36" s="3">
        <v>0.36</v>
      </c>
      <c r="M36" s="11">
        <v>1.9425542564102571E-2</v>
      </c>
      <c r="N36">
        <v>291</v>
      </c>
      <c r="O36" s="11">
        <v>0.37688590118818999</v>
      </c>
      <c r="P36" s="11">
        <v>2.7027027027027029E-2</v>
      </c>
      <c r="Q36" s="11">
        <v>0.36434474851285642</v>
      </c>
      <c r="R36" s="11">
        <v>1.9285323074289321E-2</v>
      </c>
      <c r="S36" s="9" t="s">
        <v>40</v>
      </c>
      <c r="T36" s="9" t="s">
        <v>50</v>
      </c>
      <c r="U36" s="9" t="s">
        <v>33</v>
      </c>
      <c r="V36" s="9" t="s">
        <v>329</v>
      </c>
      <c r="W36" s="1">
        <v>15.1</v>
      </c>
      <c r="X36" s="1">
        <v>15</v>
      </c>
      <c r="Y36" s="3">
        <f>W36/X36</f>
        <v>1.0066666666666666</v>
      </c>
      <c r="Z36" s="11">
        <v>0.35792220470862551</v>
      </c>
      <c r="AA36" s="11">
        <v>0.15072921687724991</v>
      </c>
      <c r="AB36" s="10">
        <v>3</v>
      </c>
      <c r="AC36" s="10">
        <v>3</v>
      </c>
      <c r="AD36" s="10">
        <v>3</v>
      </c>
      <c r="AE36" s="10">
        <v>3</v>
      </c>
      <c r="AF36" s="10">
        <v>0</v>
      </c>
      <c r="AG36" s="9" t="s">
        <v>34</v>
      </c>
      <c r="AH36" s="9" t="s">
        <v>35</v>
      </c>
    </row>
    <row r="37" spans="1:34" x14ac:dyDescent="0.25">
      <c r="A37" s="9" t="s">
        <v>518</v>
      </c>
      <c r="B37" s="1" t="s">
        <v>112</v>
      </c>
      <c r="C37" s="10">
        <v>1</v>
      </c>
      <c r="D37" s="10">
        <v>2002</v>
      </c>
      <c r="E37" s="9" t="s">
        <v>38</v>
      </c>
      <c r="F37" s="9" t="s">
        <v>29</v>
      </c>
      <c r="G37" s="1" t="s">
        <v>31</v>
      </c>
      <c r="H37" s="1" t="s">
        <v>31</v>
      </c>
      <c r="I37" s="9" t="s">
        <v>43</v>
      </c>
      <c r="J37" s="1">
        <v>1</v>
      </c>
      <c r="K37" s="10">
        <v>46</v>
      </c>
      <c r="L37" s="3">
        <v>-0.13</v>
      </c>
      <c r="M37" s="11">
        <v>2.1477458000000001E-2</v>
      </c>
      <c r="N37" t="s">
        <v>63</v>
      </c>
      <c r="O37" s="11">
        <v>-0.13073985002887839</v>
      </c>
      <c r="P37" s="11">
        <v>2.3255813953488368E-2</v>
      </c>
      <c r="Q37" s="11">
        <v>-0.13152895625569849</v>
      </c>
      <c r="R37" s="11">
        <v>2.1459990060171939E-2</v>
      </c>
      <c r="S37" s="9" t="s">
        <v>40</v>
      </c>
      <c r="T37" s="9" t="s">
        <v>50</v>
      </c>
      <c r="U37" s="9" t="s">
        <v>33</v>
      </c>
      <c r="V37" s="9" t="s">
        <v>77</v>
      </c>
      <c r="W37" s="1" t="s">
        <v>31</v>
      </c>
      <c r="X37" s="1" t="s">
        <v>31</v>
      </c>
      <c r="Y37" s="3" t="s">
        <v>31</v>
      </c>
      <c r="Z37" s="11" t="s">
        <v>31</v>
      </c>
      <c r="AA37" s="11" t="s">
        <v>31</v>
      </c>
      <c r="AB37" s="10" t="s">
        <v>31</v>
      </c>
      <c r="AC37" s="10" t="s">
        <v>31</v>
      </c>
      <c r="AD37" s="10" t="s">
        <v>31</v>
      </c>
      <c r="AE37" s="10" t="s">
        <v>31</v>
      </c>
      <c r="AF37" s="10">
        <v>0</v>
      </c>
      <c r="AG37" s="9" t="s">
        <v>34</v>
      </c>
      <c r="AH37" s="9" t="s">
        <v>63</v>
      </c>
    </row>
    <row r="38" spans="1:34" x14ac:dyDescent="0.25">
      <c r="A38" s="9" t="s">
        <v>518</v>
      </c>
      <c r="B38" s="1" t="s">
        <v>114</v>
      </c>
      <c r="C38" s="10">
        <v>1</v>
      </c>
      <c r="D38" s="10">
        <v>2002</v>
      </c>
      <c r="E38" s="9" t="s">
        <v>38</v>
      </c>
      <c r="F38" s="9" t="s">
        <v>29</v>
      </c>
      <c r="G38" s="1" t="s">
        <v>31</v>
      </c>
      <c r="H38" s="1" t="s">
        <v>31</v>
      </c>
      <c r="I38" s="9" t="s">
        <v>30</v>
      </c>
      <c r="J38" s="1" t="s">
        <v>31</v>
      </c>
      <c r="K38" s="10">
        <v>30</v>
      </c>
      <c r="L38" s="3">
        <v>0.08</v>
      </c>
      <c r="M38" s="11">
        <v>3.4042791724137933E-2</v>
      </c>
      <c r="N38" t="s">
        <v>63</v>
      </c>
      <c r="O38" s="11">
        <v>8.0171325037589738E-2</v>
      </c>
      <c r="P38" s="11">
        <v>3.7037037037037042E-2</v>
      </c>
      <c r="Q38" s="11">
        <v>8.1542097115406303E-2</v>
      </c>
      <c r="R38" s="11">
        <v>3.4025723569232252E-2</v>
      </c>
      <c r="S38" s="9" t="s">
        <v>40</v>
      </c>
      <c r="T38" s="9" t="s">
        <v>50</v>
      </c>
      <c r="U38" s="9" t="s">
        <v>33</v>
      </c>
      <c r="V38" s="9" t="s">
        <v>77</v>
      </c>
      <c r="W38" s="1" t="s">
        <v>31</v>
      </c>
      <c r="X38" s="1" t="s">
        <v>31</v>
      </c>
      <c r="Y38" s="3" t="s">
        <v>31</v>
      </c>
      <c r="Z38" s="11" t="s">
        <v>31</v>
      </c>
      <c r="AA38" s="11" t="s">
        <v>31</v>
      </c>
      <c r="AB38" s="10" t="s">
        <v>31</v>
      </c>
      <c r="AC38" s="10" t="s">
        <v>31</v>
      </c>
      <c r="AD38" s="10" t="s">
        <v>31</v>
      </c>
      <c r="AE38" s="10" t="s">
        <v>31</v>
      </c>
      <c r="AF38" s="10">
        <v>0</v>
      </c>
      <c r="AG38" s="9" t="s">
        <v>34</v>
      </c>
      <c r="AH38" s="9" t="s">
        <v>63</v>
      </c>
    </row>
    <row r="39" spans="1:34" x14ac:dyDescent="0.25">
      <c r="A39" s="9" t="s">
        <v>518</v>
      </c>
      <c r="B39" s="1" t="s">
        <v>117</v>
      </c>
      <c r="C39" s="10">
        <v>1</v>
      </c>
      <c r="D39" s="10">
        <v>2002</v>
      </c>
      <c r="E39" s="9" t="s">
        <v>28</v>
      </c>
      <c r="F39" s="9" t="s">
        <v>29</v>
      </c>
      <c r="G39" s="1">
        <v>18.8</v>
      </c>
      <c r="H39" s="1">
        <v>10</v>
      </c>
      <c r="I39" s="9" t="s">
        <v>30</v>
      </c>
      <c r="J39" s="1">
        <v>0.87</v>
      </c>
      <c r="K39" s="10">
        <v>67</v>
      </c>
      <c r="L39" s="3">
        <v>0.1</v>
      </c>
      <c r="M39" s="11">
        <v>1.485E-2</v>
      </c>
      <c r="N39">
        <v>179</v>
      </c>
      <c r="O39" s="11">
        <v>0.10033534773107559</v>
      </c>
      <c r="P39" s="11">
        <v>1.5625E-2</v>
      </c>
      <c r="Q39" s="11">
        <v>0.100788516085159</v>
      </c>
      <c r="R39" s="11">
        <v>1.4845250630560511E-2</v>
      </c>
      <c r="S39" s="9" t="s">
        <v>40</v>
      </c>
      <c r="T39" s="9" t="s">
        <v>50</v>
      </c>
      <c r="U39" s="9" t="s">
        <v>33</v>
      </c>
      <c r="V39" s="9" t="s">
        <v>77</v>
      </c>
      <c r="W39" s="1">
        <v>15.5</v>
      </c>
      <c r="X39" s="1" t="s">
        <v>31</v>
      </c>
      <c r="Y39" s="3" t="s">
        <v>31</v>
      </c>
      <c r="Z39" s="11" t="s">
        <v>31</v>
      </c>
      <c r="AA39" s="11" t="s">
        <v>31</v>
      </c>
      <c r="AB39" s="10" t="s">
        <v>31</v>
      </c>
      <c r="AC39" s="10" t="s">
        <v>31</v>
      </c>
      <c r="AD39" s="10" t="s">
        <v>31</v>
      </c>
      <c r="AE39" s="10" t="s">
        <v>31</v>
      </c>
      <c r="AF39" s="10">
        <v>0</v>
      </c>
      <c r="AG39" s="9" t="s">
        <v>34</v>
      </c>
      <c r="AH39" s="9" t="s">
        <v>35</v>
      </c>
    </row>
    <row r="40" spans="1:34" x14ac:dyDescent="0.25">
      <c r="A40" s="9" t="s">
        <v>863</v>
      </c>
      <c r="B40" s="1" t="s">
        <v>118</v>
      </c>
      <c r="C40" s="10">
        <v>1</v>
      </c>
      <c r="D40" s="10">
        <v>2002</v>
      </c>
      <c r="E40" s="9" t="s">
        <v>38</v>
      </c>
      <c r="F40" s="9" t="s">
        <v>29</v>
      </c>
      <c r="G40" s="1">
        <v>67.8</v>
      </c>
      <c r="H40" s="1" t="s">
        <v>31</v>
      </c>
      <c r="I40" s="9" t="s">
        <v>43</v>
      </c>
      <c r="J40" s="1">
        <v>1</v>
      </c>
      <c r="K40" s="10">
        <v>95</v>
      </c>
      <c r="L40" s="3">
        <v>0.39</v>
      </c>
      <c r="M40" s="11">
        <v>7.6482384042553192E-3</v>
      </c>
      <c r="N40">
        <v>172</v>
      </c>
      <c r="O40" s="11">
        <v>0.41180003447869029</v>
      </c>
      <c r="P40" s="11">
        <v>1.0869565217391301E-2</v>
      </c>
      <c r="Q40" s="11">
        <v>0.39181493107308069</v>
      </c>
      <c r="R40" s="11">
        <v>7.6226615380866943E-3</v>
      </c>
      <c r="S40" s="9" t="s">
        <v>40</v>
      </c>
      <c r="T40" s="9" t="s">
        <v>46</v>
      </c>
      <c r="U40" s="9" t="s">
        <v>51</v>
      </c>
      <c r="V40" s="9" t="s">
        <v>115</v>
      </c>
      <c r="W40" s="1">
        <v>8.6</v>
      </c>
      <c r="X40" s="1">
        <v>7.5</v>
      </c>
      <c r="Y40" s="3">
        <f>W40/X40</f>
        <v>1.1466666666666667</v>
      </c>
      <c r="Z40" s="11">
        <v>0.34648444091771091</v>
      </c>
      <c r="AA40" s="11">
        <v>8.8036467789018247E-2</v>
      </c>
      <c r="AB40" s="10">
        <v>1</v>
      </c>
      <c r="AC40" s="10">
        <v>1</v>
      </c>
      <c r="AD40" s="10">
        <v>2</v>
      </c>
      <c r="AE40" s="10">
        <v>2</v>
      </c>
      <c r="AF40" s="10">
        <v>0</v>
      </c>
      <c r="AG40" s="9" t="s">
        <v>41</v>
      </c>
      <c r="AH40" s="9" t="s">
        <v>35</v>
      </c>
    </row>
    <row r="41" spans="1:34" x14ac:dyDescent="0.25">
      <c r="A41" s="9" t="s">
        <v>520</v>
      </c>
      <c r="B41" s="1" t="s">
        <v>119</v>
      </c>
      <c r="C41" s="10">
        <v>1</v>
      </c>
      <c r="D41" s="10">
        <v>2002</v>
      </c>
      <c r="E41" s="9" t="s">
        <v>38</v>
      </c>
      <c r="F41" s="9" t="s">
        <v>54</v>
      </c>
      <c r="G41" s="1">
        <v>14.9</v>
      </c>
      <c r="H41" s="1">
        <v>0.43</v>
      </c>
      <c r="I41" s="9" t="s">
        <v>30</v>
      </c>
      <c r="J41" s="1">
        <v>0.65</v>
      </c>
      <c r="K41" s="10">
        <v>42</v>
      </c>
      <c r="L41" s="3">
        <v>0.37</v>
      </c>
      <c r="M41" s="11">
        <v>1.8169307560975609E-2</v>
      </c>
      <c r="N41" t="s">
        <v>63</v>
      </c>
      <c r="O41" s="11">
        <v>0.38842309971829619</v>
      </c>
      <c r="P41" s="11">
        <v>2.564102564102564E-2</v>
      </c>
      <c r="Q41" s="11">
        <v>0.37419353737240518</v>
      </c>
      <c r="R41" s="11">
        <v>1.803815167232662E-2</v>
      </c>
      <c r="S41" s="9" t="s">
        <v>40</v>
      </c>
      <c r="T41" s="9" t="s">
        <v>31</v>
      </c>
      <c r="U41" s="9" t="s">
        <v>33</v>
      </c>
      <c r="V41" s="9" t="s">
        <v>77</v>
      </c>
      <c r="W41" s="1" t="s">
        <v>31</v>
      </c>
      <c r="X41" s="1" t="s">
        <v>31</v>
      </c>
      <c r="Y41" s="3" t="s">
        <v>31</v>
      </c>
      <c r="Z41" s="11" t="s">
        <v>31</v>
      </c>
      <c r="AA41" s="11" t="s">
        <v>31</v>
      </c>
      <c r="AB41" s="10" t="s">
        <v>31</v>
      </c>
      <c r="AC41" s="10" t="s">
        <v>31</v>
      </c>
      <c r="AD41" s="10" t="s">
        <v>31</v>
      </c>
      <c r="AE41" s="10" t="s">
        <v>31</v>
      </c>
      <c r="AF41" s="10">
        <v>0</v>
      </c>
      <c r="AG41" s="9" t="s">
        <v>34</v>
      </c>
      <c r="AH41" s="9" t="s">
        <v>63</v>
      </c>
    </row>
    <row r="42" spans="1:34" x14ac:dyDescent="0.25">
      <c r="A42" s="9" t="s">
        <v>946</v>
      </c>
      <c r="B42" s="1" t="s">
        <v>121</v>
      </c>
      <c r="C42" s="10">
        <v>1</v>
      </c>
      <c r="D42" s="10">
        <v>2002</v>
      </c>
      <c r="E42" s="9" t="s">
        <v>38</v>
      </c>
      <c r="F42" s="9" t="s">
        <v>29</v>
      </c>
      <c r="G42" s="1">
        <v>33.299999999999997</v>
      </c>
      <c r="H42" s="1">
        <v>8.6999999999999993</v>
      </c>
      <c r="I42" s="9" t="s">
        <v>43</v>
      </c>
      <c r="J42" s="1">
        <v>1</v>
      </c>
      <c r="K42" s="10">
        <v>23</v>
      </c>
      <c r="L42" s="3">
        <v>0.13</v>
      </c>
      <c r="M42" s="11">
        <v>4.3931164090909088E-2</v>
      </c>
      <c r="N42" t="s">
        <v>63</v>
      </c>
      <c r="O42" s="11">
        <v>0.13073985002887839</v>
      </c>
      <c r="P42" s="11">
        <v>0.05</v>
      </c>
      <c r="Q42" s="11">
        <v>0.1333986751469553</v>
      </c>
      <c r="R42" s="11">
        <v>4.38511934687979E-2</v>
      </c>
      <c r="S42" s="9" t="s">
        <v>40</v>
      </c>
      <c r="T42" s="9" t="s">
        <v>31</v>
      </c>
      <c r="U42" s="9" t="s">
        <v>33</v>
      </c>
      <c r="V42" s="9" t="s">
        <v>77</v>
      </c>
      <c r="W42" s="1" t="s">
        <v>31</v>
      </c>
      <c r="X42" s="1" t="s">
        <v>31</v>
      </c>
      <c r="Y42" s="3" t="s">
        <v>31</v>
      </c>
      <c r="Z42" s="11" t="s">
        <v>31</v>
      </c>
      <c r="AA42" s="11" t="s">
        <v>31</v>
      </c>
      <c r="AB42" s="10" t="s">
        <v>31</v>
      </c>
      <c r="AC42" s="10" t="s">
        <v>31</v>
      </c>
      <c r="AD42" s="10" t="s">
        <v>31</v>
      </c>
      <c r="AE42" s="10" t="s">
        <v>31</v>
      </c>
      <c r="AF42" s="10">
        <v>0</v>
      </c>
      <c r="AG42" s="9" t="s">
        <v>34</v>
      </c>
      <c r="AH42" s="9" t="s">
        <v>63</v>
      </c>
    </row>
    <row r="43" spans="1:34" x14ac:dyDescent="0.25">
      <c r="A43" s="9" t="s">
        <v>136</v>
      </c>
      <c r="B43" s="1" t="s">
        <v>1036</v>
      </c>
      <c r="C43" s="10">
        <v>2</v>
      </c>
      <c r="D43" s="10">
        <v>2003</v>
      </c>
      <c r="E43" s="9" t="s">
        <v>38</v>
      </c>
      <c r="F43" s="9" t="s">
        <v>54</v>
      </c>
      <c r="G43" s="1">
        <v>16.399999999999999</v>
      </c>
      <c r="H43" s="1">
        <v>1.7</v>
      </c>
      <c r="I43" s="9" t="s">
        <v>30</v>
      </c>
      <c r="J43" s="1">
        <v>0.6</v>
      </c>
      <c r="K43" s="10">
        <v>22</v>
      </c>
      <c r="L43" s="3">
        <v>-0.13100000000000001</v>
      </c>
      <c r="M43" s="11">
        <v>4.599869047242857E-2</v>
      </c>
      <c r="N43" t="s">
        <v>63</v>
      </c>
      <c r="O43" s="11">
        <v>-0.13175717542536419</v>
      </c>
      <c r="P43" s="11">
        <v>5.2631578947368418E-2</v>
      </c>
      <c r="Q43" s="11">
        <v>-0.134615950137952</v>
      </c>
      <c r="R43" s="11">
        <v>4.5908832334910957E-2</v>
      </c>
      <c r="S43" s="9" t="s">
        <v>40</v>
      </c>
      <c r="T43" s="9" t="s">
        <v>50</v>
      </c>
      <c r="U43" s="9" t="s">
        <v>33</v>
      </c>
      <c r="V43" s="9" t="s">
        <v>954</v>
      </c>
      <c r="W43" s="1" t="s">
        <v>31</v>
      </c>
      <c r="X43" s="1" t="s">
        <v>31</v>
      </c>
      <c r="Y43" s="3" t="s">
        <v>31</v>
      </c>
      <c r="Z43" s="11" t="s">
        <v>31</v>
      </c>
      <c r="AA43" s="11" t="s">
        <v>31</v>
      </c>
      <c r="AB43" s="10">
        <v>4</v>
      </c>
      <c r="AC43" s="10">
        <v>4</v>
      </c>
      <c r="AD43" s="10">
        <v>4</v>
      </c>
      <c r="AE43" s="10">
        <v>4</v>
      </c>
      <c r="AF43" s="10">
        <v>0</v>
      </c>
      <c r="AG43" s="9" t="s">
        <v>34</v>
      </c>
      <c r="AH43" s="9" t="s">
        <v>63</v>
      </c>
    </row>
    <row r="44" spans="1:34" x14ac:dyDescent="0.25">
      <c r="A44" s="9" t="s">
        <v>136</v>
      </c>
      <c r="B44" s="1" t="s">
        <v>123</v>
      </c>
      <c r="C44" s="10">
        <v>2</v>
      </c>
      <c r="D44" s="10">
        <v>2003</v>
      </c>
      <c r="E44" s="9" t="s">
        <v>28</v>
      </c>
      <c r="F44" s="9" t="s">
        <v>54</v>
      </c>
      <c r="G44" s="1">
        <v>16.8</v>
      </c>
      <c r="H44" s="1">
        <v>1.4</v>
      </c>
      <c r="I44" s="9" t="s">
        <v>30</v>
      </c>
      <c r="J44" s="1">
        <v>0.67</v>
      </c>
      <c r="K44" s="10">
        <v>32</v>
      </c>
      <c r="L44" s="3">
        <v>-0.27100000000000002</v>
      </c>
      <c r="M44" s="11">
        <v>2.7693921951000001E-2</v>
      </c>
      <c r="N44" t="s">
        <v>63</v>
      </c>
      <c r="O44" s="11">
        <v>-0.27794276959039788</v>
      </c>
      <c r="P44" s="11">
        <v>3.4482758620689662E-2</v>
      </c>
      <c r="Q44" s="11">
        <v>-0.27549471727996022</v>
      </c>
      <c r="R44" s="11">
        <v>2.754728153570234E-2</v>
      </c>
      <c r="S44" s="9" t="s">
        <v>40</v>
      </c>
      <c r="T44" s="9" t="s">
        <v>50</v>
      </c>
      <c r="U44" s="9" t="s">
        <v>33</v>
      </c>
      <c r="V44" s="9" t="s">
        <v>954</v>
      </c>
      <c r="W44" s="1" t="s">
        <v>31</v>
      </c>
      <c r="X44" s="1" t="s">
        <v>31</v>
      </c>
      <c r="Y44" s="3" t="s">
        <v>31</v>
      </c>
      <c r="Z44" s="11" t="s">
        <v>31</v>
      </c>
      <c r="AA44" s="11" t="s">
        <v>31</v>
      </c>
      <c r="AB44" s="10">
        <v>4</v>
      </c>
      <c r="AC44" s="10">
        <v>4</v>
      </c>
      <c r="AD44" s="10">
        <v>4</v>
      </c>
      <c r="AE44" s="10">
        <v>4</v>
      </c>
      <c r="AF44" s="10">
        <v>0</v>
      </c>
      <c r="AG44" s="9" t="s">
        <v>34</v>
      </c>
      <c r="AH44" s="9" t="s">
        <v>63</v>
      </c>
    </row>
    <row r="45" spans="1:34" x14ac:dyDescent="0.25">
      <c r="A45" s="9" t="s">
        <v>947</v>
      </c>
      <c r="B45" s="1" t="s">
        <v>125</v>
      </c>
      <c r="C45" s="10">
        <v>1</v>
      </c>
      <c r="D45" s="10">
        <v>2003</v>
      </c>
      <c r="E45" s="9" t="s">
        <v>38</v>
      </c>
      <c r="F45" s="9" t="s">
        <v>54</v>
      </c>
      <c r="G45" s="1" t="s">
        <v>31</v>
      </c>
      <c r="H45" s="1" t="s">
        <v>31</v>
      </c>
      <c r="I45" s="9" t="s">
        <v>39</v>
      </c>
      <c r="J45" s="1">
        <v>0</v>
      </c>
      <c r="K45" s="10">
        <v>8</v>
      </c>
      <c r="L45" s="3">
        <v>0.46</v>
      </c>
      <c r="M45" s="11">
        <v>8.8796365714285716E-2</v>
      </c>
      <c r="N45" t="s">
        <v>63</v>
      </c>
      <c r="O45" s="11">
        <v>0.49731128757203102</v>
      </c>
      <c r="P45" s="11">
        <v>0.2</v>
      </c>
      <c r="Q45" s="11">
        <v>0.50086807510919862</v>
      </c>
      <c r="R45" s="11">
        <v>8.0171073123979419E-2</v>
      </c>
      <c r="S45" s="9" t="s">
        <v>31</v>
      </c>
      <c r="T45" s="9" t="s">
        <v>31</v>
      </c>
      <c r="U45" s="9" t="s">
        <v>33</v>
      </c>
      <c r="V45" s="9" t="s">
        <v>77</v>
      </c>
      <c r="W45" s="1" t="s">
        <v>31</v>
      </c>
      <c r="X45" s="1" t="s">
        <v>31</v>
      </c>
      <c r="Y45" s="3" t="s">
        <v>31</v>
      </c>
      <c r="Z45" s="11" t="s">
        <v>31</v>
      </c>
      <c r="AA45" s="11" t="s">
        <v>31</v>
      </c>
      <c r="AB45" s="10" t="s">
        <v>31</v>
      </c>
      <c r="AC45" s="10" t="s">
        <v>31</v>
      </c>
      <c r="AD45" s="10" t="s">
        <v>31</v>
      </c>
      <c r="AE45" s="10" t="s">
        <v>31</v>
      </c>
      <c r="AF45" s="10">
        <v>0</v>
      </c>
      <c r="AG45" s="9" t="s">
        <v>34</v>
      </c>
      <c r="AH45" s="9" t="s">
        <v>63</v>
      </c>
    </row>
    <row r="46" spans="1:34" x14ac:dyDescent="0.25">
      <c r="A46" s="9" t="s">
        <v>947</v>
      </c>
      <c r="B46" s="1" t="s">
        <v>126</v>
      </c>
      <c r="C46" s="10">
        <v>1</v>
      </c>
      <c r="D46" s="10">
        <v>2003</v>
      </c>
      <c r="E46" s="9" t="s">
        <v>38</v>
      </c>
      <c r="F46" s="9" t="s">
        <v>54</v>
      </c>
      <c r="G46" s="1" t="s">
        <v>31</v>
      </c>
      <c r="H46" s="1" t="s">
        <v>31</v>
      </c>
      <c r="I46" s="9" t="s">
        <v>43</v>
      </c>
      <c r="J46" s="1">
        <v>1</v>
      </c>
      <c r="K46" s="10">
        <v>7</v>
      </c>
      <c r="L46" s="3">
        <v>0.17</v>
      </c>
      <c r="M46" s="11">
        <v>0.157172535</v>
      </c>
      <c r="N46" t="s">
        <v>63</v>
      </c>
      <c r="O46" s="11">
        <v>0.1716666635005791</v>
      </c>
      <c r="P46" s="11">
        <v>0.25</v>
      </c>
      <c r="Q46" s="11">
        <v>0.19806183957302911</v>
      </c>
      <c r="R46" s="11">
        <v>0.15384698166960639</v>
      </c>
      <c r="S46" s="9" t="s">
        <v>31</v>
      </c>
      <c r="T46" s="9" t="s">
        <v>31</v>
      </c>
      <c r="U46" s="9" t="s">
        <v>33</v>
      </c>
      <c r="V46" s="9" t="s">
        <v>77</v>
      </c>
      <c r="W46" s="1" t="s">
        <v>31</v>
      </c>
      <c r="X46" s="1" t="s">
        <v>31</v>
      </c>
      <c r="Y46" s="3" t="s">
        <v>31</v>
      </c>
      <c r="Z46" s="11" t="s">
        <v>31</v>
      </c>
      <c r="AA46" s="11" t="s">
        <v>31</v>
      </c>
      <c r="AB46" s="10" t="s">
        <v>31</v>
      </c>
      <c r="AC46" s="10" t="s">
        <v>31</v>
      </c>
      <c r="AD46" s="10" t="s">
        <v>31</v>
      </c>
      <c r="AE46" s="10" t="s">
        <v>31</v>
      </c>
      <c r="AF46" s="10">
        <v>0</v>
      </c>
      <c r="AG46" s="9" t="s">
        <v>34</v>
      </c>
      <c r="AH46" s="9" t="s">
        <v>63</v>
      </c>
    </row>
    <row r="47" spans="1:34" x14ac:dyDescent="0.25">
      <c r="A47" s="9" t="s">
        <v>947</v>
      </c>
      <c r="B47" s="1" t="s">
        <v>127</v>
      </c>
      <c r="C47" s="10">
        <v>1</v>
      </c>
      <c r="D47" s="10">
        <v>2003</v>
      </c>
      <c r="E47" s="9" t="s">
        <v>38</v>
      </c>
      <c r="F47" s="9" t="s">
        <v>54</v>
      </c>
      <c r="G47" s="1" t="s">
        <v>31</v>
      </c>
      <c r="H47" s="1" t="s">
        <v>31</v>
      </c>
      <c r="I47" s="9" t="s">
        <v>39</v>
      </c>
      <c r="J47" s="1">
        <v>0</v>
      </c>
      <c r="K47" s="10">
        <v>7</v>
      </c>
      <c r="L47" s="3">
        <v>-0.67</v>
      </c>
      <c r="M47" s="11">
        <v>5.0618534999999992E-2</v>
      </c>
      <c r="N47" t="s">
        <v>63</v>
      </c>
      <c r="O47" s="11">
        <v>-0.81074312547513749</v>
      </c>
      <c r="P47" s="11">
        <v>0.25</v>
      </c>
      <c r="Q47" s="11">
        <v>-0.71592987316488788</v>
      </c>
      <c r="R47" s="11">
        <v>3.960034323030949E-2</v>
      </c>
      <c r="S47" s="9" t="s">
        <v>31</v>
      </c>
      <c r="T47" s="9" t="s">
        <v>31</v>
      </c>
      <c r="U47" s="9" t="s">
        <v>33</v>
      </c>
      <c r="V47" s="9" t="s">
        <v>77</v>
      </c>
      <c r="W47" s="1" t="s">
        <v>31</v>
      </c>
      <c r="X47" s="1" t="s">
        <v>31</v>
      </c>
      <c r="Y47" s="3" t="s">
        <v>31</v>
      </c>
      <c r="Z47" s="11" t="s">
        <v>31</v>
      </c>
      <c r="AA47" s="11" t="s">
        <v>31</v>
      </c>
      <c r="AB47" s="10" t="s">
        <v>31</v>
      </c>
      <c r="AC47" s="10" t="s">
        <v>31</v>
      </c>
      <c r="AD47" s="10" t="s">
        <v>31</v>
      </c>
      <c r="AE47" s="10" t="s">
        <v>31</v>
      </c>
      <c r="AF47" s="10">
        <v>0</v>
      </c>
      <c r="AG47" s="9" t="s">
        <v>34</v>
      </c>
      <c r="AH47" s="9" t="s">
        <v>63</v>
      </c>
    </row>
    <row r="48" spans="1:34" x14ac:dyDescent="0.25">
      <c r="A48" s="9" t="s">
        <v>947</v>
      </c>
      <c r="B48" s="1" t="s">
        <v>128</v>
      </c>
      <c r="C48" s="10">
        <v>1</v>
      </c>
      <c r="D48" s="10">
        <v>2003</v>
      </c>
      <c r="E48" s="9" t="s">
        <v>38</v>
      </c>
      <c r="F48" s="9" t="s">
        <v>54</v>
      </c>
      <c r="G48" s="1" t="s">
        <v>31</v>
      </c>
      <c r="H48" s="1" t="s">
        <v>31</v>
      </c>
      <c r="I48" s="9" t="s">
        <v>43</v>
      </c>
      <c r="J48" s="1">
        <v>1</v>
      </c>
      <c r="K48" s="10">
        <v>7</v>
      </c>
      <c r="L48" s="3">
        <v>0.67</v>
      </c>
      <c r="M48" s="11">
        <v>5.0618534999999992E-2</v>
      </c>
      <c r="N48" t="s">
        <v>63</v>
      </c>
      <c r="O48" s="11">
        <v>0.81074312547513749</v>
      </c>
      <c r="P48" s="11">
        <v>0.25</v>
      </c>
      <c r="Q48" s="11">
        <v>0.71592987316488788</v>
      </c>
      <c r="R48" s="11">
        <v>3.960034323030949E-2</v>
      </c>
      <c r="S48" s="9" t="s">
        <v>31</v>
      </c>
      <c r="T48" s="9" t="s">
        <v>31</v>
      </c>
      <c r="U48" s="9" t="s">
        <v>33</v>
      </c>
      <c r="V48" s="9" t="s">
        <v>77</v>
      </c>
      <c r="W48" s="1" t="s">
        <v>31</v>
      </c>
      <c r="X48" s="1" t="s">
        <v>31</v>
      </c>
      <c r="Y48" s="3" t="s">
        <v>31</v>
      </c>
      <c r="Z48" s="11" t="s">
        <v>31</v>
      </c>
      <c r="AA48" s="11" t="s">
        <v>31</v>
      </c>
      <c r="AB48" s="10" t="s">
        <v>31</v>
      </c>
      <c r="AC48" s="10" t="s">
        <v>31</v>
      </c>
      <c r="AD48" s="10" t="s">
        <v>31</v>
      </c>
      <c r="AE48" s="10" t="s">
        <v>31</v>
      </c>
      <c r="AF48" s="10">
        <v>0</v>
      </c>
      <c r="AG48" s="9" t="s">
        <v>34</v>
      </c>
      <c r="AH48" s="9" t="s">
        <v>63</v>
      </c>
    </row>
    <row r="49" spans="1:34" x14ac:dyDescent="0.25">
      <c r="A49" s="9" t="s">
        <v>947</v>
      </c>
      <c r="B49" s="1" t="s">
        <v>129</v>
      </c>
      <c r="C49" s="10">
        <v>1</v>
      </c>
      <c r="D49" s="10">
        <v>2003</v>
      </c>
      <c r="E49" s="9" t="s">
        <v>38</v>
      </c>
      <c r="F49" s="9" t="s">
        <v>54</v>
      </c>
      <c r="G49" s="1" t="s">
        <v>31</v>
      </c>
      <c r="H49" s="1" t="s">
        <v>31</v>
      </c>
      <c r="I49" s="9" t="s">
        <v>39</v>
      </c>
      <c r="J49" s="1">
        <v>0</v>
      </c>
      <c r="K49" s="10">
        <v>39</v>
      </c>
      <c r="L49" s="3">
        <v>0.34</v>
      </c>
      <c r="M49" s="11">
        <v>2.058324631578947E-2</v>
      </c>
      <c r="N49" t="s">
        <v>63</v>
      </c>
      <c r="O49" s="11">
        <v>0.35409252896224302</v>
      </c>
      <c r="P49" s="11">
        <v>2.777777777777778E-2</v>
      </c>
      <c r="Q49" s="11">
        <v>0.34429223684412652</v>
      </c>
      <c r="R49" s="11">
        <v>2.044675699706992E-2</v>
      </c>
      <c r="S49" s="9" t="s">
        <v>31</v>
      </c>
      <c r="T49" s="9" t="s">
        <v>31</v>
      </c>
      <c r="U49" s="9" t="s">
        <v>33</v>
      </c>
      <c r="V49" s="9" t="s">
        <v>77</v>
      </c>
      <c r="W49" s="1" t="s">
        <v>31</v>
      </c>
      <c r="X49" s="1" t="s">
        <v>31</v>
      </c>
      <c r="Y49" s="3" t="s">
        <v>31</v>
      </c>
      <c r="Z49" s="11" t="s">
        <v>31</v>
      </c>
      <c r="AA49" s="11" t="s">
        <v>31</v>
      </c>
      <c r="AB49" s="10" t="s">
        <v>31</v>
      </c>
      <c r="AC49" s="10" t="s">
        <v>31</v>
      </c>
      <c r="AD49" s="10" t="s">
        <v>31</v>
      </c>
      <c r="AE49" s="10" t="s">
        <v>31</v>
      </c>
      <c r="AF49" s="10">
        <v>0</v>
      </c>
      <c r="AG49" s="9" t="s">
        <v>34</v>
      </c>
      <c r="AH49" s="9" t="s">
        <v>63</v>
      </c>
    </row>
    <row r="50" spans="1:34" x14ac:dyDescent="0.25">
      <c r="A50" s="9" t="s">
        <v>947</v>
      </c>
      <c r="B50" s="1" t="s">
        <v>130</v>
      </c>
      <c r="C50" s="10">
        <v>1</v>
      </c>
      <c r="D50" s="10">
        <v>2003</v>
      </c>
      <c r="E50" s="9" t="s">
        <v>38</v>
      </c>
      <c r="F50" s="9" t="s">
        <v>54</v>
      </c>
      <c r="G50" s="1" t="s">
        <v>31</v>
      </c>
      <c r="H50" s="1" t="s">
        <v>31</v>
      </c>
      <c r="I50" s="9" t="s">
        <v>43</v>
      </c>
      <c r="J50" s="1">
        <v>1</v>
      </c>
      <c r="K50" s="10">
        <v>63</v>
      </c>
      <c r="L50" s="3">
        <v>0.27</v>
      </c>
      <c r="M50" s="11">
        <v>1.3863135645161289E-2</v>
      </c>
      <c r="N50" t="s">
        <v>63</v>
      </c>
      <c r="O50" s="11">
        <v>0.27686382265510012</v>
      </c>
      <c r="P50" s="11">
        <v>1.666666666666667E-2</v>
      </c>
      <c r="Q50" s="11">
        <v>0.27212413718205369</v>
      </c>
      <c r="R50" s="11">
        <v>1.382871837736011E-2</v>
      </c>
      <c r="S50" s="9" t="s">
        <v>31</v>
      </c>
      <c r="T50" s="9" t="s">
        <v>31</v>
      </c>
      <c r="U50" s="9" t="s">
        <v>33</v>
      </c>
      <c r="V50" s="9" t="s">
        <v>77</v>
      </c>
      <c r="W50" s="1" t="s">
        <v>31</v>
      </c>
      <c r="X50" s="1" t="s">
        <v>31</v>
      </c>
      <c r="Y50" s="3" t="s">
        <v>31</v>
      </c>
      <c r="Z50" s="11" t="s">
        <v>31</v>
      </c>
      <c r="AA50" s="11" t="s">
        <v>31</v>
      </c>
      <c r="AB50" s="10" t="s">
        <v>31</v>
      </c>
      <c r="AC50" s="10" t="s">
        <v>31</v>
      </c>
      <c r="AD50" s="10" t="s">
        <v>31</v>
      </c>
      <c r="AE50" s="10" t="s">
        <v>31</v>
      </c>
      <c r="AF50" s="10">
        <v>0</v>
      </c>
      <c r="AG50" s="9" t="s">
        <v>34</v>
      </c>
      <c r="AH50" s="9" t="s">
        <v>63</v>
      </c>
    </row>
    <row r="51" spans="1:34" x14ac:dyDescent="0.25">
      <c r="A51" s="9" t="s">
        <v>521</v>
      </c>
      <c r="B51" s="1" t="s">
        <v>132</v>
      </c>
      <c r="C51" s="10">
        <v>2</v>
      </c>
      <c r="D51" s="10">
        <v>2003</v>
      </c>
      <c r="E51" s="9" t="s">
        <v>28</v>
      </c>
      <c r="F51" s="9" t="s">
        <v>29</v>
      </c>
      <c r="G51" s="1">
        <v>26.16</v>
      </c>
      <c r="H51" s="1">
        <v>8.8000000000000007</v>
      </c>
      <c r="I51" s="9" t="s">
        <v>30</v>
      </c>
      <c r="J51" s="1">
        <v>0.52</v>
      </c>
      <c r="K51" s="10">
        <v>25</v>
      </c>
      <c r="L51" s="3">
        <v>0.47</v>
      </c>
      <c r="M51" s="11">
        <v>2.5291533750000001E-2</v>
      </c>
      <c r="N51">
        <v>157</v>
      </c>
      <c r="O51" s="11">
        <v>0.51007033661330714</v>
      </c>
      <c r="P51" s="11">
        <v>4.5454545454545463E-2</v>
      </c>
      <c r="Q51" s="11">
        <v>0.47859968647828072</v>
      </c>
      <c r="R51" s="11">
        <v>2.4764670490138429E-2</v>
      </c>
      <c r="S51" s="9" t="s">
        <v>40</v>
      </c>
      <c r="T51" s="9" t="s">
        <v>46</v>
      </c>
      <c r="U51" s="9" t="s">
        <v>33</v>
      </c>
      <c r="V51" s="9" t="s">
        <v>955</v>
      </c>
      <c r="W51" s="1">
        <v>16.3</v>
      </c>
      <c r="X51" s="1">
        <v>15</v>
      </c>
      <c r="Y51" s="3">
        <f>W51/X51</f>
        <v>1.0866666666666667</v>
      </c>
      <c r="Z51" s="11">
        <v>0.44002246230507869</v>
      </c>
      <c r="AA51" s="11">
        <v>0.17834311254252491</v>
      </c>
      <c r="AB51" s="10">
        <v>4</v>
      </c>
      <c r="AC51" s="10">
        <v>4</v>
      </c>
      <c r="AD51" s="10">
        <v>4</v>
      </c>
      <c r="AE51" s="10">
        <v>4</v>
      </c>
      <c r="AF51" s="10">
        <v>0</v>
      </c>
      <c r="AG51" s="9" t="s">
        <v>41</v>
      </c>
      <c r="AH51" s="9" t="s">
        <v>35</v>
      </c>
    </row>
    <row r="52" spans="1:34" x14ac:dyDescent="0.25">
      <c r="A52" s="9" t="s">
        <v>522</v>
      </c>
      <c r="B52" s="1" t="s">
        <v>134</v>
      </c>
      <c r="C52" s="10">
        <v>2</v>
      </c>
      <c r="D52" s="10">
        <v>2003</v>
      </c>
      <c r="E52" s="9" t="s">
        <v>38</v>
      </c>
      <c r="F52" s="9" t="s">
        <v>54</v>
      </c>
      <c r="G52" s="1">
        <v>14.6</v>
      </c>
      <c r="H52" s="1">
        <v>1.5</v>
      </c>
      <c r="I52" s="9" t="s">
        <v>39</v>
      </c>
      <c r="J52" s="1">
        <v>0</v>
      </c>
      <c r="K52" s="10">
        <v>24</v>
      </c>
      <c r="L52" s="3">
        <v>0.2</v>
      </c>
      <c r="M52" s="11">
        <v>4.0069565217391301E-2</v>
      </c>
      <c r="N52">
        <v>10</v>
      </c>
      <c r="O52" s="11">
        <v>0.20273255405408211</v>
      </c>
      <c r="P52" s="11">
        <v>4.7619047619047623E-2</v>
      </c>
      <c r="Q52" s="11">
        <v>0.20483431563978169</v>
      </c>
      <c r="R52" s="11">
        <v>3.99063567065212E-2</v>
      </c>
      <c r="S52" s="9" t="s">
        <v>40</v>
      </c>
      <c r="T52" s="9" t="s">
        <v>50</v>
      </c>
      <c r="U52" s="9" t="s">
        <v>33</v>
      </c>
      <c r="V52" s="9" t="s">
        <v>330</v>
      </c>
      <c r="W52" s="1" t="s">
        <v>31</v>
      </c>
      <c r="X52" s="1" t="s">
        <v>31</v>
      </c>
      <c r="Y52" s="3" t="s">
        <v>31</v>
      </c>
      <c r="Z52" s="11" t="s">
        <v>31</v>
      </c>
      <c r="AA52" s="11" t="s">
        <v>31</v>
      </c>
      <c r="AB52" s="10">
        <v>3</v>
      </c>
      <c r="AC52" s="10">
        <v>3</v>
      </c>
      <c r="AD52" s="10">
        <v>3</v>
      </c>
      <c r="AE52" s="10">
        <v>3</v>
      </c>
      <c r="AF52" s="10">
        <v>0</v>
      </c>
      <c r="AG52" s="9" t="s">
        <v>41</v>
      </c>
      <c r="AH52" s="9" t="s">
        <v>35</v>
      </c>
    </row>
    <row r="53" spans="1:34" x14ac:dyDescent="0.25">
      <c r="A53" s="9" t="s">
        <v>522</v>
      </c>
      <c r="B53" s="1" t="s">
        <v>135</v>
      </c>
      <c r="C53" s="10">
        <v>2</v>
      </c>
      <c r="D53" s="10">
        <v>2003</v>
      </c>
      <c r="E53" s="9" t="s">
        <v>38</v>
      </c>
      <c r="F53" s="9" t="s">
        <v>54</v>
      </c>
      <c r="G53" s="1">
        <v>14.5</v>
      </c>
      <c r="H53" s="1">
        <v>1.6</v>
      </c>
      <c r="I53" s="9" t="s">
        <v>43</v>
      </c>
      <c r="J53" s="1">
        <v>1</v>
      </c>
      <c r="K53" s="10">
        <v>13</v>
      </c>
      <c r="L53" s="3">
        <v>0.26</v>
      </c>
      <c r="M53" s="11">
        <v>7.2447479999999995E-2</v>
      </c>
      <c r="N53">
        <v>10</v>
      </c>
      <c r="O53" s="11">
        <v>0.26610840687365411</v>
      </c>
      <c r="P53" s="11">
        <v>0.1</v>
      </c>
      <c r="Q53" s="11">
        <v>0.27353254418483419</v>
      </c>
      <c r="R53" s="11">
        <v>7.1329827902816542E-2</v>
      </c>
      <c r="S53" s="9" t="s">
        <v>40</v>
      </c>
      <c r="T53" s="9" t="s">
        <v>50</v>
      </c>
      <c r="U53" s="9" t="s">
        <v>33</v>
      </c>
      <c r="V53" s="9" t="s">
        <v>330</v>
      </c>
      <c r="W53" s="1" t="s">
        <v>31</v>
      </c>
      <c r="X53" s="1" t="s">
        <v>31</v>
      </c>
      <c r="Y53" s="3" t="s">
        <v>31</v>
      </c>
      <c r="Z53" s="11" t="s">
        <v>31</v>
      </c>
      <c r="AA53" s="11" t="s">
        <v>31</v>
      </c>
      <c r="AB53" s="10">
        <v>3</v>
      </c>
      <c r="AC53" s="10">
        <v>3</v>
      </c>
      <c r="AD53" s="10">
        <v>3</v>
      </c>
      <c r="AE53" s="10">
        <v>3</v>
      </c>
      <c r="AF53" s="10">
        <v>0</v>
      </c>
      <c r="AG53" s="9" t="s">
        <v>41</v>
      </c>
      <c r="AH53" s="9" t="s">
        <v>35</v>
      </c>
    </row>
    <row r="54" spans="1:34" x14ac:dyDescent="0.25">
      <c r="A54" s="9" t="s">
        <v>523</v>
      </c>
      <c r="B54" s="1" t="s">
        <v>138</v>
      </c>
      <c r="C54" s="10">
        <v>1</v>
      </c>
      <c r="D54" s="10">
        <v>2004</v>
      </c>
      <c r="E54" s="9" t="s">
        <v>38</v>
      </c>
      <c r="F54" s="9" t="s">
        <v>54</v>
      </c>
      <c r="G54" s="1">
        <v>15.05</v>
      </c>
      <c r="H54" s="1">
        <v>2.12</v>
      </c>
      <c r="I54" s="9" t="s">
        <v>30</v>
      </c>
      <c r="J54" s="1">
        <v>0.5</v>
      </c>
      <c r="K54" s="10">
        <v>40</v>
      </c>
      <c r="L54" s="3">
        <v>0.41</v>
      </c>
      <c r="M54" s="11">
        <v>1.7745066923076921E-2</v>
      </c>
      <c r="N54">
        <v>801</v>
      </c>
      <c r="O54" s="11">
        <v>0.43561122323622431</v>
      </c>
      <c r="P54" s="11">
        <v>2.7027027027027029E-2</v>
      </c>
      <c r="Q54" s="11">
        <v>0.41471758700544681</v>
      </c>
      <c r="R54" s="11">
        <v>1.7579472795433738E-2</v>
      </c>
      <c r="S54" s="9" t="s">
        <v>40</v>
      </c>
      <c r="T54" s="9" t="s">
        <v>50</v>
      </c>
      <c r="U54" s="9" t="s">
        <v>33</v>
      </c>
      <c r="V54" s="9" t="s">
        <v>956</v>
      </c>
      <c r="W54" s="1">
        <v>15.31</v>
      </c>
      <c r="X54" s="1">
        <v>15</v>
      </c>
      <c r="Y54" s="3">
        <f>W54/X54</f>
        <v>1.0206666666666666</v>
      </c>
      <c r="Z54" s="11">
        <v>0.40305854233670962</v>
      </c>
      <c r="AA54" s="11">
        <v>0.14644159375658991</v>
      </c>
      <c r="AB54" s="10">
        <v>4</v>
      </c>
      <c r="AC54" s="10">
        <v>4</v>
      </c>
      <c r="AD54" s="10">
        <v>4</v>
      </c>
      <c r="AE54" s="10">
        <v>4</v>
      </c>
      <c r="AF54" s="10">
        <v>0</v>
      </c>
      <c r="AG54" s="9" t="s">
        <v>41</v>
      </c>
      <c r="AH54" s="9" t="s">
        <v>35</v>
      </c>
    </row>
    <row r="55" spans="1:34" x14ac:dyDescent="0.25">
      <c r="A55" s="9" t="s">
        <v>148</v>
      </c>
      <c r="B55" s="1" t="s">
        <v>139</v>
      </c>
      <c r="C55" s="10">
        <v>2</v>
      </c>
      <c r="D55" s="10">
        <v>2004</v>
      </c>
      <c r="E55" s="9" t="s">
        <v>38</v>
      </c>
      <c r="F55" s="9" t="s">
        <v>54</v>
      </c>
      <c r="G55" s="1">
        <v>15.9</v>
      </c>
      <c r="H55" s="1" t="s">
        <v>31</v>
      </c>
      <c r="I55" s="9" t="s">
        <v>39</v>
      </c>
      <c r="J55" s="1">
        <v>0</v>
      </c>
      <c r="K55" s="10">
        <v>38</v>
      </c>
      <c r="L55" s="3">
        <v>0.24399999999999999</v>
      </c>
      <c r="M55" s="11">
        <v>2.3904663116108109E-2</v>
      </c>
      <c r="N55" t="s">
        <v>63</v>
      </c>
      <c r="O55" s="11">
        <v>0.2490229485597959</v>
      </c>
      <c r="P55" s="11">
        <v>2.8571428571428571E-2</v>
      </c>
      <c r="Q55" s="11">
        <v>0.24738490114149539</v>
      </c>
      <c r="R55" s="11">
        <v>2.3820183091535552E-2</v>
      </c>
      <c r="S55" s="9" t="s">
        <v>40</v>
      </c>
      <c r="T55" s="9" t="s">
        <v>31</v>
      </c>
      <c r="U55" s="9" t="s">
        <v>33</v>
      </c>
      <c r="V55" s="9" t="s">
        <v>151</v>
      </c>
      <c r="W55" s="1" t="s">
        <v>31</v>
      </c>
      <c r="X55" s="1" t="s">
        <v>31</v>
      </c>
      <c r="Y55" s="3" t="s">
        <v>31</v>
      </c>
      <c r="Z55" s="11" t="s">
        <v>31</v>
      </c>
      <c r="AA55" s="11" t="s">
        <v>31</v>
      </c>
      <c r="AB55" s="10">
        <v>4</v>
      </c>
      <c r="AC55" s="10">
        <v>4</v>
      </c>
      <c r="AD55" s="10">
        <v>4</v>
      </c>
      <c r="AE55" s="10">
        <v>4</v>
      </c>
      <c r="AF55" s="10">
        <v>0</v>
      </c>
      <c r="AG55" s="9" t="s">
        <v>34</v>
      </c>
      <c r="AH55" s="9" t="s">
        <v>63</v>
      </c>
    </row>
    <row r="56" spans="1:34" x14ac:dyDescent="0.25">
      <c r="A56" s="9" t="s">
        <v>148</v>
      </c>
      <c r="B56" s="1" t="s">
        <v>141</v>
      </c>
      <c r="C56" s="10">
        <v>2</v>
      </c>
      <c r="D56" s="10">
        <v>2004</v>
      </c>
      <c r="E56" s="9" t="s">
        <v>38</v>
      </c>
      <c r="F56" s="9" t="s">
        <v>54</v>
      </c>
      <c r="G56" s="1">
        <v>15.9</v>
      </c>
      <c r="H56" s="1" t="s">
        <v>31</v>
      </c>
      <c r="I56" s="9" t="s">
        <v>43</v>
      </c>
      <c r="J56" s="1">
        <v>1</v>
      </c>
      <c r="K56" s="10">
        <v>38</v>
      </c>
      <c r="L56" s="3">
        <v>0.26700000000000002</v>
      </c>
      <c r="M56" s="11">
        <v>2.331092220327027E-2</v>
      </c>
      <c r="N56" t="s">
        <v>63</v>
      </c>
      <c r="O56" s="11">
        <v>0.27363073921724368</v>
      </c>
      <c r="P56" s="11">
        <v>2.8571428571428571E-2</v>
      </c>
      <c r="Q56" s="11">
        <v>0.27065469258119662</v>
      </c>
      <c r="R56" s="11">
        <v>2.3212384265041481E-2</v>
      </c>
      <c r="S56" s="9" t="s">
        <v>40</v>
      </c>
      <c r="T56" s="9" t="s">
        <v>31</v>
      </c>
      <c r="U56" s="9" t="s">
        <v>33</v>
      </c>
      <c r="V56" s="9" t="s">
        <v>151</v>
      </c>
      <c r="W56" s="1" t="s">
        <v>31</v>
      </c>
      <c r="X56" s="1" t="s">
        <v>31</v>
      </c>
      <c r="Y56" s="3" t="s">
        <v>31</v>
      </c>
      <c r="Z56" s="11" t="s">
        <v>31</v>
      </c>
      <c r="AA56" s="11" t="s">
        <v>31</v>
      </c>
      <c r="AB56" s="10">
        <v>4</v>
      </c>
      <c r="AC56" s="10">
        <v>4</v>
      </c>
      <c r="AD56" s="10">
        <v>4</v>
      </c>
      <c r="AE56" s="10">
        <v>4</v>
      </c>
      <c r="AF56" s="10">
        <v>0</v>
      </c>
      <c r="AG56" s="9" t="s">
        <v>34</v>
      </c>
      <c r="AH56" s="9" t="s">
        <v>63</v>
      </c>
    </row>
    <row r="57" spans="1:34" x14ac:dyDescent="0.25">
      <c r="A57" s="9" t="s">
        <v>148</v>
      </c>
      <c r="B57" s="1" t="s">
        <v>144</v>
      </c>
      <c r="C57" s="10">
        <v>2</v>
      </c>
      <c r="D57" s="10">
        <v>2004</v>
      </c>
      <c r="E57" s="9" t="s">
        <v>38</v>
      </c>
      <c r="F57" s="9" t="s">
        <v>54</v>
      </c>
      <c r="G57" s="1">
        <v>14.86</v>
      </c>
      <c r="H57" s="1" t="s">
        <v>31</v>
      </c>
      <c r="I57" s="9" t="s">
        <v>30</v>
      </c>
      <c r="J57" s="1">
        <v>0.5</v>
      </c>
      <c r="K57" s="10">
        <v>16</v>
      </c>
      <c r="L57" s="3">
        <v>0.49399999999999999</v>
      </c>
      <c r="M57" s="11">
        <v>3.8098771286399997E-2</v>
      </c>
      <c r="N57" t="s">
        <v>63</v>
      </c>
      <c r="O57" s="11">
        <v>0.54133784820264852</v>
      </c>
      <c r="P57" s="11">
        <v>7.6923076923076927E-2</v>
      </c>
      <c r="Q57" s="11">
        <v>0.50908479625078829</v>
      </c>
      <c r="R57" s="11">
        <v>3.6588869684974663E-2</v>
      </c>
      <c r="S57" s="9" t="s">
        <v>40</v>
      </c>
      <c r="T57" s="9" t="s">
        <v>31</v>
      </c>
      <c r="U57" s="9" t="s">
        <v>33</v>
      </c>
      <c r="V57" s="9" t="s">
        <v>151</v>
      </c>
      <c r="W57" s="1" t="s">
        <v>31</v>
      </c>
      <c r="X57" s="1" t="s">
        <v>31</v>
      </c>
      <c r="Y57" s="3" t="s">
        <v>31</v>
      </c>
      <c r="Z57" s="11" t="s">
        <v>31</v>
      </c>
      <c r="AA57" s="11" t="s">
        <v>31</v>
      </c>
      <c r="AB57" s="10">
        <v>4</v>
      </c>
      <c r="AC57" s="10">
        <v>4</v>
      </c>
      <c r="AD57" s="10">
        <v>4</v>
      </c>
      <c r="AE57" s="10">
        <v>4</v>
      </c>
      <c r="AF57" s="10">
        <v>0</v>
      </c>
      <c r="AG57" s="9" t="s">
        <v>34</v>
      </c>
      <c r="AH57" s="9" t="s">
        <v>63</v>
      </c>
    </row>
    <row r="58" spans="1:34" x14ac:dyDescent="0.25">
      <c r="A58" s="9" t="s">
        <v>142</v>
      </c>
      <c r="B58" s="1" t="s">
        <v>145</v>
      </c>
      <c r="C58" s="10">
        <v>1</v>
      </c>
      <c r="D58" s="10">
        <v>2004</v>
      </c>
      <c r="E58" s="9" t="s">
        <v>38</v>
      </c>
      <c r="F58" s="9" t="s">
        <v>54</v>
      </c>
      <c r="G58" s="1">
        <v>18</v>
      </c>
      <c r="H58" s="1">
        <v>0.9</v>
      </c>
      <c r="I58" s="9" t="s">
        <v>39</v>
      </c>
      <c r="J58" s="1">
        <v>0</v>
      </c>
      <c r="K58" s="10">
        <v>49</v>
      </c>
      <c r="L58" s="3">
        <v>0.37</v>
      </c>
      <c r="M58" s="11">
        <v>1.5519616875E-2</v>
      </c>
      <c r="N58">
        <v>471</v>
      </c>
      <c r="O58" s="11">
        <v>0.38842309971829619</v>
      </c>
      <c r="P58" s="11">
        <v>2.1739130434782612E-2</v>
      </c>
      <c r="Q58" s="11">
        <v>0.37354253525336328</v>
      </c>
      <c r="R58" s="11">
        <v>1.542503527135965E-2</v>
      </c>
      <c r="S58" s="9" t="s">
        <v>40</v>
      </c>
      <c r="T58" s="9" t="s">
        <v>50</v>
      </c>
      <c r="U58" s="9" t="s">
        <v>33</v>
      </c>
      <c r="V58" s="9" t="s">
        <v>911</v>
      </c>
      <c r="W58" s="1">
        <v>17.7</v>
      </c>
      <c r="X58" s="1">
        <v>15</v>
      </c>
      <c r="Y58" s="3">
        <f t="shared" ref="Y58:Y66" si="1">W58/X58</f>
        <v>1.18</v>
      </c>
      <c r="Z58" s="11">
        <v>0.31978881166713402</v>
      </c>
      <c r="AA58" s="11">
        <v>0.1218232740815012</v>
      </c>
      <c r="AB58" s="10">
        <v>4</v>
      </c>
      <c r="AC58" s="10">
        <v>4</v>
      </c>
      <c r="AD58" s="10">
        <v>4</v>
      </c>
      <c r="AE58" s="10">
        <v>4</v>
      </c>
      <c r="AF58" s="10">
        <v>0</v>
      </c>
      <c r="AG58" s="9" t="s">
        <v>41</v>
      </c>
      <c r="AH58" s="9" t="s">
        <v>35</v>
      </c>
    </row>
    <row r="59" spans="1:34" x14ac:dyDescent="0.25">
      <c r="A59" s="9" t="s">
        <v>142</v>
      </c>
      <c r="B59" s="1" t="s">
        <v>147</v>
      </c>
      <c r="C59" s="10">
        <v>1</v>
      </c>
      <c r="D59" s="10">
        <v>2004</v>
      </c>
      <c r="E59" s="9" t="s">
        <v>38</v>
      </c>
      <c r="F59" s="9" t="s">
        <v>54</v>
      </c>
      <c r="G59" s="1">
        <v>18</v>
      </c>
      <c r="H59" s="1">
        <v>0.9</v>
      </c>
      <c r="I59" s="9" t="s">
        <v>43</v>
      </c>
      <c r="J59" s="1">
        <v>1</v>
      </c>
      <c r="K59" s="10">
        <v>47</v>
      </c>
      <c r="L59" s="3">
        <v>0.55100000000000005</v>
      </c>
      <c r="M59" s="11">
        <v>1.0542860156543481E-2</v>
      </c>
      <c r="N59">
        <v>471</v>
      </c>
      <c r="O59" s="11">
        <v>0.61981613771714239</v>
      </c>
      <c r="P59" s="11">
        <v>2.2727272727272731E-2</v>
      </c>
      <c r="Q59" s="11">
        <v>0.55541485460495044</v>
      </c>
      <c r="R59" s="11">
        <v>1.039548003120893E-2</v>
      </c>
      <c r="S59" s="9" t="s">
        <v>40</v>
      </c>
      <c r="T59" s="9" t="s">
        <v>50</v>
      </c>
      <c r="U59" s="9" t="s">
        <v>33</v>
      </c>
      <c r="V59" s="9" t="s">
        <v>911</v>
      </c>
      <c r="W59" s="1">
        <v>18.8</v>
      </c>
      <c r="X59" s="1">
        <v>15</v>
      </c>
      <c r="Y59" s="3">
        <f t="shared" si="1"/>
        <v>1.2533333333333334</v>
      </c>
      <c r="Z59" s="11">
        <v>0.46609041781163552</v>
      </c>
      <c r="AA59" s="11">
        <v>0.11828011005103981</v>
      </c>
      <c r="AB59" s="10">
        <v>4</v>
      </c>
      <c r="AC59" s="10">
        <v>4</v>
      </c>
      <c r="AD59" s="10">
        <v>4</v>
      </c>
      <c r="AE59" s="10">
        <v>4</v>
      </c>
      <c r="AF59" s="10">
        <v>0</v>
      </c>
      <c r="AG59" s="9" t="s">
        <v>41</v>
      </c>
      <c r="AH59" s="9" t="s">
        <v>35</v>
      </c>
    </row>
    <row r="60" spans="1:34" x14ac:dyDescent="0.25">
      <c r="A60" s="9" t="s">
        <v>157</v>
      </c>
      <c r="B60" s="1" t="s">
        <v>150</v>
      </c>
      <c r="C60" s="10">
        <v>2</v>
      </c>
      <c r="D60" s="10">
        <v>2004</v>
      </c>
      <c r="E60" s="9" t="s">
        <v>38</v>
      </c>
      <c r="F60" s="9" t="s">
        <v>29</v>
      </c>
      <c r="G60" s="1">
        <v>43.62</v>
      </c>
      <c r="H60" s="1">
        <v>4.3099999999999996</v>
      </c>
      <c r="I60" s="9" t="s">
        <v>30</v>
      </c>
      <c r="J60" s="1">
        <v>0.47</v>
      </c>
      <c r="K60" s="10">
        <v>17</v>
      </c>
      <c r="L60" s="3">
        <v>0.31</v>
      </c>
      <c r="M60" s="11">
        <v>5.1064700625000001E-2</v>
      </c>
      <c r="N60" t="s">
        <v>63</v>
      </c>
      <c r="O60" s="11">
        <v>0.32054540930194608</v>
      </c>
      <c r="P60" s="11">
        <v>7.1428571428571425E-2</v>
      </c>
      <c r="Q60" s="11">
        <v>0.32076808230626558</v>
      </c>
      <c r="R60" s="11">
        <v>5.0300154492316701E-2</v>
      </c>
      <c r="S60" s="9" t="s">
        <v>40</v>
      </c>
      <c r="T60" s="9" t="s">
        <v>50</v>
      </c>
      <c r="U60" s="9" t="s">
        <v>33</v>
      </c>
      <c r="V60" s="9" t="s">
        <v>957</v>
      </c>
      <c r="W60" s="1">
        <v>13.6</v>
      </c>
      <c r="X60" s="1">
        <v>15</v>
      </c>
      <c r="Y60" s="3">
        <f t="shared" si="1"/>
        <v>0.90666666666666662</v>
      </c>
      <c r="Z60" s="11">
        <v>0.33840980396904607</v>
      </c>
      <c r="AA60" s="11">
        <v>0.2625146772338946</v>
      </c>
      <c r="AB60" s="10">
        <v>4</v>
      </c>
      <c r="AC60" s="10">
        <v>4</v>
      </c>
      <c r="AD60" s="10">
        <v>4</v>
      </c>
      <c r="AE60" s="10">
        <v>4</v>
      </c>
      <c r="AF60" s="10">
        <v>0</v>
      </c>
      <c r="AG60" s="9" t="s">
        <v>34</v>
      </c>
      <c r="AH60" s="9" t="s">
        <v>63</v>
      </c>
    </row>
    <row r="61" spans="1:34" x14ac:dyDescent="0.25">
      <c r="A61" s="9" t="s">
        <v>157</v>
      </c>
      <c r="B61" s="1" t="s">
        <v>152</v>
      </c>
      <c r="C61" s="10">
        <v>2</v>
      </c>
      <c r="D61" s="10">
        <v>2004</v>
      </c>
      <c r="E61" s="9" t="s">
        <v>28</v>
      </c>
      <c r="F61" s="9" t="s">
        <v>29</v>
      </c>
      <c r="G61" s="1">
        <v>30.3</v>
      </c>
      <c r="H61" s="1">
        <v>9.1</v>
      </c>
      <c r="I61" s="9" t="s">
        <v>30</v>
      </c>
      <c r="J61" s="1">
        <v>0.87</v>
      </c>
      <c r="K61" s="10">
        <v>15</v>
      </c>
      <c r="L61" s="3">
        <v>7.0000000000000007E-2</v>
      </c>
      <c r="M61" s="11">
        <v>7.0730286428571418E-2</v>
      </c>
      <c r="N61" t="s">
        <v>63</v>
      </c>
      <c r="O61" s="11">
        <v>7.0114670654325154E-2</v>
      </c>
      <c r="P61" s="11">
        <v>8.3333333333333329E-2</v>
      </c>
      <c r="Q61" s="11">
        <v>7.3230789331322946E-2</v>
      </c>
      <c r="R61" s="11">
        <v>7.0664518718525873E-2</v>
      </c>
      <c r="S61" s="9" t="s">
        <v>40</v>
      </c>
      <c r="T61" s="9" t="s">
        <v>50</v>
      </c>
      <c r="U61" s="9" t="s">
        <v>33</v>
      </c>
      <c r="V61" s="9" t="s">
        <v>957</v>
      </c>
      <c r="W61" s="1">
        <v>23</v>
      </c>
      <c r="X61" s="1">
        <v>15</v>
      </c>
      <c r="Y61" s="3">
        <f t="shared" si="1"/>
        <v>1.5333333333333334</v>
      </c>
      <c r="Z61" s="11">
        <v>4.5716585475686321E-2</v>
      </c>
      <c r="AA61" s="11">
        <v>0.18120162106394</v>
      </c>
      <c r="AB61" s="10">
        <v>4</v>
      </c>
      <c r="AC61" s="10">
        <v>4</v>
      </c>
      <c r="AD61" s="10">
        <v>4</v>
      </c>
      <c r="AE61" s="10">
        <v>4</v>
      </c>
      <c r="AF61" s="10">
        <v>0</v>
      </c>
      <c r="AG61" s="9" t="s">
        <v>34</v>
      </c>
      <c r="AH61" s="9" t="s">
        <v>63</v>
      </c>
    </row>
    <row r="62" spans="1:34" x14ac:dyDescent="0.25">
      <c r="A62" s="9" t="s">
        <v>524</v>
      </c>
      <c r="B62" s="1" t="s">
        <v>153</v>
      </c>
      <c r="C62" s="10">
        <v>2</v>
      </c>
      <c r="D62" s="10">
        <v>2004</v>
      </c>
      <c r="E62" s="9" t="s">
        <v>28</v>
      </c>
      <c r="F62" s="9" t="s">
        <v>29</v>
      </c>
      <c r="G62" s="1">
        <v>42.23</v>
      </c>
      <c r="H62" s="1">
        <v>13.367000000000001</v>
      </c>
      <c r="I62" s="9" t="s">
        <v>30</v>
      </c>
      <c r="J62" s="1">
        <v>0.5</v>
      </c>
      <c r="K62" s="10">
        <v>201</v>
      </c>
      <c r="L62" s="3">
        <v>0.28000000000000003</v>
      </c>
      <c r="M62" s="11">
        <v>4.2467327999999999E-3</v>
      </c>
      <c r="N62">
        <v>72</v>
      </c>
      <c r="O62" s="11">
        <v>0.28768207245178101</v>
      </c>
      <c r="P62" s="11">
        <v>5.0505050505050509E-3</v>
      </c>
      <c r="Q62" s="11">
        <v>0.28065518072246393</v>
      </c>
      <c r="R62" s="11">
        <v>4.2433481570803948E-3</v>
      </c>
      <c r="S62" s="9" t="s">
        <v>40</v>
      </c>
      <c r="T62" s="9" t="s">
        <v>50</v>
      </c>
      <c r="U62" s="9" t="s">
        <v>33</v>
      </c>
      <c r="V62" s="9" t="s">
        <v>911</v>
      </c>
      <c r="W62" s="1">
        <v>17.64</v>
      </c>
      <c r="X62" s="1">
        <v>15</v>
      </c>
      <c r="Y62" s="3">
        <f t="shared" si="1"/>
        <v>1.1759999999999999</v>
      </c>
      <c r="Z62" s="11">
        <v>0.24072270141305929</v>
      </c>
      <c r="AA62" s="11">
        <v>5.9804847825357041E-2</v>
      </c>
      <c r="AB62" s="10">
        <v>4</v>
      </c>
      <c r="AC62" s="10">
        <v>4</v>
      </c>
      <c r="AD62" s="10">
        <v>4</v>
      </c>
      <c r="AE62" s="10">
        <v>4</v>
      </c>
      <c r="AF62" s="10">
        <v>4</v>
      </c>
      <c r="AG62" s="9" t="s">
        <v>34</v>
      </c>
      <c r="AH62" s="9" t="s">
        <v>35</v>
      </c>
    </row>
    <row r="63" spans="1:34" x14ac:dyDescent="0.25">
      <c r="A63" s="9" t="s">
        <v>525</v>
      </c>
      <c r="B63" s="1" t="s">
        <v>155</v>
      </c>
      <c r="C63" s="10">
        <v>2</v>
      </c>
      <c r="D63" s="10">
        <v>2004</v>
      </c>
      <c r="E63" s="9" t="s">
        <v>38</v>
      </c>
      <c r="F63" s="9" t="s">
        <v>54</v>
      </c>
      <c r="G63" s="1">
        <v>15.5</v>
      </c>
      <c r="H63" s="1">
        <v>1.6</v>
      </c>
      <c r="I63" s="9" t="s">
        <v>43</v>
      </c>
      <c r="J63" s="1">
        <v>1</v>
      </c>
      <c r="K63" s="10">
        <v>16</v>
      </c>
      <c r="L63" s="3">
        <v>0.13300000000000001</v>
      </c>
      <c r="M63" s="11">
        <v>6.432899338140001E-2</v>
      </c>
      <c r="N63" t="s">
        <v>63</v>
      </c>
      <c r="O63" s="11">
        <v>0.13379264212373229</v>
      </c>
      <c r="P63" s="11">
        <v>7.6923076923076927E-2</v>
      </c>
      <c r="Q63" s="11">
        <v>0.13853007821476829</v>
      </c>
      <c r="R63" s="11">
        <v>6.4132474221266916E-2</v>
      </c>
      <c r="S63" s="9" t="s">
        <v>40</v>
      </c>
      <c r="T63" s="9" t="s">
        <v>50</v>
      </c>
      <c r="U63" s="9" t="s">
        <v>33</v>
      </c>
      <c r="V63" s="9" t="s">
        <v>958</v>
      </c>
      <c r="W63" s="1">
        <v>18.3</v>
      </c>
      <c r="X63" s="1">
        <v>15</v>
      </c>
      <c r="Y63" s="3">
        <f t="shared" si="1"/>
        <v>1.22</v>
      </c>
      <c r="Z63" s="11">
        <v>0.10933416627248051</v>
      </c>
      <c r="AA63" s="11">
        <v>0.21902461067637871</v>
      </c>
      <c r="AB63" s="10">
        <v>4</v>
      </c>
      <c r="AC63" s="10">
        <v>4</v>
      </c>
      <c r="AD63" s="10">
        <v>4</v>
      </c>
      <c r="AE63" s="10">
        <v>4</v>
      </c>
      <c r="AF63" s="10">
        <v>0</v>
      </c>
      <c r="AG63" s="9" t="s">
        <v>34</v>
      </c>
      <c r="AH63" s="9" t="s">
        <v>63</v>
      </c>
    </row>
    <row r="64" spans="1:34" x14ac:dyDescent="0.25">
      <c r="A64" s="9" t="s">
        <v>525</v>
      </c>
      <c r="B64" s="1" t="s">
        <v>156</v>
      </c>
      <c r="C64" s="10">
        <v>2</v>
      </c>
      <c r="D64" s="10">
        <v>2004</v>
      </c>
      <c r="E64" s="9" t="s">
        <v>28</v>
      </c>
      <c r="F64" s="9" t="s">
        <v>54</v>
      </c>
      <c r="G64" s="1">
        <v>15.4</v>
      </c>
      <c r="H64" s="1">
        <v>2.2400000000000002</v>
      </c>
      <c r="I64" s="9" t="s">
        <v>43</v>
      </c>
      <c r="J64" s="1">
        <v>1</v>
      </c>
      <c r="K64" s="10">
        <v>16</v>
      </c>
      <c r="L64" s="3">
        <v>-6.2E-2</v>
      </c>
      <c r="M64" s="11">
        <v>6.6155118422400003E-2</v>
      </c>
      <c r="N64" s="2" t="s">
        <v>63</v>
      </c>
      <c r="O64" s="11">
        <v>-6.2079626397829803E-2</v>
      </c>
      <c r="P64" s="11">
        <v>7.6923076923076927E-2</v>
      </c>
      <c r="Q64" s="11">
        <v>-6.4697065186355679E-2</v>
      </c>
      <c r="R64" s="11">
        <v>6.6109739978852625E-2</v>
      </c>
      <c r="S64" s="9" t="s">
        <v>40</v>
      </c>
      <c r="T64" s="9" t="s">
        <v>50</v>
      </c>
      <c r="U64" s="9" t="s">
        <v>33</v>
      </c>
      <c r="V64" s="9" t="s">
        <v>958</v>
      </c>
      <c r="W64" s="1">
        <v>21.7</v>
      </c>
      <c r="X64" s="1">
        <v>15</v>
      </c>
      <c r="Y64" s="3">
        <f t="shared" si="1"/>
        <v>1.4466666666666665</v>
      </c>
      <c r="Z64" s="11">
        <v>-4.2900220547254529E-2</v>
      </c>
      <c r="AA64" s="11">
        <v>0.18494394422919239</v>
      </c>
      <c r="AB64" s="10">
        <v>4</v>
      </c>
      <c r="AC64" s="10">
        <v>4</v>
      </c>
      <c r="AD64" s="10">
        <v>4</v>
      </c>
      <c r="AE64" s="10">
        <v>4</v>
      </c>
      <c r="AF64" s="10">
        <v>0</v>
      </c>
      <c r="AG64" s="9" t="s">
        <v>34</v>
      </c>
      <c r="AH64" s="9" t="s">
        <v>63</v>
      </c>
    </row>
    <row r="65" spans="1:34" x14ac:dyDescent="0.25">
      <c r="A65" s="9" t="s">
        <v>526</v>
      </c>
      <c r="B65" s="1" t="s">
        <v>159</v>
      </c>
      <c r="C65" s="10">
        <v>2</v>
      </c>
      <c r="D65" s="10">
        <v>2005</v>
      </c>
      <c r="E65" s="9" t="s">
        <v>38</v>
      </c>
      <c r="F65" s="9" t="s">
        <v>54</v>
      </c>
      <c r="G65" s="1">
        <v>8.42</v>
      </c>
      <c r="H65" s="1">
        <v>8.08</v>
      </c>
      <c r="I65" s="9" t="s">
        <v>30</v>
      </c>
      <c r="J65" s="1">
        <v>0.56999999999999995</v>
      </c>
      <c r="K65" s="10">
        <v>21</v>
      </c>
      <c r="L65" s="3">
        <v>0.46400000000000002</v>
      </c>
      <c r="M65" s="11">
        <v>3.07880183808E-2</v>
      </c>
      <c r="N65" t="s">
        <v>63</v>
      </c>
      <c r="O65" s="11">
        <v>0.50239676672522737</v>
      </c>
      <c r="P65" s="11">
        <v>5.5555555555555552E-2</v>
      </c>
      <c r="Q65" s="11">
        <v>0.47453102496433408</v>
      </c>
      <c r="R65" s="11">
        <v>3.00173253563286E-2</v>
      </c>
      <c r="S65" s="9" t="s">
        <v>40</v>
      </c>
      <c r="T65" s="9" t="s">
        <v>46</v>
      </c>
      <c r="U65" s="9" t="s">
        <v>33</v>
      </c>
      <c r="V65" s="9" t="s">
        <v>258</v>
      </c>
      <c r="W65" s="1">
        <v>8.8000000000000007</v>
      </c>
      <c r="X65" s="1">
        <v>15</v>
      </c>
      <c r="Y65" s="3">
        <f t="shared" si="1"/>
        <v>0.58666666666666667</v>
      </c>
      <c r="Z65" s="11">
        <v>0.66600865008085619</v>
      </c>
      <c r="AA65" s="11">
        <v>0.2068448091823443</v>
      </c>
      <c r="AB65" s="10">
        <v>4</v>
      </c>
      <c r="AC65" s="10">
        <v>4</v>
      </c>
      <c r="AD65" s="10">
        <v>4</v>
      </c>
      <c r="AE65" s="10">
        <v>4</v>
      </c>
      <c r="AF65" s="10">
        <v>0</v>
      </c>
      <c r="AG65" s="9" t="s">
        <v>34</v>
      </c>
      <c r="AH65" s="9" t="s">
        <v>63</v>
      </c>
    </row>
    <row r="66" spans="1:34" x14ac:dyDescent="0.25">
      <c r="A66" s="9" t="s">
        <v>526</v>
      </c>
      <c r="B66" s="1" t="s">
        <v>160</v>
      </c>
      <c r="C66" s="10">
        <v>2</v>
      </c>
      <c r="D66" s="10">
        <v>2005</v>
      </c>
      <c r="E66" s="9" t="s">
        <v>28</v>
      </c>
      <c r="F66" s="9" t="s">
        <v>54</v>
      </c>
      <c r="G66" s="1">
        <v>8.58</v>
      </c>
      <c r="H66" s="1">
        <v>8.5</v>
      </c>
      <c r="I66" s="9" t="s">
        <v>30</v>
      </c>
      <c r="J66" s="1">
        <v>0.53</v>
      </c>
      <c r="K66" s="10">
        <v>60</v>
      </c>
      <c r="L66" s="3">
        <v>0.35</v>
      </c>
      <c r="M66" s="11">
        <v>1.305095338983051E-2</v>
      </c>
      <c r="N66" t="s">
        <v>63</v>
      </c>
      <c r="O66" s="11">
        <v>0.36544375427139619</v>
      </c>
      <c r="P66" s="11">
        <v>1.754385964912281E-2</v>
      </c>
      <c r="Q66" s="11">
        <v>0.35274037578769818</v>
      </c>
      <c r="R66" s="11">
        <v>1.299373266937285E-2</v>
      </c>
      <c r="S66" s="9" t="s">
        <v>40</v>
      </c>
      <c r="T66" s="9" t="s">
        <v>46</v>
      </c>
      <c r="U66" s="9" t="s">
        <v>33</v>
      </c>
      <c r="V66" s="9" t="s">
        <v>258</v>
      </c>
      <c r="W66" s="1">
        <v>12.4</v>
      </c>
      <c r="X66" s="1">
        <v>15</v>
      </c>
      <c r="Y66" s="3">
        <f t="shared" si="1"/>
        <v>0.82666666666666666</v>
      </c>
      <c r="Z66" s="11">
        <v>0.41186048527049091</v>
      </c>
      <c r="AA66" s="11">
        <v>0.13696722772265141</v>
      </c>
      <c r="AB66" s="10">
        <v>4</v>
      </c>
      <c r="AC66" s="10">
        <v>4</v>
      </c>
      <c r="AD66" s="10">
        <v>4</v>
      </c>
      <c r="AE66" s="10">
        <v>4</v>
      </c>
      <c r="AF66" s="10">
        <v>0</v>
      </c>
      <c r="AG66" s="9" t="s">
        <v>34</v>
      </c>
      <c r="AH66" s="9" t="s">
        <v>63</v>
      </c>
    </row>
    <row r="67" spans="1:34" x14ac:dyDescent="0.25">
      <c r="A67" s="9" t="s">
        <v>527</v>
      </c>
      <c r="B67" s="1" t="s">
        <v>162</v>
      </c>
      <c r="C67" s="10">
        <v>2</v>
      </c>
      <c r="D67" s="10">
        <v>2005</v>
      </c>
      <c r="E67" s="9" t="s">
        <v>38</v>
      </c>
      <c r="F67" s="9" t="s">
        <v>29</v>
      </c>
      <c r="G67" s="1">
        <v>23.5</v>
      </c>
      <c r="H67" s="1" t="s">
        <v>31</v>
      </c>
      <c r="I67" s="9" t="s">
        <v>43</v>
      </c>
      <c r="J67" s="1">
        <v>1</v>
      </c>
      <c r="K67" s="10">
        <v>19</v>
      </c>
      <c r="L67" s="3">
        <v>0.27</v>
      </c>
      <c r="M67" s="11">
        <v>4.7750800555555563E-2</v>
      </c>
      <c r="N67">
        <v>35</v>
      </c>
      <c r="O67" s="11">
        <v>0.27686382265510012</v>
      </c>
      <c r="P67" s="11">
        <v>6.25E-2</v>
      </c>
      <c r="Q67" s="11">
        <v>0.27837344481605941</v>
      </c>
      <c r="R67" s="11">
        <v>4.7278968088935697E-2</v>
      </c>
      <c r="S67" s="9" t="s">
        <v>40</v>
      </c>
      <c r="T67" s="9" t="s">
        <v>50</v>
      </c>
      <c r="U67" s="9" t="s">
        <v>33</v>
      </c>
      <c r="V67" s="9" t="s">
        <v>331</v>
      </c>
      <c r="W67" s="1" t="s">
        <v>31</v>
      </c>
      <c r="X67" s="1" t="s">
        <v>31</v>
      </c>
      <c r="Y67" s="3" t="s">
        <v>31</v>
      </c>
      <c r="Z67" s="11" t="s">
        <v>31</v>
      </c>
      <c r="AA67" s="11" t="s">
        <v>31</v>
      </c>
      <c r="AB67" s="10">
        <v>3</v>
      </c>
      <c r="AC67" s="10">
        <v>4</v>
      </c>
      <c r="AD67" s="10">
        <v>4</v>
      </c>
      <c r="AE67" s="10">
        <v>4</v>
      </c>
      <c r="AF67" s="10">
        <v>0</v>
      </c>
      <c r="AG67" s="9" t="s">
        <v>41</v>
      </c>
      <c r="AH67" s="9" t="s">
        <v>35</v>
      </c>
    </row>
    <row r="68" spans="1:34" x14ac:dyDescent="0.25">
      <c r="A68" s="9" t="s">
        <v>528</v>
      </c>
      <c r="B68" s="1" t="s">
        <v>164</v>
      </c>
      <c r="C68" s="10">
        <v>2</v>
      </c>
      <c r="D68" s="10">
        <v>2006</v>
      </c>
      <c r="E68" s="9" t="s">
        <v>38</v>
      </c>
      <c r="F68" s="9" t="s">
        <v>54</v>
      </c>
      <c r="G68" s="1">
        <v>15.1</v>
      </c>
      <c r="H68" s="1">
        <v>7.9</v>
      </c>
      <c r="I68" s="9" t="s">
        <v>30</v>
      </c>
      <c r="J68" s="1">
        <v>0.43</v>
      </c>
      <c r="K68" s="10">
        <v>41</v>
      </c>
      <c r="L68" s="3">
        <v>0.159</v>
      </c>
      <c r="M68" s="11">
        <v>2.3751928224024998E-2</v>
      </c>
      <c r="N68" t="s">
        <v>63</v>
      </c>
      <c r="O68" s="11">
        <v>0.16036059168340189</v>
      </c>
      <c r="P68" s="11">
        <v>2.6315789473684209E-2</v>
      </c>
      <c r="Q68" s="11">
        <v>0.161104862084473</v>
      </c>
      <c r="R68" s="11">
        <v>2.3719102431329509E-2</v>
      </c>
      <c r="S68" s="9" t="s">
        <v>40</v>
      </c>
      <c r="T68" s="9" t="s">
        <v>50</v>
      </c>
      <c r="U68" s="9" t="s">
        <v>33</v>
      </c>
      <c r="V68" s="9" t="s">
        <v>956</v>
      </c>
      <c r="W68" s="1">
        <v>13.4</v>
      </c>
      <c r="X68" s="1">
        <v>15</v>
      </c>
      <c r="Y68" s="3">
        <f t="shared" ref="Y68:Y82" si="2">W68/X68</f>
        <v>0.89333333333333331</v>
      </c>
      <c r="Z68" s="11">
        <v>0.17741844563768869</v>
      </c>
      <c r="AA68" s="11">
        <v>0.17528285090980389</v>
      </c>
      <c r="AB68" s="10">
        <v>4</v>
      </c>
      <c r="AC68" s="10">
        <v>4</v>
      </c>
      <c r="AD68" s="10">
        <v>4</v>
      </c>
      <c r="AE68" s="10">
        <v>4</v>
      </c>
      <c r="AF68" s="10">
        <v>0</v>
      </c>
      <c r="AG68" s="9" t="s">
        <v>34</v>
      </c>
      <c r="AH68" s="9" t="s">
        <v>63</v>
      </c>
    </row>
    <row r="69" spans="1:34" x14ac:dyDescent="0.25">
      <c r="A69" s="9" t="s">
        <v>528</v>
      </c>
      <c r="B69" s="1" t="s">
        <v>165</v>
      </c>
      <c r="C69" s="10">
        <v>2</v>
      </c>
      <c r="D69" s="10">
        <v>2006</v>
      </c>
      <c r="E69" s="9" t="s">
        <v>28</v>
      </c>
      <c r="F69" s="9" t="s">
        <v>54</v>
      </c>
      <c r="G69" s="1">
        <v>16.7</v>
      </c>
      <c r="H69" s="1">
        <v>8.6999999999999993</v>
      </c>
      <c r="I69" s="9" t="s">
        <v>30</v>
      </c>
      <c r="J69" s="1">
        <v>0.37</v>
      </c>
      <c r="K69" s="10">
        <v>43</v>
      </c>
      <c r="L69" s="3">
        <v>0.155</v>
      </c>
      <c r="M69" s="11">
        <v>2.2679219062499999E-2</v>
      </c>
      <c r="N69" t="s">
        <v>63</v>
      </c>
      <c r="O69" s="11">
        <v>0.1562594977993601</v>
      </c>
      <c r="P69" s="11">
        <v>2.5000000000000001E-2</v>
      </c>
      <c r="Q69" s="11">
        <v>0.15694885865202779</v>
      </c>
      <c r="R69" s="11">
        <v>2.2650973654218979E-2</v>
      </c>
      <c r="S69" s="9" t="s">
        <v>40</v>
      </c>
      <c r="T69" s="9" t="s">
        <v>50</v>
      </c>
      <c r="U69" s="9" t="s">
        <v>33</v>
      </c>
      <c r="V69" s="9" t="s">
        <v>956</v>
      </c>
      <c r="W69" s="1">
        <v>11.5</v>
      </c>
      <c r="X69" s="1">
        <v>15</v>
      </c>
      <c r="Y69" s="3">
        <f t="shared" si="2"/>
        <v>0.76666666666666672</v>
      </c>
      <c r="Z69" s="11">
        <v>0.20049189549129581</v>
      </c>
      <c r="AA69" s="11">
        <v>0.1962618786336261</v>
      </c>
      <c r="AB69" s="10">
        <v>4</v>
      </c>
      <c r="AC69" s="10">
        <v>4</v>
      </c>
      <c r="AD69" s="10">
        <v>4</v>
      </c>
      <c r="AE69" s="10">
        <v>4</v>
      </c>
      <c r="AF69" s="10">
        <v>0</v>
      </c>
      <c r="AG69" s="9" t="s">
        <v>34</v>
      </c>
      <c r="AH69" s="9" t="s">
        <v>63</v>
      </c>
    </row>
    <row r="70" spans="1:34" x14ac:dyDescent="0.25">
      <c r="A70" s="9" t="s">
        <v>176</v>
      </c>
      <c r="B70" s="1" t="s">
        <v>167</v>
      </c>
      <c r="C70" s="10">
        <v>2</v>
      </c>
      <c r="D70" s="10">
        <v>2006</v>
      </c>
      <c r="E70" s="9" t="s">
        <v>38</v>
      </c>
      <c r="F70" s="9" t="s">
        <v>29</v>
      </c>
      <c r="G70" s="1">
        <v>21.41</v>
      </c>
      <c r="H70" s="1">
        <v>10.91</v>
      </c>
      <c r="I70" s="9" t="s">
        <v>43</v>
      </c>
      <c r="J70" s="1">
        <v>1</v>
      </c>
      <c r="K70" s="10">
        <v>23</v>
      </c>
      <c r="L70" s="3">
        <v>0.46</v>
      </c>
      <c r="M70" s="11">
        <v>2.825338909090909E-2</v>
      </c>
      <c r="N70" t="s">
        <v>63</v>
      </c>
      <c r="O70" s="11">
        <v>0.49731128757203102</v>
      </c>
      <c r="P70" s="11">
        <v>0.05</v>
      </c>
      <c r="Q70" s="11">
        <v>0.46940869993248241</v>
      </c>
      <c r="R70" s="11">
        <v>2.7630120713020678E-2</v>
      </c>
      <c r="S70" s="9" t="s">
        <v>40</v>
      </c>
      <c r="T70" s="9" t="s">
        <v>31</v>
      </c>
      <c r="U70" s="9" t="s">
        <v>33</v>
      </c>
      <c r="V70" s="9" t="s">
        <v>959</v>
      </c>
      <c r="W70" s="1">
        <v>11.18</v>
      </c>
      <c r="X70" s="1">
        <v>15</v>
      </c>
      <c r="Y70" s="3">
        <f t="shared" si="2"/>
        <v>0.74533333333333329</v>
      </c>
      <c r="Z70" s="11">
        <v>0.57074711606328499</v>
      </c>
      <c r="AA70" s="11">
        <v>0.20559967864959719</v>
      </c>
      <c r="AB70" s="10">
        <v>4</v>
      </c>
      <c r="AC70" s="10">
        <v>4</v>
      </c>
      <c r="AD70" s="10">
        <v>4</v>
      </c>
      <c r="AE70" s="10">
        <v>4</v>
      </c>
      <c r="AF70" s="10">
        <v>0</v>
      </c>
      <c r="AG70" s="9" t="s">
        <v>41</v>
      </c>
      <c r="AH70" s="9" t="s">
        <v>63</v>
      </c>
    </row>
    <row r="71" spans="1:34" x14ac:dyDescent="0.25">
      <c r="A71" s="9" t="s">
        <v>176</v>
      </c>
      <c r="B71" s="1" t="s">
        <v>168</v>
      </c>
      <c r="C71" s="10">
        <v>2</v>
      </c>
      <c r="D71" s="10">
        <v>2006</v>
      </c>
      <c r="E71" s="9" t="s">
        <v>28</v>
      </c>
      <c r="F71" s="9" t="s">
        <v>29</v>
      </c>
      <c r="G71" s="1">
        <v>20.79</v>
      </c>
      <c r="H71" s="1">
        <v>10.58</v>
      </c>
      <c r="I71" s="9" t="s">
        <v>43</v>
      </c>
      <c r="J71" s="1">
        <v>1</v>
      </c>
      <c r="K71" s="10">
        <v>24</v>
      </c>
      <c r="L71" s="3">
        <v>0.3</v>
      </c>
      <c r="M71" s="11">
        <v>3.6004347826086962E-2</v>
      </c>
      <c r="N71" t="s">
        <v>63</v>
      </c>
      <c r="O71" s="11">
        <v>0.30951960420311181</v>
      </c>
      <c r="P71" s="11">
        <v>4.7619047619047623E-2</v>
      </c>
      <c r="Q71" s="11">
        <v>0.30683184613132009</v>
      </c>
      <c r="R71" s="11">
        <v>3.5677037592612683E-2</v>
      </c>
      <c r="S71" s="9" t="s">
        <v>40</v>
      </c>
      <c r="T71" s="9" t="s">
        <v>31</v>
      </c>
      <c r="U71" s="9" t="s">
        <v>33</v>
      </c>
      <c r="V71" s="9" t="s">
        <v>959</v>
      </c>
      <c r="W71" s="1">
        <v>20.64</v>
      </c>
      <c r="X71" s="1">
        <v>15</v>
      </c>
      <c r="Y71" s="3">
        <f t="shared" si="2"/>
        <v>1.3760000000000001</v>
      </c>
      <c r="Z71" s="11">
        <v>0.2228053870700456</v>
      </c>
      <c r="AA71" s="11">
        <v>0.1577464232694237</v>
      </c>
      <c r="AB71" s="10">
        <v>4</v>
      </c>
      <c r="AC71" s="10">
        <v>4</v>
      </c>
      <c r="AD71" s="10">
        <v>4</v>
      </c>
      <c r="AE71" s="10">
        <v>4</v>
      </c>
      <c r="AF71" s="10">
        <v>0</v>
      </c>
      <c r="AG71" s="9" t="s">
        <v>41</v>
      </c>
      <c r="AH71" s="9" t="s">
        <v>63</v>
      </c>
    </row>
    <row r="72" spans="1:34" x14ac:dyDescent="0.25">
      <c r="A72" s="9" t="s">
        <v>529</v>
      </c>
      <c r="B72" s="1" t="s">
        <v>171</v>
      </c>
      <c r="C72" s="10">
        <v>2</v>
      </c>
      <c r="D72" s="10">
        <v>2006</v>
      </c>
      <c r="E72" s="9" t="s">
        <v>38</v>
      </c>
      <c r="F72" s="9" t="s">
        <v>54</v>
      </c>
      <c r="G72" s="1">
        <v>10.77</v>
      </c>
      <c r="H72" s="1">
        <v>1.48</v>
      </c>
      <c r="I72" s="9" t="s">
        <v>43</v>
      </c>
      <c r="J72" s="1">
        <v>1</v>
      </c>
      <c r="K72" s="10">
        <v>13</v>
      </c>
      <c r="L72" s="3">
        <v>-0.111</v>
      </c>
      <c r="M72" s="11">
        <v>8.1292483920083328E-2</v>
      </c>
      <c r="N72" t="s">
        <v>63</v>
      </c>
      <c r="O72" s="11">
        <v>-0.1114592770628627</v>
      </c>
      <c r="P72" s="11">
        <v>0.1</v>
      </c>
      <c r="Q72" s="11">
        <v>-0.1172252649063214</v>
      </c>
      <c r="R72" s="11">
        <v>8.1058775881523173E-2</v>
      </c>
      <c r="S72" s="9" t="s">
        <v>40</v>
      </c>
      <c r="T72" s="9" t="s">
        <v>46</v>
      </c>
      <c r="U72" s="9" t="s">
        <v>33</v>
      </c>
      <c r="V72" s="9" t="s">
        <v>264</v>
      </c>
      <c r="W72" s="1">
        <v>9.41</v>
      </c>
      <c r="X72" s="1">
        <v>15</v>
      </c>
      <c r="Y72" s="3">
        <f t="shared" si="2"/>
        <v>0.6273333333333333</v>
      </c>
      <c r="Z72" s="11">
        <v>-0.1752832376087278</v>
      </c>
      <c r="AA72" s="11">
        <v>0.46436611209214479</v>
      </c>
      <c r="AB72" s="10">
        <v>4</v>
      </c>
      <c r="AC72" s="10">
        <v>4</v>
      </c>
      <c r="AD72" s="10">
        <v>4</v>
      </c>
      <c r="AE72" s="10">
        <v>4</v>
      </c>
      <c r="AF72" s="10">
        <v>0</v>
      </c>
      <c r="AG72" s="9" t="s">
        <v>41</v>
      </c>
      <c r="AH72" s="9" t="s">
        <v>63</v>
      </c>
    </row>
    <row r="73" spans="1:34" x14ac:dyDescent="0.25">
      <c r="A73" s="9" t="s">
        <v>529</v>
      </c>
      <c r="B73" s="1" t="s">
        <v>173</v>
      </c>
      <c r="C73" s="10">
        <v>2</v>
      </c>
      <c r="D73" s="10">
        <v>2006</v>
      </c>
      <c r="E73" s="9" t="s">
        <v>28</v>
      </c>
      <c r="F73" s="9" t="s">
        <v>54</v>
      </c>
      <c r="G73" s="1">
        <v>10.16</v>
      </c>
      <c r="H73" s="1">
        <v>1.92</v>
      </c>
      <c r="I73" s="9" t="s">
        <v>43</v>
      </c>
      <c r="J73" s="1">
        <v>1</v>
      </c>
      <c r="K73" s="10">
        <v>38</v>
      </c>
      <c r="L73" s="3">
        <v>2.4E-2</v>
      </c>
      <c r="M73" s="11">
        <v>2.699590085881081E-2</v>
      </c>
      <c r="N73" t="s">
        <v>63</v>
      </c>
      <c r="O73" s="11">
        <v>2.4004609593180331E-2</v>
      </c>
      <c r="P73" s="11">
        <v>2.8571428571428571E-2</v>
      </c>
      <c r="Q73" s="11">
        <v>2.435527832469906E-2</v>
      </c>
      <c r="R73" s="11">
        <v>2.6994972775607289E-2</v>
      </c>
      <c r="S73" s="9" t="s">
        <v>40</v>
      </c>
      <c r="T73" s="9" t="s">
        <v>46</v>
      </c>
      <c r="U73" s="9" t="s">
        <v>33</v>
      </c>
      <c r="V73" s="9" t="s">
        <v>264</v>
      </c>
      <c r="W73" s="1">
        <v>16.079999999999998</v>
      </c>
      <c r="X73" s="1">
        <v>15</v>
      </c>
      <c r="Y73" s="3">
        <f t="shared" si="2"/>
        <v>1.0719999999999998</v>
      </c>
      <c r="Z73" s="11">
        <v>2.2388896779587851E-2</v>
      </c>
      <c r="AA73" s="11">
        <v>0.15544528900255261</v>
      </c>
      <c r="AB73" s="10">
        <v>4</v>
      </c>
      <c r="AC73" s="10">
        <v>4</v>
      </c>
      <c r="AD73" s="10">
        <v>4</v>
      </c>
      <c r="AE73" s="10">
        <v>4</v>
      </c>
      <c r="AF73" s="10">
        <v>0</v>
      </c>
      <c r="AG73" s="9" t="s">
        <v>41</v>
      </c>
      <c r="AH73" s="9" t="s">
        <v>63</v>
      </c>
    </row>
    <row r="74" spans="1:34" x14ac:dyDescent="0.25">
      <c r="A74" s="9" t="s">
        <v>529</v>
      </c>
      <c r="B74" s="1" t="s">
        <v>174</v>
      </c>
      <c r="C74" s="10">
        <v>2</v>
      </c>
      <c r="D74" s="10">
        <v>2006</v>
      </c>
      <c r="E74" s="9" t="s">
        <v>28</v>
      </c>
      <c r="F74" s="9" t="s">
        <v>54</v>
      </c>
      <c r="G74" s="1">
        <v>10.08</v>
      </c>
      <c r="H74" s="1">
        <v>1.31</v>
      </c>
      <c r="I74" s="9" t="s">
        <v>43</v>
      </c>
      <c r="J74" s="1">
        <v>1</v>
      </c>
      <c r="K74" s="10">
        <v>12</v>
      </c>
      <c r="L74" s="3">
        <v>-0.14299999999999999</v>
      </c>
      <c r="M74" s="11">
        <v>8.7229105600090909E-2</v>
      </c>
      <c r="N74" t="s">
        <v>63</v>
      </c>
      <c r="O74" s="11">
        <v>-0.1439868725985155</v>
      </c>
      <c r="P74" s="11">
        <v>0.1111111111111111</v>
      </c>
      <c r="Q74" s="11">
        <v>-0.15194189364564789</v>
      </c>
      <c r="R74" s="11">
        <v>8.6760027360112055E-2</v>
      </c>
      <c r="S74" s="9" t="s">
        <v>40</v>
      </c>
      <c r="T74" s="9" t="s">
        <v>46</v>
      </c>
      <c r="U74" s="9" t="s">
        <v>33</v>
      </c>
      <c r="V74" s="9" t="s">
        <v>264</v>
      </c>
      <c r="W74" s="1">
        <v>12.16</v>
      </c>
      <c r="X74" s="1">
        <v>15</v>
      </c>
      <c r="Y74" s="3">
        <f t="shared" si="2"/>
        <v>0.81066666666666665</v>
      </c>
      <c r="Z74" s="11">
        <v>-0.17546464505051221</v>
      </c>
      <c r="AA74" s="11">
        <v>0.37997840209576061</v>
      </c>
      <c r="AB74" s="10">
        <v>4</v>
      </c>
      <c r="AC74" s="10">
        <v>4</v>
      </c>
      <c r="AD74" s="10">
        <v>4</v>
      </c>
      <c r="AE74" s="10">
        <v>4</v>
      </c>
      <c r="AF74" s="10">
        <v>0</v>
      </c>
      <c r="AG74" s="9" t="s">
        <v>41</v>
      </c>
      <c r="AH74" s="9" t="s">
        <v>63</v>
      </c>
    </row>
    <row r="75" spans="1:34" x14ac:dyDescent="0.25">
      <c r="A75" s="9" t="s">
        <v>530</v>
      </c>
      <c r="B75" s="1" t="s">
        <v>175</v>
      </c>
      <c r="C75" s="10">
        <v>2</v>
      </c>
      <c r="D75" s="10">
        <v>2006</v>
      </c>
      <c r="E75" s="9" t="s">
        <v>38</v>
      </c>
      <c r="F75" s="9" t="s">
        <v>54</v>
      </c>
      <c r="G75" s="1">
        <v>12.4</v>
      </c>
      <c r="H75" s="1">
        <v>1.2</v>
      </c>
      <c r="I75" s="9" t="s">
        <v>30</v>
      </c>
      <c r="J75" s="1">
        <v>0.46200000000000002</v>
      </c>
      <c r="K75" s="10">
        <v>13</v>
      </c>
      <c r="L75" s="3">
        <v>0.59299999999999997</v>
      </c>
      <c r="M75" s="11">
        <v>3.5029918266749997E-2</v>
      </c>
      <c r="N75" t="s">
        <v>63</v>
      </c>
      <c r="O75" s="11">
        <v>0.6822805622337268</v>
      </c>
      <c r="P75" s="11">
        <v>0.1</v>
      </c>
      <c r="Q75" s="11">
        <v>0.61290653388453376</v>
      </c>
      <c r="R75" s="11">
        <v>3.2483950347220882E-2</v>
      </c>
      <c r="S75" s="9" t="s">
        <v>40</v>
      </c>
      <c r="T75" s="9" t="s">
        <v>31</v>
      </c>
      <c r="U75" s="9" t="s">
        <v>33</v>
      </c>
      <c r="V75" s="9" t="s">
        <v>332</v>
      </c>
      <c r="W75" s="1">
        <v>15.3</v>
      </c>
      <c r="X75" s="1">
        <v>15</v>
      </c>
      <c r="Y75" s="3">
        <f t="shared" si="2"/>
        <v>1.02</v>
      </c>
      <c r="Z75" s="11">
        <v>0.58538297698217201</v>
      </c>
      <c r="AA75" s="11">
        <v>0.24297706410914441</v>
      </c>
      <c r="AB75" s="10">
        <v>4</v>
      </c>
      <c r="AC75" s="10">
        <v>4</v>
      </c>
      <c r="AD75" s="10">
        <v>4</v>
      </c>
      <c r="AE75" s="10">
        <v>4</v>
      </c>
      <c r="AF75" s="10">
        <v>0</v>
      </c>
      <c r="AG75" s="9" t="s">
        <v>34</v>
      </c>
      <c r="AH75" s="9" t="s">
        <v>63</v>
      </c>
    </row>
    <row r="76" spans="1:34" x14ac:dyDescent="0.25">
      <c r="A76" s="9" t="s">
        <v>530</v>
      </c>
      <c r="B76" s="1" t="s">
        <v>178</v>
      </c>
      <c r="C76" s="10">
        <v>2</v>
      </c>
      <c r="D76" s="10">
        <v>2006</v>
      </c>
      <c r="E76" s="9" t="s">
        <v>28</v>
      </c>
      <c r="F76" s="9" t="s">
        <v>54</v>
      </c>
      <c r="G76" s="1">
        <v>12.3</v>
      </c>
      <c r="H76" s="1">
        <v>0.97</v>
      </c>
      <c r="I76" s="9" t="s">
        <v>30</v>
      </c>
      <c r="J76" s="1">
        <v>0.5</v>
      </c>
      <c r="K76" s="10">
        <v>14</v>
      </c>
      <c r="L76" s="3">
        <v>0.40799999999999997</v>
      </c>
      <c r="M76" s="11">
        <v>5.3444789484307711E-2</v>
      </c>
      <c r="N76" t="s">
        <v>63</v>
      </c>
      <c r="O76" s="11">
        <v>0.43320945091699092</v>
      </c>
      <c r="P76" s="11">
        <v>9.0909090909090912E-2</v>
      </c>
      <c r="Q76" s="11">
        <v>0.42466382032010153</v>
      </c>
      <c r="R76" s="11">
        <v>5.1680274176282279E-2</v>
      </c>
      <c r="S76" s="9" t="s">
        <v>40</v>
      </c>
      <c r="T76" s="9" t="s">
        <v>31</v>
      </c>
      <c r="U76" s="9" t="s">
        <v>33</v>
      </c>
      <c r="V76" s="9" t="s">
        <v>332</v>
      </c>
      <c r="W76" s="1">
        <v>17.5</v>
      </c>
      <c r="X76" s="1">
        <v>15</v>
      </c>
      <c r="Y76" s="3">
        <f t="shared" si="2"/>
        <v>1.1666666666666667</v>
      </c>
      <c r="Z76" s="11">
        <v>0.35770224278305551</v>
      </c>
      <c r="AA76" s="11">
        <v>0.24174062313102221</v>
      </c>
      <c r="AB76" s="10">
        <v>4</v>
      </c>
      <c r="AC76" s="10">
        <v>4</v>
      </c>
      <c r="AD76" s="10">
        <v>4</v>
      </c>
      <c r="AE76" s="10">
        <v>4</v>
      </c>
      <c r="AF76" s="10">
        <v>0</v>
      </c>
      <c r="AG76" s="9" t="s">
        <v>34</v>
      </c>
      <c r="AH76" s="9" t="s">
        <v>63</v>
      </c>
    </row>
    <row r="77" spans="1:34" x14ac:dyDescent="0.25">
      <c r="A77" s="9" t="s">
        <v>531</v>
      </c>
      <c r="B77" s="1" t="s">
        <v>179</v>
      </c>
      <c r="C77" s="10">
        <v>2</v>
      </c>
      <c r="D77" s="10">
        <v>2007</v>
      </c>
      <c r="E77" s="9" t="s">
        <v>38</v>
      </c>
      <c r="F77" s="9" t="s">
        <v>54</v>
      </c>
      <c r="G77" s="1">
        <v>10.5</v>
      </c>
      <c r="H77" s="1">
        <v>1.92</v>
      </c>
      <c r="I77" s="9" t="s">
        <v>31</v>
      </c>
      <c r="J77" s="1" t="s">
        <v>31</v>
      </c>
      <c r="K77" s="10">
        <v>20</v>
      </c>
      <c r="L77" s="3">
        <v>-0.55000000000000004</v>
      </c>
      <c r="M77" s="11">
        <v>2.5605592105263159E-2</v>
      </c>
      <c r="N77" t="s">
        <v>63</v>
      </c>
      <c r="O77" s="11">
        <v>-0.61838131357446346</v>
      </c>
      <c r="P77" s="11">
        <v>5.8823529411764712E-2</v>
      </c>
      <c r="Q77" s="11">
        <v>-0.56162834429733666</v>
      </c>
      <c r="R77" s="11">
        <v>2.466531672434804E-2</v>
      </c>
      <c r="S77" s="9" t="s">
        <v>40</v>
      </c>
      <c r="T77" s="9" t="s">
        <v>31</v>
      </c>
      <c r="U77" s="9" t="s">
        <v>33</v>
      </c>
      <c r="V77" s="9" t="s">
        <v>332</v>
      </c>
      <c r="W77" s="1">
        <v>11</v>
      </c>
      <c r="X77" s="1">
        <v>15</v>
      </c>
      <c r="Y77" s="3">
        <f t="shared" si="2"/>
        <v>0.73333333333333328</v>
      </c>
      <c r="Z77" s="11">
        <v>-0.66815310478106105</v>
      </c>
      <c r="AA77" s="11">
        <v>0.18979230909421041</v>
      </c>
      <c r="AB77" s="10">
        <v>4</v>
      </c>
      <c r="AC77" s="10">
        <v>4</v>
      </c>
      <c r="AD77" s="10">
        <v>4</v>
      </c>
      <c r="AE77" s="10">
        <v>4</v>
      </c>
      <c r="AF77" s="10">
        <v>0</v>
      </c>
      <c r="AG77" s="9" t="s">
        <v>34</v>
      </c>
      <c r="AH77" s="9" t="s">
        <v>63</v>
      </c>
    </row>
    <row r="78" spans="1:34" x14ac:dyDescent="0.25">
      <c r="A78" s="9" t="s">
        <v>531</v>
      </c>
      <c r="B78" s="1" t="s">
        <v>181</v>
      </c>
      <c r="C78" s="10">
        <v>2</v>
      </c>
      <c r="D78" s="10">
        <v>2007</v>
      </c>
      <c r="E78" s="9" t="s">
        <v>28</v>
      </c>
      <c r="F78" s="9" t="s">
        <v>54</v>
      </c>
      <c r="G78" s="1">
        <v>10.75</v>
      </c>
      <c r="H78" s="1">
        <v>2.33</v>
      </c>
      <c r="I78" s="9" t="s">
        <v>31</v>
      </c>
      <c r="J78" s="1" t="s">
        <v>31</v>
      </c>
      <c r="K78" s="10">
        <v>21</v>
      </c>
      <c r="L78" s="3">
        <v>0.25</v>
      </c>
      <c r="M78" s="11">
        <v>4.39453125E-2</v>
      </c>
      <c r="N78" t="s">
        <v>63</v>
      </c>
      <c r="O78" s="11">
        <v>0.25541281188299542</v>
      </c>
      <c r="P78" s="11">
        <v>5.5555555555555552E-2</v>
      </c>
      <c r="Q78" s="11">
        <v>0.25692709136765018</v>
      </c>
      <c r="R78" s="11">
        <v>4.3616723078622313E-2</v>
      </c>
      <c r="S78" s="9" t="s">
        <v>40</v>
      </c>
      <c r="T78" s="9" t="s">
        <v>31</v>
      </c>
      <c r="U78" s="9" t="s">
        <v>33</v>
      </c>
      <c r="V78" s="9" t="s">
        <v>332</v>
      </c>
      <c r="W78" s="1">
        <v>12</v>
      </c>
      <c r="X78" s="1">
        <v>15</v>
      </c>
      <c r="Y78" s="3">
        <f t="shared" si="2"/>
        <v>0.8</v>
      </c>
      <c r="Z78" s="11">
        <v>0.30714755841697561</v>
      </c>
      <c r="AA78" s="11">
        <v>0.2636392016201527</v>
      </c>
      <c r="AB78" s="10">
        <v>4</v>
      </c>
      <c r="AC78" s="10">
        <v>4</v>
      </c>
      <c r="AD78" s="10">
        <v>4</v>
      </c>
      <c r="AE78" s="10">
        <v>4</v>
      </c>
      <c r="AF78" s="10">
        <v>0</v>
      </c>
      <c r="AG78" s="9" t="s">
        <v>34</v>
      </c>
      <c r="AH78" s="9" t="s">
        <v>63</v>
      </c>
    </row>
    <row r="79" spans="1:34" x14ac:dyDescent="0.25">
      <c r="A79" s="9" t="s">
        <v>532</v>
      </c>
      <c r="B79" s="1" t="s">
        <v>182</v>
      </c>
      <c r="C79" s="10">
        <v>3</v>
      </c>
      <c r="D79" s="10">
        <v>2007</v>
      </c>
      <c r="E79" s="9" t="s">
        <v>38</v>
      </c>
      <c r="F79" s="9" t="s">
        <v>29</v>
      </c>
      <c r="G79" s="1">
        <v>58.5</v>
      </c>
      <c r="H79" s="1">
        <v>7.8</v>
      </c>
      <c r="I79" s="9" t="s">
        <v>39</v>
      </c>
      <c r="J79" s="1">
        <v>0</v>
      </c>
      <c r="K79" s="10">
        <v>18</v>
      </c>
      <c r="L79" s="3">
        <v>-0.23</v>
      </c>
      <c r="M79" s="11">
        <v>5.2764612352941193E-2</v>
      </c>
      <c r="N79">
        <v>33</v>
      </c>
      <c r="O79" s="11">
        <v>-0.2341894667593668</v>
      </c>
      <c r="P79" s="11">
        <v>6.6666666666666666E-2</v>
      </c>
      <c r="Q79" s="11">
        <v>-0.23783625031640879</v>
      </c>
      <c r="R79" s="11">
        <v>5.2356915158804911E-2</v>
      </c>
      <c r="S79" s="9" t="s">
        <v>40</v>
      </c>
      <c r="T79" s="9" t="s">
        <v>50</v>
      </c>
      <c r="U79" s="9" t="s">
        <v>33</v>
      </c>
      <c r="V79" s="9" t="s">
        <v>960</v>
      </c>
      <c r="W79" s="1">
        <v>4</v>
      </c>
      <c r="X79" s="1">
        <v>15</v>
      </c>
      <c r="Y79" s="3">
        <f t="shared" si="2"/>
        <v>0.26666666666666666</v>
      </c>
      <c r="Z79" s="11">
        <v>-0.6632641094102415</v>
      </c>
      <c r="AA79" s="11">
        <v>0.41490758618788021</v>
      </c>
      <c r="AB79" s="10">
        <v>3</v>
      </c>
      <c r="AC79" s="10">
        <v>3</v>
      </c>
      <c r="AD79" s="10">
        <v>3</v>
      </c>
      <c r="AE79" s="10">
        <v>3</v>
      </c>
      <c r="AF79" s="10">
        <v>0</v>
      </c>
      <c r="AG79" s="9" t="s">
        <v>41</v>
      </c>
      <c r="AH79" s="9" t="s">
        <v>263</v>
      </c>
    </row>
    <row r="80" spans="1:34" x14ac:dyDescent="0.25">
      <c r="A80" s="9" t="s">
        <v>532</v>
      </c>
      <c r="B80" s="1" t="s">
        <v>184</v>
      </c>
      <c r="C80" s="10">
        <v>3</v>
      </c>
      <c r="D80" s="10">
        <v>2007</v>
      </c>
      <c r="E80" s="9" t="s">
        <v>38</v>
      </c>
      <c r="F80" s="9" t="s">
        <v>29</v>
      </c>
      <c r="G80" s="1">
        <v>58.5</v>
      </c>
      <c r="H80" s="1">
        <v>7.8</v>
      </c>
      <c r="I80" s="9" t="s">
        <v>43</v>
      </c>
      <c r="J80" s="1">
        <v>1</v>
      </c>
      <c r="K80" s="10">
        <v>17</v>
      </c>
      <c r="L80" s="3">
        <v>0.18</v>
      </c>
      <c r="M80" s="11">
        <v>5.8515610000000003E-2</v>
      </c>
      <c r="N80">
        <v>34</v>
      </c>
      <c r="O80" s="11">
        <v>0.18198268860070571</v>
      </c>
      <c r="P80" s="11">
        <v>7.1428571428571425E-2</v>
      </c>
      <c r="Q80" s="11">
        <v>0.18677760581242969</v>
      </c>
      <c r="R80" s="11">
        <v>5.8215329758812578E-2</v>
      </c>
      <c r="S80" s="9" t="s">
        <v>40</v>
      </c>
      <c r="T80" s="9" t="s">
        <v>50</v>
      </c>
      <c r="U80" s="9" t="s">
        <v>33</v>
      </c>
      <c r="V80" s="9" t="s">
        <v>960</v>
      </c>
      <c r="W80" s="1">
        <v>4.2</v>
      </c>
      <c r="X80" s="1">
        <v>15</v>
      </c>
      <c r="Y80" s="3">
        <f t="shared" si="2"/>
        <v>0.28000000000000003</v>
      </c>
      <c r="Z80" s="11">
        <v>0.5470648541060944</v>
      </c>
      <c r="AA80" s="11">
        <v>0.55900705844471155</v>
      </c>
      <c r="AB80" s="10">
        <v>3</v>
      </c>
      <c r="AC80" s="10">
        <v>3</v>
      </c>
      <c r="AD80" s="10">
        <v>3</v>
      </c>
      <c r="AE80" s="10">
        <v>3</v>
      </c>
      <c r="AF80" s="10">
        <v>0</v>
      </c>
      <c r="AG80" s="9" t="s">
        <v>41</v>
      </c>
      <c r="AH80" s="9" t="s">
        <v>263</v>
      </c>
    </row>
    <row r="81" spans="1:34" x14ac:dyDescent="0.25">
      <c r="A81" s="9" t="s">
        <v>532</v>
      </c>
      <c r="B81" s="1" t="s">
        <v>186</v>
      </c>
      <c r="C81" s="10">
        <v>3</v>
      </c>
      <c r="D81" s="10">
        <v>2007</v>
      </c>
      <c r="E81" s="9" t="s">
        <v>28</v>
      </c>
      <c r="F81" s="9" t="s">
        <v>29</v>
      </c>
      <c r="G81" s="1">
        <v>59.1</v>
      </c>
      <c r="H81" s="1">
        <v>8.6999999999999993</v>
      </c>
      <c r="I81" s="9" t="s">
        <v>39</v>
      </c>
      <c r="J81" s="1">
        <v>0</v>
      </c>
      <c r="K81" s="10">
        <v>12</v>
      </c>
      <c r="L81" s="3">
        <v>-0.02</v>
      </c>
      <c r="M81" s="11">
        <v>9.0836378181818195E-2</v>
      </c>
      <c r="N81">
        <v>34</v>
      </c>
      <c r="O81" s="11">
        <v>-2.000266730684962E-2</v>
      </c>
      <c r="P81" s="11">
        <v>0.1111111111111111</v>
      </c>
      <c r="Q81" s="11">
        <v>-2.1288615557276899E-2</v>
      </c>
      <c r="R81" s="11">
        <v>9.0826708644565379E-2</v>
      </c>
      <c r="S81" s="9" t="s">
        <v>40</v>
      </c>
      <c r="T81" s="9" t="s">
        <v>50</v>
      </c>
      <c r="U81" s="9" t="s">
        <v>33</v>
      </c>
      <c r="V81" s="9" t="s">
        <v>960</v>
      </c>
      <c r="W81" s="1">
        <v>5</v>
      </c>
      <c r="X81" s="1">
        <v>15</v>
      </c>
      <c r="Y81" s="3">
        <f t="shared" si="2"/>
        <v>0.33333333333333331</v>
      </c>
      <c r="Z81" s="11">
        <v>-5.990422978731539E-2</v>
      </c>
      <c r="AA81" s="11">
        <v>0.94395891674175314</v>
      </c>
      <c r="AB81" s="10">
        <v>3</v>
      </c>
      <c r="AC81" s="10">
        <v>3</v>
      </c>
      <c r="AD81" s="10">
        <v>3</v>
      </c>
      <c r="AE81" s="10">
        <v>3</v>
      </c>
      <c r="AF81" s="10">
        <v>0</v>
      </c>
      <c r="AG81" s="9" t="s">
        <v>41</v>
      </c>
      <c r="AH81" s="9" t="s">
        <v>263</v>
      </c>
    </row>
    <row r="82" spans="1:34" x14ac:dyDescent="0.25">
      <c r="A82" s="9" t="s">
        <v>532</v>
      </c>
      <c r="B82" s="1" t="s">
        <v>188</v>
      </c>
      <c r="C82" s="10">
        <v>3</v>
      </c>
      <c r="D82" s="10">
        <v>2007</v>
      </c>
      <c r="E82" s="9" t="s">
        <v>28</v>
      </c>
      <c r="F82" s="9" t="s">
        <v>29</v>
      </c>
      <c r="G82" s="1">
        <v>59.1</v>
      </c>
      <c r="H82" s="1">
        <v>8.6999999999999993</v>
      </c>
      <c r="I82" s="9" t="s">
        <v>43</v>
      </c>
      <c r="J82" s="1">
        <v>1</v>
      </c>
      <c r="K82" s="10">
        <v>23</v>
      </c>
      <c r="L82" s="3">
        <v>-0.01</v>
      </c>
      <c r="M82" s="11">
        <v>4.5445455000000003E-2</v>
      </c>
      <c r="N82">
        <v>34</v>
      </c>
      <c r="O82" s="11">
        <v>-1.000033335333477E-2</v>
      </c>
      <c r="P82" s="11">
        <v>0.05</v>
      </c>
      <c r="Q82" s="11">
        <v>-1.026649655540544E-2</v>
      </c>
      <c r="R82" s="11">
        <v>4.544496405483256E-2</v>
      </c>
      <c r="S82" s="9" t="s">
        <v>40</v>
      </c>
      <c r="T82" s="9" t="s">
        <v>50</v>
      </c>
      <c r="U82" s="9" t="s">
        <v>33</v>
      </c>
      <c r="V82" s="9" t="s">
        <v>960</v>
      </c>
      <c r="W82" s="1">
        <v>3.6</v>
      </c>
      <c r="X82" s="1">
        <v>15</v>
      </c>
      <c r="Y82" s="3">
        <f t="shared" si="2"/>
        <v>0.24000000000000002</v>
      </c>
      <c r="Z82" s="11">
        <v>-4.163262278750423E-2</v>
      </c>
      <c r="AA82" s="11">
        <v>0.90696898288644545</v>
      </c>
      <c r="AB82" s="10">
        <v>3</v>
      </c>
      <c r="AC82" s="10">
        <v>3</v>
      </c>
      <c r="AD82" s="10">
        <v>3</v>
      </c>
      <c r="AE82" s="10">
        <v>3</v>
      </c>
      <c r="AF82" s="10">
        <v>0</v>
      </c>
      <c r="AG82" s="9" t="s">
        <v>41</v>
      </c>
      <c r="AH82" s="9" t="s">
        <v>263</v>
      </c>
    </row>
    <row r="83" spans="1:34" x14ac:dyDescent="0.25">
      <c r="A83" s="9" t="s">
        <v>948</v>
      </c>
      <c r="B83" s="1" t="s">
        <v>189</v>
      </c>
      <c r="C83" s="10">
        <v>2</v>
      </c>
      <c r="D83" s="10">
        <v>2007</v>
      </c>
      <c r="E83" s="9" t="s">
        <v>38</v>
      </c>
      <c r="F83" s="9" t="s">
        <v>29</v>
      </c>
      <c r="G83" s="1">
        <v>40.1</v>
      </c>
      <c r="H83" s="1">
        <v>4.22</v>
      </c>
      <c r="I83" s="9" t="s">
        <v>30</v>
      </c>
      <c r="J83" s="1">
        <v>0.45</v>
      </c>
      <c r="K83" s="10">
        <v>44</v>
      </c>
      <c r="L83" s="3">
        <v>-0.111</v>
      </c>
      <c r="M83" s="11">
        <v>2.2686274582348839E-2</v>
      </c>
      <c r="N83" t="s">
        <v>63</v>
      </c>
      <c r="O83" s="11">
        <v>-0.1114592770628627</v>
      </c>
      <c r="P83" s="11">
        <v>2.4390243902439029E-2</v>
      </c>
      <c r="Q83" s="11">
        <v>-0.1123778544198813</v>
      </c>
      <c r="R83" s="11">
        <v>2.2672137716532891E-2</v>
      </c>
      <c r="S83" s="9" t="s">
        <v>40</v>
      </c>
      <c r="T83" s="9" t="s">
        <v>31</v>
      </c>
      <c r="U83" s="9" t="s">
        <v>33</v>
      </c>
      <c r="V83" s="9" t="s">
        <v>266</v>
      </c>
      <c r="W83" s="1" t="s">
        <v>31</v>
      </c>
      <c r="X83" s="1" t="s">
        <v>31</v>
      </c>
      <c r="Y83" s="3" t="s">
        <v>31</v>
      </c>
      <c r="Z83" s="11" t="s">
        <v>31</v>
      </c>
      <c r="AA83" s="11" t="s">
        <v>31</v>
      </c>
      <c r="AB83" s="10">
        <v>3</v>
      </c>
      <c r="AC83" s="10">
        <v>3</v>
      </c>
      <c r="AD83" s="10">
        <v>3</v>
      </c>
      <c r="AE83" s="10">
        <v>3</v>
      </c>
      <c r="AF83" s="10">
        <v>0</v>
      </c>
      <c r="AG83" s="9" t="s">
        <v>34</v>
      </c>
      <c r="AH83" s="9" t="s">
        <v>63</v>
      </c>
    </row>
    <row r="84" spans="1:34" x14ac:dyDescent="0.25">
      <c r="A84" s="9" t="s">
        <v>948</v>
      </c>
      <c r="B84" s="1" t="s">
        <v>191</v>
      </c>
      <c r="C84" s="10">
        <v>2</v>
      </c>
      <c r="D84" s="10">
        <v>2007</v>
      </c>
      <c r="E84" s="9" t="s">
        <v>38</v>
      </c>
      <c r="F84" s="9" t="s">
        <v>54</v>
      </c>
      <c r="G84" s="1">
        <v>10.47</v>
      </c>
      <c r="H84" s="1">
        <v>2.04</v>
      </c>
      <c r="I84" s="9" t="s">
        <v>30</v>
      </c>
      <c r="J84" s="1">
        <v>0.63</v>
      </c>
      <c r="K84" s="10">
        <v>24</v>
      </c>
      <c r="L84" s="3">
        <v>0.23400000000000001</v>
      </c>
      <c r="M84" s="11">
        <v>3.8847226936347817E-2</v>
      </c>
      <c r="N84" t="s">
        <v>63</v>
      </c>
      <c r="O84" s="11">
        <v>0.23841701736237089</v>
      </c>
      <c r="P84" s="11">
        <v>4.7619047619047623E-2</v>
      </c>
      <c r="Q84" s="11">
        <v>0.23955909157928179</v>
      </c>
      <c r="R84" s="11">
        <v>3.8631144778863542E-2</v>
      </c>
      <c r="S84" s="9" t="s">
        <v>40</v>
      </c>
      <c r="T84" s="9" t="s">
        <v>31</v>
      </c>
      <c r="U84" s="9" t="s">
        <v>33</v>
      </c>
      <c r="V84" s="9" t="s">
        <v>266</v>
      </c>
      <c r="W84" s="1" t="s">
        <v>31</v>
      </c>
      <c r="X84" s="1" t="s">
        <v>31</v>
      </c>
      <c r="Y84" s="3" t="s">
        <v>31</v>
      </c>
      <c r="Z84" s="11" t="s">
        <v>31</v>
      </c>
      <c r="AA84" s="11" t="s">
        <v>31</v>
      </c>
      <c r="AB84" s="10">
        <v>3</v>
      </c>
      <c r="AC84" s="10">
        <v>3</v>
      </c>
      <c r="AD84" s="10">
        <v>3</v>
      </c>
      <c r="AE84" s="10">
        <v>3</v>
      </c>
      <c r="AF84" s="10">
        <v>0</v>
      </c>
      <c r="AG84" s="9" t="s">
        <v>34</v>
      </c>
      <c r="AH84" s="9" t="s">
        <v>63</v>
      </c>
    </row>
    <row r="85" spans="1:34" x14ac:dyDescent="0.25">
      <c r="A85" s="9" t="s">
        <v>533</v>
      </c>
      <c r="B85" s="1" t="s">
        <v>192</v>
      </c>
      <c r="C85" s="10">
        <v>2</v>
      </c>
      <c r="D85" s="10">
        <v>2007</v>
      </c>
      <c r="E85" s="9" t="s">
        <v>38</v>
      </c>
      <c r="F85" s="9" t="s">
        <v>29</v>
      </c>
      <c r="G85" s="1">
        <v>28.48</v>
      </c>
      <c r="H85" s="1">
        <v>7.4</v>
      </c>
      <c r="I85" s="9" t="s">
        <v>30</v>
      </c>
      <c r="J85" s="1">
        <v>0.45</v>
      </c>
      <c r="K85" s="10">
        <v>62</v>
      </c>
      <c r="L85" s="3">
        <v>0.28399999999999997</v>
      </c>
      <c r="M85" s="11">
        <v>1.385562934977049E-2</v>
      </c>
      <c r="N85">
        <v>1459</v>
      </c>
      <c r="O85" s="11">
        <v>0.29202765864463048</v>
      </c>
      <c r="P85" s="11">
        <v>1.6949152542372881E-2</v>
      </c>
      <c r="Q85" s="11">
        <v>0.2862531344867304</v>
      </c>
      <c r="R85" s="11">
        <v>1.381692770556571E-2</v>
      </c>
      <c r="S85" s="9" t="s">
        <v>40</v>
      </c>
      <c r="T85" s="9" t="s">
        <v>50</v>
      </c>
      <c r="U85" s="9" t="s">
        <v>33</v>
      </c>
      <c r="V85" s="9" t="s">
        <v>911</v>
      </c>
      <c r="W85" s="1">
        <v>12.53</v>
      </c>
      <c r="X85" s="1">
        <v>15</v>
      </c>
      <c r="Y85" s="3">
        <f>W85/X85</f>
        <v>0.83533333333333326</v>
      </c>
      <c r="Z85" s="11">
        <v>0.33419687135120141</v>
      </c>
      <c r="AA85" s="11">
        <v>0.14074570186128471</v>
      </c>
      <c r="AB85" s="10">
        <v>4</v>
      </c>
      <c r="AC85" s="10">
        <v>4</v>
      </c>
      <c r="AD85" s="10">
        <v>4</v>
      </c>
      <c r="AE85" s="10">
        <v>4</v>
      </c>
      <c r="AF85" s="10">
        <v>0</v>
      </c>
      <c r="AG85" s="9" t="s">
        <v>41</v>
      </c>
      <c r="AH85" s="9" t="s">
        <v>35</v>
      </c>
    </row>
    <row r="86" spans="1:34" x14ac:dyDescent="0.25">
      <c r="A86" s="9" t="s">
        <v>534</v>
      </c>
      <c r="B86" s="1" t="s">
        <v>194</v>
      </c>
      <c r="C86" s="10">
        <v>2</v>
      </c>
      <c r="D86" s="10">
        <v>2007</v>
      </c>
      <c r="E86" s="9" t="s">
        <v>38</v>
      </c>
      <c r="F86" s="9" t="s">
        <v>29</v>
      </c>
      <c r="G86" s="1">
        <v>40.799999999999997</v>
      </c>
      <c r="H86" s="1">
        <v>9.4</v>
      </c>
      <c r="I86" s="9" t="s">
        <v>30</v>
      </c>
      <c r="J86" s="1">
        <v>0.9</v>
      </c>
      <c r="K86" s="10">
        <v>44</v>
      </c>
      <c r="L86" s="3">
        <v>0.376</v>
      </c>
      <c r="M86" s="11">
        <v>1.7145004031999998E-2</v>
      </c>
      <c r="N86" t="s">
        <v>63</v>
      </c>
      <c r="O86" s="11">
        <v>0.39539282506193058</v>
      </c>
      <c r="P86" s="11">
        <v>2.4390243902439029E-2</v>
      </c>
      <c r="Q86" s="11">
        <v>0.38002691869020838</v>
      </c>
      <c r="R86" s="11">
        <v>1.702363607206895E-2</v>
      </c>
      <c r="S86" s="9" t="s">
        <v>40</v>
      </c>
      <c r="T86" s="9" t="s">
        <v>46</v>
      </c>
      <c r="U86" s="9" t="s">
        <v>33</v>
      </c>
      <c r="V86" s="9" t="s">
        <v>247</v>
      </c>
      <c r="W86" s="1" t="s">
        <v>31</v>
      </c>
      <c r="X86" s="1" t="s">
        <v>31</v>
      </c>
      <c r="Y86" s="3" t="s">
        <v>31</v>
      </c>
      <c r="Z86" s="11" t="s">
        <v>31</v>
      </c>
      <c r="AA86" s="11" t="s">
        <v>31</v>
      </c>
      <c r="AB86" s="10">
        <v>4</v>
      </c>
      <c r="AC86" s="10">
        <v>4</v>
      </c>
      <c r="AD86" s="10">
        <v>4</v>
      </c>
      <c r="AE86" s="10">
        <v>4</v>
      </c>
      <c r="AF86" s="10">
        <v>0</v>
      </c>
      <c r="AG86" s="9" t="s">
        <v>34</v>
      </c>
      <c r="AH86" s="9" t="s">
        <v>63</v>
      </c>
    </row>
    <row r="87" spans="1:34" x14ac:dyDescent="0.25">
      <c r="A87" s="9" t="s">
        <v>534</v>
      </c>
      <c r="B87" s="1" t="s">
        <v>195</v>
      </c>
      <c r="C87" s="10">
        <v>2</v>
      </c>
      <c r="D87" s="10">
        <v>2007</v>
      </c>
      <c r="E87" s="9" t="s">
        <v>28</v>
      </c>
      <c r="F87" s="9" t="s">
        <v>29</v>
      </c>
      <c r="G87" s="1">
        <v>40.6</v>
      </c>
      <c r="H87" s="1">
        <v>10.4</v>
      </c>
      <c r="I87" s="9" t="s">
        <v>30</v>
      </c>
      <c r="J87" s="1">
        <v>0.9</v>
      </c>
      <c r="K87" s="10">
        <v>43</v>
      </c>
      <c r="L87" s="3">
        <v>0.32</v>
      </c>
      <c r="M87" s="11">
        <v>1.918299428571428E-2</v>
      </c>
      <c r="N87" t="s">
        <v>63</v>
      </c>
      <c r="O87" s="11">
        <v>0.33164710870513209</v>
      </c>
      <c r="P87" s="11">
        <v>2.5000000000000001E-2</v>
      </c>
      <c r="Q87" s="11">
        <v>0.32368291170394098</v>
      </c>
      <c r="R87" s="11">
        <v>1.9081800706968081E-2</v>
      </c>
      <c r="S87" s="9" t="s">
        <v>40</v>
      </c>
      <c r="T87" s="9" t="s">
        <v>46</v>
      </c>
      <c r="U87" s="9" t="s">
        <v>33</v>
      </c>
      <c r="V87" s="9" t="s">
        <v>247</v>
      </c>
      <c r="W87" s="1" t="s">
        <v>31</v>
      </c>
      <c r="X87" s="1" t="s">
        <v>31</v>
      </c>
      <c r="Y87" s="3" t="s">
        <v>31</v>
      </c>
      <c r="Z87" s="11" t="s">
        <v>31</v>
      </c>
      <c r="AA87" s="11" t="s">
        <v>31</v>
      </c>
      <c r="AB87" s="10">
        <v>4</v>
      </c>
      <c r="AC87" s="10">
        <v>4</v>
      </c>
      <c r="AD87" s="10">
        <v>4</v>
      </c>
      <c r="AE87" s="10">
        <v>4</v>
      </c>
      <c r="AF87" s="10">
        <v>0</v>
      </c>
      <c r="AG87" s="9" t="s">
        <v>34</v>
      </c>
      <c r="AH87" s="9" t="s">
        <v>63</v>
      </c>
    </row>
    <row r="88" spans="1:34" x14ac:dyDescent="0.25">
      <c r="A88" s="9" t="s">
        <v>535</v>
      </c>
      <c r="B88" s="1" t="s">
        <v>196</v>
      </c>
      <c r="C88" s="10">
        <v>3</v>
      </c>
      <c r="D88" s="10">
        <v>2007</v>
      </c>
      <c r="E88" s="9" t="s">
        <v>38</v>
      </c>
      <c r="F88" s="9" t="s">
        <v>29</v>
      </c>
      <c r="G88" s="1">
        <v>28.24</v>
      </c>
      <c r="H88" s="1">
        <v>7.35</v>
      </c>
      <c r="I88" s="9" t="s">
        <v>30</v>
      </c>
      <c r="J88" s="1">
        <v>0.46200000000000002</v>
      </c>
      <c r="K88" s="10">
        <v>63</v>
      </c>
      <c r="L88" s="3">
        <v>0.36</v>
      </c>
      <c r="M88" s="11">
        <v>1.221929290322581E-2</v>
      </c>
      <c r="N88">
        <v>2165</v>
      </c>
      <c r="O88" s="11">
        <v>0.37688590118818999</v>
      </c>
      <c r="P88" s="11">
        <v>1.666666666666667E-2</v>
      </c>
      <c r="Q88" s="11">
        <v>0.36265308439709931</v>
      </c>
      <c r="R88" s="11">
        <v>1.2165520489245371E-2</v>
      </c>
      <c r="S88" s="9" t="s">
        <v>40</v>
      </c>
      <c r="T88" s="9" t="s">
        <v>46</v>
      </c>
      <c r="U88" s="9" t="s">
        <v>33</v>
      </c>
      <c r="V88" s="9" t="s">
        <v>950</v>
      </c>
      <c r="W88" s="1">
        <v>12.76</v>
      </c>
      <c r="X88" s="1">
        <v>15</v>
      </c>
      <c r="Y88" s="3">
        <f>W88/X88</f>
        <v>0.85066666666666668</v>
      </c>
      <c r="Z88" s="11">
        <v>0.41309759570218663</v>
      </c>
      <c r="AA88" s="11">
        <v>0.13060621809804299</v>
      </c>
      <c r="AB88" s="10">
        <v>4</v>
      </c>
      <c r="AC88" s="10">
        <v>4</v>
      </c>
      <c r="AD88" s="10">
        <v>4</v>
      </c>
      <c r="AE88" s="10">
        <v>4</v>
      </c>
      <c r="AF88" s="10">
        <v>2</v>
      </c>
      <c r="AG88" s="9" t="s">
        <v>41</v>
      </c>
      <c r="AH88" s="9" t="s">
        <v>35</v>
      </c>
    </row>
    <row r="89" spans="1:34" x14ac:dyDescent="0.25">
      <c r="A89" s="9" t="s">
        <v>858</v>
      </c>
      <c r="B89" s="1" t="s">
        <v>197</v>
      </c>
      <c r="C89" s="10">
        <v>2</v>
      </c>
      <c r="D89" s="10">
        <v>2007</v>
      </c>
      <c r="E89" s="9" t="s">
        <v>38</v>
      </c>
      <c r="F89" s="9" t="s">
        <v>29</v>
      </c>
      <c r="G89" s="1">
        <v>34.32</v>
      </c>
      <c r="H89" s="1" t="s">
        <v>31</v>
      </c>
      <c r="I89" s="9" t="s">
        <v>39</v>
      </c>
      <c r="J89" s="1">
        <v>0</v>
      </c>
      <c r="K89" s="10">
        <v>22</v>
      </c>
      <c r="L89" s="3">
        <v>0.60199999999999998</v>
      </c>
      <c r="M89" s="11">
        <v>1.9358507581714288E-2</v>
      </c>
      <c r="N89" t="s">
        <v>63</v>
      </c>
      <c r="O89" s="11">
        <v>0.69627806117193336</v>
      </c>
      <c r="P89" s="11">
        <v>5.2631578947368418E-2</v>
      </c>
      <c r="Q89" s="11">
        <v>0.61230368469517438</v>
      </c>
      <c r="R89" s="11">
        <v>1.8606202582149751E-2</v>
      </c>
      <c r="S89" s="9" t="s">
        <v>40</v>
      </c>
      <c r="T89" s="9" t="s">
        <v>46</v>
      </c>
      <c r="U89" s="9" t="s">
        <v>33</v>
      </c>
      <c r="V89" s="9" t="s">
        <v>911</v>
      </c>
      <c r="W89" s="1" t="s">
        <v>31</v>
      </c>
      <c r="X89" s="1" t="s">
        <v>31</v>
      </c>
      <c r="Y89" s="3" t="s">
        <v>31</v>
      </c>
      <c r="Z89" s="11" t="s">
        <v>31</v>
      </c>
      <c r="AA89" s="11" t="s">
        <v>31</v>
      </c>
      <c r="AB89" s="10">
        <v>4</v>
      </c>
      <c r="AC89" s="10">
        <v>4</v>
      </c>
      <c r="AD89" s="10">
        <v>4</v>
      </c>
      <c r="AE89" s="10">
        <v>4</v>
      </c>
      <c r="AF89" s="10">
        <v>0</v>
      </c>
      <c r="AG89" s="9" t="s">
        <v>34</v>
      </c>
      <c r="AH89" s="9" t="s">
        <v>63</v>
      </c>
    </row>
    <row r="90" spans="1:34" x14ac:dyDescent="0.25">
      <c r="A90" s="9" t="s">
        <v>858</v>
      </c>
      <c r="B90" s="1" t="s">
        <v>199</v>
      </c>
      <c r="C90" s="10">
        <v>2</v>
      </c>
      <c r="D90" s="10">
        <v>2007</v>
      </c>
      <c r="E90" s="9" t="s">
        <v>38</v>
      </c>
      <c r="F90" s="9" t="s">
        <v>29</v>
      </c>
      <c r="G90" s="1">
        <v>37.770000000000003</v>
      </c>
      <c r="H90" s="1" t="s">
        <v>31</v>
      </c>
      <c r="I90" s="9" t="s">
        <v>43</v>
      </c>
      <c r="J90" s="1">
        <v>1</v>
      </c>
      <c r="K90" s="10">
        <v>35</v>
      </c>
      <c r="L90" s="3">
        <v>0.32700000000000001</v>
      </c>
      <c r="M90" s="11">
        <v>2.345811208944118E-2</v>
      </c>
      <c r="N90" t="s">
        <v>63</v>
      </c>
      <c r="O90" s="11">
        <v>0.33946535234373981</v>
      </c>
      <c r="P90" s="11">
        <v>3.125E-2</v>
      </c>
      <c r="Q90" s="11">
        <v>0.33170873419353608</v>
      </c>
      <c r="R90" s="11">
        <v>2.3295452435759818E-2</v>
      </c>
      <c r="S90" s="9" t="s">
        <v>40</v>
      </c>
      <c r="T90" s="9" t="s">
        <v>46</v>
      </c>
      <c r="U90" s="9" t="s">
        <v>33</v>
      </c>
      <c r="V90" s="9" t="s">
        <v>911</v>
      </c>
      <c r="W90" s="1" t="s">
        <v>31</v>
      </c>
      <c r="X90" s="1" t="s">
        <v>31</v>
      </c>
      <c r="Y90" s="3" t="s">
        <v>31</v>
      </c>
      <c r="Z90" s="11" t="s">
        <v>31</v>
      </c>
      <c r="AA90" s="11" t="s">
        <v>31</v>
      </c>
      <c r="AB90" s="10">
        <v>4</v>
      </c>
      <c r="AC90" s="10">
        <v>4</v>
      </c>
      <c r="AD90" s="10">
        <v>4</v>
      </c>
      <c r="AE90" s="10">
        <v>4</v>
      </c>
      <c r="AF90" s="10">
        <v>0</v>
      </c>
      <c r="AG90" s="9" t="s">
        <v>34</v>
      </c>
      <c r="AH90" s="9" t="s">
        <v>63</v>
      </c>
    </row>
    <row r="91" spans="1:34" x14ac:dyDescent="0.25">
      <c r="A91" s="9" t="s">
        <v>858</v>
      </c>
      <c r="B91" s="1" t="s">
        <v>200</v>
      </c>
      <c r="C91" s="10">
        <v>2</v>
      </c>
      <c r="D91" s="10">
        <v>2007</v>
      </c>
      <c r="E91" s="9" t="s">
        <v>28</v>
      </c>
      <c r="F91" s="9" t="s">
        <v>29</v>
      </c>
      <c r="G91" s="1">
        <v>40.96</v>
      </c>
      <c r="H91" s="1" t="s">
        <v>31</v>
      </c>
      <c r="I91" s="9" t="s">
        <v>39</v>
      </c>
      <c r="J91" s="1">
        <v>0</v>
      </c>
      <c r="K91" s="10">
        <v>69</v>
      </c>
      <c r="L91" s="3">
        <v>0.33600000000000002</v>
      </c>
      <c r="M91" s="11">
        <v>1.157284568847059E-2</v>
      </c>
      <c r="N91" t="s">
        <v>63</v>
      </c>
      <c r="O91" s="11">
        <v>0.34957660231007859</v>
      </c>
      <c r="P91" s="11">
        <v>1.515151515151515E-2</v>
      </c>
      <c r="Q91" s="11">
        <v>0.33829235176734102</v>
      </c>
      <c r="R91" s="11">
        <v>1.153255111270696E-2</v>
      </c>
      <c r="S91" s="9" t="s">
        <v>40</v>
      </c>
      <c r="T91" s="9" t="s">
        <v>46</v>
      </c>
      <c r="U91" s="9" t="s">
        <v>33</v>
      </c>
      <c r="V91" s="9" t="s">
        <v>911</v>
      </c>
      <c r="W91" s="1" t="s">
        <v>31</v>
      </c>
      <c r="X91" s="1" t="s">
        <v>31</v>
      </c>
      <c r="Y91" s="3" t="s">
        <v>31</v>
      </c>
      <c r="Z91" s="11" t="s">
        <v>31</v>
      </c>
      <c r="AA91" s="11" t="s">
        <v>31</v>
      </c>
      <c r="AB91" s="10">
        <v>4</v>
      </c>
      <c r="AC91" s="10">
        <v>4</v>
      </c>
      <c r="AD91" s="10">
        <v>4</v>
      </c>
      <c r="AE91" s="10">
        <v>4</v>
      </c>
      <c r="AF91" s="10">
        <v>0</v>
      </c>
      <c r="AG91" s="9" t="s">
        <v>34</v>
      </c>
      <c r="AH91" s="9" t="s">
        <v>63</v>
      </c>
    </row>
    <row r="92" spans="1:34" x14ac:dyDescent="0.25">
      <c r="A92" s="9" t="s">
        <v>858</v>
      </c>
      <c r="B92" s="1" t="s">
        <v>202</v>
      </c>
      <c r="C92" s="10">
        <v>2</v>
      </c>
      <c r="D92" s="10">
        <v>2007</v>
      </c>
      <c r="E92" s="9" t="s">
        <v>28</v>
      </c>
      <c r="F92" s="9" t="s">
        <v>29</v>
      </c>
      <c r="G92" s="1">
        <v>39.64</v>
      </c>
      <c r="H92" s="1" t="s">
        <v>31</v>
      </c>
      <c r="I92" s="9" t="s">
        <v>43</v>
      </c>
      <c r="J92" s="1">
        <v>1</v>
      </c>
      <c r="K92" s="10">
        <v>205</v>
      </c>
      <c r="L92" s="3">
        <v>0.27700000000000002</v>
      </c>
      <c r="M92" s="11">
        <v>4.1785751933382364E-3</v>
      </c>
      <c r="N92" t="s">
        <v>63</v>
      </c>
      <c r="O92" s="11">
        <v>0.2844298169368874</v>
      </c>
      <c r="P92" s="11">
        <v>4.9504950495049514E-3</v>
      </c>
      <c r="Q92" s="11">
        <v>0.27763642161255242</v>
      </c>
      <c r="R92" s="11">
        <v>4.175380719758817E-3</v>
      </c>
      <c r="S92" s="9" t="s">
        <v>40</v>
      </c>
      <c r="T92" s="9" t="s">
        <v>46</v>
      </c>
      <c r="U92" s="9" t="s">
        <v>33</v>
      </c>
      <c r="V92" s="9" t="s">
        <v>911</v>
      </c>
      <c r="W92" s="1" t="s">
        <v>31</v>
      </c>
      <c r="X92" s="1" t="s">
        <v>31</v>
      </c>
      <c r="Y92" s="3" t="s">
        <v>31</v>
      </c>
      <c r="Z92" s="11" t="s">
        <v>31</v>
      </c>
      <c r="AA92" s="11" t="s">
        <v>31</v>
      </c>
      <c r="AB92" s="10">
        <v>4</v>
      </c>
      <c r="AC92" s="10">
        <v>4</v>
      </c>
      <c r="AD92" s="10">
        <v>4</v>
      </c>
      <c r="AE92" s="10">
        <v>4</v>
      </c>
      <c r="AF92" s="10">
        <v>2</v>
      </c>
      <c r="AG92" s="9" t="s">
        <v>41</v>
      </c>
      <c r="AH92" s="9" t="s">
        <v>63</v>
      </c>
    </row>
    <row r="93" spans="1:34" x14ac:dyDescent="0.25">
      <c r="A93" s="9" t="s">
        <v>537</v>
      </c>
      <c r="B93" s="1" t="s">
        <v>205</v>
      </c>
      <c r="C93" s="10">
        <v>2</v>
      </c>
      <c r="D93" s="10">
        <v>2007</v>
      </c>
      <c r="E93" s="9" t="s">
        <v>38</v>
      </c>
      <c r="F93" s="9" t="s">
        <v>54</v>
      </c>
      <c r="G93" s="1">
        <v>13.1</v>
      </c>
      <c r="H93" s="1">
        <v>3.1</v>
      </c>
      <c r="I93" s="9" t="s">
        <v>43</v>
      </c>
      <c r="J93" s="1">
        <v>1</v>
      </c>
      <c r="K93" s="10">
        <v>22</v>
      </c>
      <c r="L93" s="3">
        <v>0.41</v>
      </c>
      <c r="M93" s="11">
        <v>3.2955124285714288E-2</v>
      </c>
      <c r="N93">
        <v>489</v>
      </c>
      <c r="O93" s="11">
        <v>0.43561122323622431</v>
      </c>
      <c r="P93" s="11">
        <v>5.2631578947368418E-2</v>
      </c>
      <c r="Q93" s="11">
        <v>0.41938476927712698</v>
      </c>
      <c r="R93" s="11">
        <v>3.234132695067795E-2</v>
      </c>
      <c r="S93" s="9" t="s">
        <v>40</v>
      </c>
      <c r="T93" s="9" t="s">
        <v>50</v>
      </c>
      <c r="U93" s="9" t="s">
        <v>33</v>
      </c>
      <c r="V93" s="9" t="s">
        <v>266</v>
      </c>
      <c r="W93" s="1">
        <v>11</v>
      </c>
      <c r="X93" s="1">
        <v>15</v>
      </c>
      <c r="Y93" s="3">
        <f>W93/X93</f>
        <v>0.73333333333333328</v>
      </c>
      <c r="Z93" s="11">
        <v>0.5226101316628321</v>
      </c>
      <c r="AA93" s="11">
        <v>0.22714611923038899</v>
      </c>
      <c r="AB93" s="10">
        <v>3</v>
      </c>
      <c r="AC93" s="10">
        <v>3</v>
      </c>
      <c r="AD93" s="10">
        <v>3</v>
      </c>
      <c r="AE93" s="10">
        <v>3</v>
      </c>
      <c r="AF93" s="10">
        <v>3</v>
      </c>
      <c r="AG93" s="9" t="s">
        <v>41</v>
      </c>
      <c r="AH93" s="9" t="s">
        <v>35</v>
      </c>
    </row>
    <row r="94" spans="1:34" x14ac:dyDescent="0.25">
      <c r="A94" s="9" t="s">
        <v>538</v>
      </c>
      <c r="B94" s="1" t="s">
        <v>206</v>
      </c>
      <c r="C94" s="10">
        <v>2</v>
      </c>
      <c r="D94" s="10">
        <v>2008</v>
      </c>
      <c r="E94" s="9" t="s">
        <v>38</v>
      </c>
      <c r="F94" s="9" t="s">
        <v>29</v>
      </c>
      <c r="G94" s="1">
        <v>31.5</v>
      </c>
      <c r="H94" s="1">
        <v>11.1</v>
      </c>
      <c r="I94" s="9" t="s">
        <v>30</v>
      </c>
      <c r="J94" s="1">
        <v>0.56000000000000005</v>
      </c>
      <c r="K94" s="10">
        <v>27</v>
      </c>
      <c r="L94" s="3">
        <v>-0.114</v>
      </c>
      <c r="M94" s="11">
        <v>3.7468342154461542E-2</v>
      </c>
      <c r="N94" t="s">
        <v>63</v>
      </c>
      <c r="O94" s="11">
        <v>-0.11449773494107431</v>
      </c>
      <c r="P94" s="11">
        <v>4.1666666666666657E-2</v>
      </c>
      <c r="Q94" s="11">
        <v>-0.11646860404903089</v>
      </c>
      <c r="R94" s="11">
        <v>3.7425159077810591E-2</v>
      </c>
      <c r="S94" s="9" t="s">
        <v>40</v>
      </c>
      <c r="T94" s="9" t="s">
        <v>50</v>
      </c>
      <c r="U94" s="9" t="s">
        <v>33</v>
      </c>
      <c r="V94" s="9" t="s">
        <v>911</v>
      </c>
      <c r="W94" s="1">
        <v>15</v>
      </c>
      <c r="X94" s="1">
        <v>15</v>
      </c>
      <c r="Y94" s="3">
        <f>W94/X94</f>
        <v>1</v>
      </c>
      <c r="Z94" s="11">
        <v>-0.114</v>
      </c>
      <c r="AA94" s="11">
        <v>0.19869614993753651</v>
      </c>
      <c r="AB94" s="10">
        <v>4</v>
      </c>
      <c r="AC94" s="10">
        <v>4</v>
      </c>
      <c r="AD94" s="10">
        <v>4</v>
      </c>
      <c r="AE94" s="10">
        <v>4</v>
      </c>
      <c r="AF94" s="10">
        <v>0</v>
      </c>
      <c r="AG94" s="9" t="s">
        <v>34</v>
      </c>
      <c r="AH94" s="9" t="s">
        <v>63</v>
      </c>
    </row>
    <row r="95" spans="1:34" x14ac:dyDescent="0.25">
      <c r="A95" s="9" t="s">
        <v>539</v>
      </c>
      <c r="B95" s="1" t="s">
        <v>208</v>
      </c>
      <c r="C95" s="10">
        <v>3</v>
      </c>
      <c r="D95" s="10">
        <v>2008</v>
      </c>
      <c r="E95" s="9" t="s">
        <v>38</v>
      </c>
      <c r="F95" s="9" t="s">
        <v>29</v>
      </c>
      <c r="G95" s="1">
        <v>21.6</v>
      </c>
      <c r="H95" s="1">
        <v>2.5</v>
      </c>
      <c r="I95" s="9" t="s">
        <v>30</v>
      </c>
      <c r="J95" s="1">
        <v>0.54300000000000004</v>
      </c>
      <c r="K95" s="10">
        <v>164</v>
      </c>
      <c r="L95" s="3">
        <v>0.35</v>
      </c>
      <c r="M95" s="11">
        <v>4.7239647239263813E-3</v>
      </c>
      <c r="N95">
        <v>10324</v>
      </c>
      <c r="O95" s="11">
        <v>0.36544375427139619</v>
      </c>
      <c r="P95" s="11">
        <v>6.2111801242236021E-3</v>
      </c>
      <c r="Q95" s="11">
        <v>0.3509595882628152</v>
      </c>
      <c r="R95" s="11">
        <v>4.7167253511216541E-3</v>
      </c>
      <c r="S95" s="9" t="s">
        <v>40</v>
      </c>
      <c r="T95" s="9" t="s">
        <v>31</v>
      </c>
      <c r="U95" s="9" t="s">
        <v>33</v>
      </c>
      <c r="V95" s="9" t="s">
        <v>911</v>
      </c>
      <c r="W95" s="1">
        <v>14</v>
      </c>
      <c r="X95" s="1">
        <v>15</v>
      </c>
      <c r="Y95" s="3">
        <f>W95/X95</f>
        <v>0.93333333333333335</v>
      </c>
      <c r="Z95" s="11">
        <v>0.37164707312358308</v>
      </c>
      <c r="AA95" s="11">
        <v>7.6758702715616245E-2</v>
      </c>
      <c r="AB95" s="10">
        <v>4</v>
      </c>
      <c r="AC95" s="10">
        <v>4</v>
      </c>
      <c r="AD95" s="10">
        <v>4</v>
      </c>
      <c r="AE95" s="10">
        <v>4</v>
      </c>
      <c r="AF95" s="10">
        <v>0</v>
      </c>
      <c r="AG95" s="9" t="s">
        <v>41</v>
      </c>
      <c r="AH95" s="9" t="s">
        <v>35</v>
      </c>
    </row>
    <row r="96" spans="1:34" x14ac:dyDescent="0.25">
      <c r="A96" s="9" t="s">
        <v>203</v>
      </c>
      <c r="B96" s="1" t="s">
        <v>209</v>
      </c>
      <c r="C96" s="10">
        <v>2</v>
      </c>
      <c r="D96" s="10">
        <v>2008</v>
      </c>
      <c r="E96" s="9" t="s">
        <v>38</v>
      </c>
      <c r="F96" s="9" t="s">
        <v>29</v>
      </c>
      <c r="G96" s="1">
        <v>51.11</v>
      </c>
      <c r="H96" s="1" t="s">
        <v>31</v>
      </c>
      <c r="I96" s="9" t="s">
        <v>30</v>
      </c>
      <c r="J96" s="1">
        <v>0.43</v>
      </c>
      <c r="K96" s="10">
        <v>55</v>
      </c>
      <c r="L96" s="3">
        <v>0.17899999999999999</v>
      </c>
      <c r="M96" s="11">
        <v>1.73508264015E-2</v>
      </c>
      <c r="N96" t="s">
        <v>63</v>
      </c>
      <c r="O96" s="11">
        <v>0.18094939554247139</v>
      </c>
      <c r="P96" s="11">
        <v>1.9230769230769228E-2</v>
      </c>
      <c r="Q96" s="11">
        <v>0.18070440906671509</v>
      </c>
      <c r="R96" s="11">
        <v>1.7328854115815921E-2</v>
      </c>
      <c r="S96" s="9" t="s">
        <v>40</v>
      </c>
      <c r="T96" s="9" t="s">
        <v>31</v>
      </c>
      <c r="U96" s="9" t="s">
        <v>51</v>
      </c>
      <c r="V96" s="9" t="s">
        <v>961</v>
      </c>
      <c r="W96" s="1">
        <v>15.46</v>
      </c>
      <c r="X96" s="1">
        <v>16</v>
      </c>
      <c r="Y96" s="3">
        <f>W96/X96</f>
        <v>0.96625000000000005</v>
      </c>
      <c r="Z96" s="11">
        <v>0.18504167666070401</v>
      </c>
      <c r="AA96" s="11">
        <v>0.139385992547048</v>
      </c>
      <c r="AB96" s="10">
        <v>4</v>
      </c>
      <c r="AC96" s="10">
        <v>2</v>
      </c>
      <c r="AD96" s="10">
        <v>2</v>
      </c>
      <c r="AE96" s="10">
        <v>2</v>
      </c>
      <c r="AF96" s="10">
        <v>0</v>
      </c>
      <c r="AG96" s="9" t="s">
        <v>41</v>
      </c>
      <c r="AH96" s="9" t="s">
        <v>63</v>
      </c>
    </row>
    <row r="97" spans="1:34" x14ac:dyDescent="0.25">
      <c r="A97" s="9" t="s">
        <v>203</v>
      </c>
      <c r="B97" s="1" t="s">
        <v>211</v>
      </c>
      <c r="C97" s="10">
        <v>2</v>
      </c>
      <c r="D97" s="10">
        <v>2008</v>
      </c>
      <c r="E97" s="9" t="s">
        <v>28</v>
      </c>
      <c r="F97" s="9" t="s">
        <v>29</v>
      </c>
      <c r="G97" s="1">
        <v>59.75</v>
      </c>
      <c r="H97" s="1" t="s">
        <v>31</v>
      </c>
      <c r="I97" s="9" t="s">
        <v>30</v>
      </c>
      <c r="J97" s="1">
        <v>0.25</v>
      </c>
      <c r="K97" s="10">
        <v>32</v>
      </c>
      <c r="L97" s="3">
        <v>-2.1999999999999999E-2</v>
      </c>
      <c r="M97" s="11">
        <v>3.2226846266322579E-2</v>
      </c>
      <c r="N97" t="s">
        <v>63</v>
      </c>
      <c r="O97" s="11">
        <v>-2.2003550364416199E-2</v>
      </c>
      <c r="P97" s="11">
        <v>3.4482758620689662E-2</v>
      </c>
      <c r="Q97" s="11">
        <v>-2.239609242942962E-2</v>
      </c>
      <c r="R97" s="11">
        <v>3.2225712312104943E-2</v>
      </c>
      <c r="S97" s="9" t="s">
        <v>40</v>
      </c>
      <c r="T97" s="9" t="s">
        <v>31</v>
      </c>
      <c r="U97" s="9" t="s">
        <v>51</v>
      </c>
      <c r="V97" s="9" t="s">
        <v>961</v>
      </c>
      <c r="W97" s="1" t="s">
        <v>31</v>
      </c>
      <c r="X97" s="1" t="s">
        <v>31</v>
      </c>
      <c r="Y97" s="3" t="s">
        <v>31</v>
      </c>
      <c r="Z97" s="11" t="s">
        <v>31</v>
      </c>
      <c r="AA97" s="11" t="s">
        <v>31</v>
      </c>
      <c r="AB97" s="10">
        <v>2</v>
      </c>
      <c r="AC97" s="10">
        <v>2</v>
      </c>
      <c r="AD97" s="10">
        <v>2</v>
      </c>
      <c r="AE97" s="10">
        <v>2</v>
      </c>
      <c r="AF97" s="10">
        <v>0</v>
      </c>
      <c r="AG97" s="9" t="s">
        <v>41</v>
      </c>
      <c r="AH97" s="9" t="s">
        <v>63</v>
      </c>
    </row>
    <row r="98" spans="1:34" x14ac:dyDescent="0.25">
      <c r="A98" s="9" t="s">
        <v>540</v>
      </c>
      <c r="B98" s="1" t="s">
        <v>212</v>
      </c>
      <c r="C98" s="10">
        <v>2</v>
      </c>
      <c r="D98" s="10">
        <v>2009</v>
      </c>
      <c r="E98" s="9" t="s">
        <v>38</v>
      </c>
      <c r="F98" s="9" t="s">
        <v>54</v>
      </c>
      <c r="G98" s="1">
        <v>9.25</v>
      </c>
      <c r="H98" s="1">
        <v>3.78</v>
      </c>
      <c r="I98" s="9" t="s">
        <v>30</v>
      </c>
      <c r="J98" s="1">
        <v>0.33</v>
      </c>
      <c r="K98" s="10">
        <v>12</v>
      </c>
      <c r="L98" s="3">
        <v>0.23</v>
      </c>
      <c r="M98" s="11">
        <v>8.154531000000001E-2</v>
      </c>
      <c r="N98">
        <v>278</v>
      </c>
      <c r="O98" s="11">
        <v>0.2341894667593668</v>
      </c>
      <c r="P98" s="11">
        <v>0.1111111111111111</v>
      </c>
      <c r="Q98" s="11">
        <v>0.24374492155875069</v>
      </c>
      <c r="R98" s="11">
        <v>8.042786937027542E-2</v>
      </c>
      <c r="S98" s="9" t="s">
        <v>40</v>
      </c>
      <c r="T98" s="9" t="s">
        <v>50</v>
      </c>
      <c r="U98" s="9" t="s">
        <v>33</v>
      </c>
      <c r="V98" s="9" t="s">
        <v>333</v>
      </c>
      <c r="W98" s="1">
        <v>19</v>
      </c>
      <c r="X98" s="1">
        <v>15</v>
      </c>
      <c r="Y98" s="3">
        <f>W98/X98</f>
        <v>1.2666666666666666</v>
      </c>
      <c r="Z98" s="11">
        <v>0.1834157997335136</v>
      </c>
      <c r="AA98" s="11">
        <v>0.25040864913848487</v>
      </c>
      <c r="AB98" s="10">
        <v>4</v>
      </c>
      <c r="AC98" s="10">
        <v>4</v>
      </c>
      <c r="AD98" s="10">
        <v>4</v>
      </c>
      <c r="AE98" s="10">
        <v>4</v>
      </c>
      <c r="AF98" s="10">
        <v>0</v>
      </c>
      <c r="AG98" s="9" t="s">
        <v>34</v>
      </c>
      <c r="AH98" s="9" t="s">
        <v>35</v>
      </c>
    </row>
    <row r="99" spans="1:34" x14ac:dyDescent="0.25">
      <c r="A99" s="9" t="s">
        <v>540</v>
      </c>
      <c r="B99" s="1" t="s">
        <v>213</v>
      </c>
      <c r="C99" s="10">
        <v>2</v>
      </c>
      <c r="D99" s="10">
        <v>2009</v>
      </c>
      <c r="E99" s="9" t="s">
        <v>38</v>
      </c>
      <c r="F99" s="9" t="s">
        <v>54</v>
      </c>
      <c r="G99" s="1">
        <v>12.08</v>
      </c>
      <c r="H99" s="1">
        <v>6.85</v>
      </c>
      <c r="I99" s="9" t="s">
        <v>31</v>
      </c>
      <c r="J99" s="1" t="s">
        <v>31</v>
      </c>
      <c r="K99" s="10">
        <v>11</v>
      </c>
      <c r="L99" s="3">
        <v>-0.11</v>
      </c>
      <c r="M99" s="11">
        <v>9.759464100000001E-2</v>
      </c>
      <c r="N99">
        <v>279</v>
      </c>
      <c r="O99" s="11">
        <v>-0.1104469157900972</v>
      </c>
      <c r="P99" s="11">
        <v>0.125</v>
      </c>
      <c r="Q99" s="11">
        <v>-0.1179748486698466</v>
      </c>
      <c r="R99" s="11">
        <v>9.723575826937339E-2</v>
      </c>
      <c r="S99" s="9" t="s">
        <v>40</v>
      </c>
      <c r="T99" s="9" t="s">
        <v>50</v>
      </c>
      <c r="U99" s="9" t="s">
        <v>51</v>
      </c>
      <c r="V99" s="9" t="s">
        <v>334</v>
      </c>
      <c r="W99" s="1" t="s">
        <v>31</v>
      </c>
      <c r="X99" s="1" t="s">
        <v>31</v>
      </c>
      <c r="Y99" s="3" t="s">
        <v>31</v>
      </c>
      <c r="Z99" s="11" t="s">
        <v>31</v>
      </c>
      <c r="AA99" s="11" t="s">
        <v>31</v>
      </c>
      <c r="AB99" s="10">
        <v>3</v>
      </c>
      <c r="AC99" s="10">
        <v>2</v>
      </c>
      <c r="AD99" s="10">
        <v>3</v>
      </c>
      <c r="AE99" s="10">
        <v>3</v>
      </c>
      <c r="AF99" s="10">
        <v>0</v>
      </c>
      <c r="AG99" s="9" t="s">
        <v>34</v>
      </c>
      <c r="AH99" s="9" t="s">
        <v>35</v>
      </c>
    </row>
    <row r="100" spans="1:34" x14ac:dyDescent="0.25">
      <c r="A100" s="9" t="s">
        <v>540</v>
      </c>
      <c r="B100" s="1" t="s">
        <v>215</v>
      </c>
      <c r="C100" s="10">
        <v>2</v>
      </c>
      <c r="D100" s="10">
        <v>2009</v>
      </c>
      <c r="E100" s="9" t="s">
        <v>28</v>
      </c>
      <c r="F100" s="9" t="s">
        <v>54</v>
      </c>
      <c r="G100" s="1">
        <v>16.53</v>
      </c>
      <c r="H100" s="1">
        <v>7.67</v>
      </c>
      <c r="I100" s="9" t="s">
        <v>30</v>
      </c>
      <c r="J100" s="1">
        <v>0.63</v>
      </c>
      <c r="K100" s="10">
        <v>16</v>
      </c>
      <c r="L100" s="3">
        <v>-0.3</v>
      </c>
      <c r="M100" s="11">
        <v>5.5206666666666668E-2</v>
      </c>
      <c r="N100">
        <v>278</v>
      </c>
      <c r="O100" s="11">
        <v>-0.30951960420311181</v>
      </c>
      <c r="P100" s="11">
        <v>7.6923076923076927E-2</v>
      </c>
      <c r="Q100" s="11">
        <v>-0.31137538122174901</v>
      </c>
      <c r="R100" s="11">
        <v>5.4366062922309902E-2</v>
      </c>
      <c r="S100" s="9" t="s">
        <v>40</v>
      </c>
      <c r="T100" s="9" t="s">
        <v>50</v>
      </c>
      <c r="U100" s="9" t="s">
        <v>33</v>
      </c>
      <c r="V100" s="9" t="s">
        <v>333</v>
      </c>
      <c r="W100" s="1">
        <v>25</v>
      </c>
      <c r="X100" s="1">
        <v>15</v>
      </c>
      <c r="Y100" s="3">
        <f>W100/X100</f>
        <v>1.6666666666666667</v>
      </c>
      <c r="Z100" s="11">
        <v>-0.1854192697718241</v>
      </c>
      <c r="AA100" s="11">
        <v>0.16720721469345221</v>
      </c>
      <c r="AB100" s="10">
        <v>4</v>
      </c>
      <c r="AC100" s="10">
        <v>4</v>
      </c>
      <c r="AD100" s="10">
        <v>4</v>
      </c>
      <c r="AE100" s="10">
        <v>4</v>
      </c>
      <c r="AF100" s="10">
        <v>0</v>
      </c>
      <c r="AG100" s="9" t="s">
        <v>34</v>
      </c>
      <c r="AH100" s="9" t="s">
        <v>35</v>
      </c>
    </row>
    <row r="101" spans="1:34" x14ac:dyDescent="0.25">
      <c r="A101" s="9" t="s">
        <v>541</v>
      </c>
      <c r="B101" s="1" t="s">
        <v>217</v>
      </c>
      <c r="C101" s="10">
        <v>2</v>
      </c>
      <c r="D101" s="10">
        <v>2009</v>
      </c>
      <c r="E101" s="9" t="s">
        <v>38</v>
      </c>
      <c r="F101" s="9" t="s">
        <v>54</v>
      </c>
      <c r="G101" s="1">
        <v>10.5</v>
      </c>
      <c r="H101" s="1">
        <v>1.27</v>
      </c>
      <c r="I101" s="9" t="s">
        <v>30</v>
      </c>
      <c r="J101" s="1">
        <v>0.53</v>
      </c>
      <c r="K101" s="10">
        <v>66</v>
      </c>
      <c r="L101" s="3">
        <v>0.25700000000000001</v>
      </c>
      <c r="M101" s="11">
        <v>1.3419453390784611E-2</v>
      </c>
      <c r="N101" t="s">
        <v>63</v>
      </c>
      <c r="O101" s="11">
        <v>0.26289358193624418</v>
      </c>
      <c r="P101" s="11">
        <v>1.5873015873015869E-2</v>
      </c>
      <c r="Q101" s="11">
        <v>0.25893863309950121</v>
      </c>
      <c r="R101" s="11">
        <v>1.33907256293022E-2</v>
      </c>
      <c r="S101" s="9" t="s">
        <v>40</v>
      </c>
      <c r="T101" s="9" t="s">
        <v>50</v>
      </c>
      <c r="U101" s="9" t="s">
        <v>33</v>
      </c>
      <c r="V101" s="9" t="s">
        <v>332</v>
      </c>
      <c r="W101" s="1">
        <v>10.6</v>
      </c>
      <c r="X101" s="1">
        <v>15</v>
      </c>
      <c r="Y101" s="3">
        <f>W101/X101</f>
        <v>0.70666666666666667</v>
      </c>
      <c r="Z101" s="11">
        <v>0.35220572380234871</v>
      </c>
      <c r="AA101" s="11">
        <v>0.15527127878135519</v>
      </c>
      <c r="AB101" s="10">
        <v>4</v>
      </c>
      <c r="AC101" s="10">
        <v>4</v>
      </c>
      <c r="AD101" s="10">
        <v>4</v>
      </c>
      <c r="AE101" s="10">
        <v>4</v>
      </c>
      <c r="AF101" s="10">
        <v>0</v>
      </c>
      <c r="AG101" s="9" t="s">
        <v>34</v>
      </c>
      <c r="AH101" s="9" t="s">
        <v>63</v>
      </c>
    </row>
    <row r="102" spans="1:34" x14ac:dyDescent="0.25">
      <c r="A102" s="9" t="s">
        <v>541</v>
      </c>
      <c r="B102" s="1" t="s">
        <v>219</v>
      </c>
      <c r="C102" s="10">
        <v>2</v>
      </c>
      <c r="D102" s="10">
        <v>2009</v>
      </c>
      <c r="E102" s="9" t="s">
        <v>28</v>
      </c>
      <c r="F102" s="9" t="s">
        <v>54</v>
      </c>
      <c r="G102" s="1">
        <v>10.4</v>
      </c>
      <c r="H102" s="1">
        <v>1.24</v>
      </c>
      <c r="I102" s="9" t="s">
        <v>30</v>
      </c>
      <c r="J102" s="1">
        <v>0.56999999999999995</v>
      </c>
      <c r="K102" s="10">
        <v>47</v>
      </c>
      <c r="L102" s="3">
        <v>0.26400000000000001</v>
      </c>
      <c r="M102" s="11">
        <v>1.8814468096E-2</v>
      </c>
      <c r="N102" t="s">
        <v>63</v>
      </c>
      <c r="O102" s="11">
        <v>0.27040322798896332</v>
      </c>
      <c r="P102" s="11">
        <v>2.2727272727272731E-2</v>
      </c>
      <c r="Q102" s="11">
        <v>0.26686129899624111</v>
      </c>
      <c r="R102" s="11">
        <v>1.875307964593274E-2</v>
      </c>
      <c r="S102" s="9" t="s">
        <v>40</v>
      </c>
      <c r="T102" s="9" t="s">
        <v>50</v>
      </c>
      <c r="U102" s="9" t="s">
        <v>33</v>
      </c>
      <c r="V102" s="9" t="s">
        <v>332</v>
      </c>
      <c r="W102" s="1">
        <v>15.1</v>
      </c>
      <c r="X102" s="1">
        <v>15</v>
      </c>
      <c r="Y102" s="3">
        <f>W102/X102</f>
        <v>1.0066666666666666</v>
      </c>
      <c r="Z102" s="11">
        <v>0.26237238376918193</v>
      </c>
      <c r="AA102" s="11">
        <v>0.14302769718003619</v>
      </c>
      <c r="AB102" s="10">
        <v>4</v>
      </c>
      <c r="AC102" s="10">
        <v>4</v>
      </c>
      <c r="AD102" s="10">
        <v>4</v>
      </c>
      <c r="AE102" s="10">
        <v>4</v>
      </c>
      <c r="AF102" s="10">
        <v>0</v>
      </c>
      <c r="AG102" s="9" t="s">
        <v>34</v>
      </c>
      <c r="AH102" s="9" t="s">
        <v>63</v>
      </c>
    </row>
    <row r="103" spans="1:34" x14ac:dyDescent="0.25">
      <c r="A103" s="9" t="s">
        <v>542</v>
      </c>
      <c r="B103" s="1" t="s">
        <v>220</v>
      </c>
      <c r="C103" s="10">
        <v>2</v>
      </c>
      <c r="D103" s="10">
        <v>2009</v>
      </c>
      <c r="E103" s="9" t="s">
        <v>38</v>
      </c>
      <c r="F103" s="9" t="s">
        <v>29</v>
      </c>
      <c r="G103" s="1">
        <v>78.400000000000006</v>
      </c>
      <c r="H103" s="1">
        <v>1.5</v>
      </c>
      <c r="I103" s="9" t="s">
        <v>30</v>
      </c>
      <c r="J103" s="1">
        <v>0.28999999999999998</v>
      </c>
      <c r="K103" s="10">
        <v>99</v>
      </c>
      <c r="L103" s="3">
        <v>0.21</v>
      </c>
      <c r="M103" s="11">
        <v>9.3239266326530616E-3</v>
      </c>
      <c r="N103">
        <v>5</v>
      </c>
      <c r="O103" s="11">
        <v>0.21317134656485981</v>
      </c>
      <c r="P103" s="11">
        <v>1.041666666666667E-2</v>
      </c>
      <c r="Q103" s="11">
        <v>0.21105815774042161</v>
      </c>
      <c r="R103" s="11">
        <v>9.3152368751664646E-3</v>
      </c>
      <c r="S103" s="9" t="s">
        <v>40</v>
      </c>
      <c r="T103" s="9" t="s">
        <v>50</v>
      </c>
      <c r="U103" s="9" t="s">
        <v>33</v>
      </c>
      <c r="V103" s="9" t="s">
        <v>962</v>
      </c>
      <c r="W103" s="1" t="s">
        <v>31</v>
      </c>
      <c r="X103" s="1" t="s">
        <v>31</v>
      </c>
      <c r="Y103" s="3" t="s">
        <v>31</v>
      </c>
      <c r="Z103" s="11" t="s">
        <v>31</v>
      </c>
      <c r="AA103" s="11" t="s">
        <v>31</v>
      </c>
      <c r="AB103" s="10">
        <v>3</v>
      </c>
      <c r="AC103" s="10">
        <v>3</v>
      </c>
      <c r="AD103" s="10">
        <v>3</v>
      </c>
      <c r="AE103" s="10">
        <v>3</v>
      </c>
      <c r="AF103" s="10">
        <v>1</v>
      </c>
      <c r="AG103" s="9" t="s">
        <v>41</v>
      </c>
      <c r="AH103" s="9" t="s">
        <v>35</v>
      </c>
    </row>
    <row r="104" spans="1:34" x14ac:dyDescent="0.25">
      <c r="A104" s="9" t="s">
        <v>543</v>
      </c>
      <c r="B104" s="1" t="s">
        <v>222</v>
      </c>
      <c r="C104" s="10">
        <v>2</v>
      </c>
      <c r="D104" s="10">
        <v>2009</v>
      </c>
      <c r="E104" s="9" t="s">
        <v>38</v>
      </c>
      <c r="F104" s="9" t="s">
        <v>54</v>
      </c>
      <c r="G104" s="1">
        <v>9.1</v>
      </c>
      <c r="H104" s="1">
        <v>0.1</v>
      </c>
      <c r="I104" s="9" t="s">
        <v>30</v>
      </c>
      <c r="J104" s="1">
        <v>0.5</v>
      </c>
      <c r="K104" s="10">
        <v>209</v>
      </c>
      <c r="L104" s="3">
        <v>0.2</v>
      </c>
      <c r="M104" s="11">
        <v>4.4307692307692303E-3</v>
      </c>
      <c r="N104">
        <v>186</v>
      </c>
      <c r="O104" s="11">
        <v>0.20273255405408211</v>
      </c>
      <c r="P104" s="11">
        <v>4.8543689320388354E-3</v>
      </c>
      <c r="Q104" s="11">
        <v>0.2004686545922065</v>
      </c>
      <c r="R104" s="11">
        <v>4.4290369557415266E-3</v>
      </c>
      <c r="S104" s="9" t="s">
        <v>40</v>
      </c>
      <c r="T104" s="9" t="s">
        <v>50</v>
      </c>
      <c r="U104" s="9" t="s">
        <v>51</v>
      </c>
      <c r="V104" s="9" t="s">
        <v>115</v>
      </c>
      <c r="W104" s="1" t="s">
        <v>31</v>
      </c>
      <c r="X104" s="1" t="s">
        <v>31</v>
      </c>
      <c r="Y104" s="3" t="s">
        <v>31</v>
      </c>
      <c r="Z104" s="11" t="s">
        <v>31</v>
      </c>
      <c r="AA104" s="11" t="s">
        <v>31</v>
      </c>
      <c r="AB104" s="10">
        <v>2</v>
      </c>
      <c r="AC104" s="10">
        <v>2</v>
      </c>
      <c r="AD104" s="10">
        <v>2</v>
      </c>
      <c r="AE104" s="10">
        <v>2</v>
      </c>
      <c r="AF104" s="10">
        <v>1</v>
      </c>
      <c r="AG104" s="9" t="s">
        <v>41</v>
      </c>
      <c r="AH104" s="9" t="s">
        <v>35</v>
      </c>
    </row>
    <row r="105" spans="1:34" x14ac:dyDescent="0.25">
      <c r="A105" s="9" t="s">
        <v>544</v>
      </c>
      <c r="B105" s="1" t="s">
        <v>223</v>
      </c>
      <c r="C105" s="10">
        <v>2</v>
      </c>
      <c r="D105" s="10">
        <v>2009</v>
      </c>
      <c r="E105" s="9" t="s">
        <v>28</v>
      </c>
      <c r="F105" s="9" t="s">
        <v>29</v>
      </c>
      <c r="G105" s="1">
        <v>32</v>
      </c>
      <c r="H105" s="1">
        <v>7</v>
      </c>
      <c r="I105" s="9" t="s">
        <v>39</v>
      </c>
      <c r="J105" s="1">
        <v>0</v>
      </c>
      <c r="K105" s="10">
        <v>10</v>
      </c>
      <c r="L105" s="3">
        <v>1.7000000000000001E-2</v>
      </c>
      <c r="M105" s="11">
        <v>0.111046898169</v>
      </c>
      <c r="N105" t="s">
        <v>63</v>
      </c>
      <c r="O105" s="11">
        <v>1.7001637950696671E-2</v>
      </c>
      <c r="P105" s="11">
        <v>0.1428571428571429</v>
      </c>
      <c r="Q105" s="11">
        <v>1.8471796364890339E-2</v>
      </c>
      <c r="R105" s="11">
        <v>0.111035300211167</v>
      </c>
      <c r="S105" s="9" t="s">
        <v>40</v>
      </c>
      <c r="T105" s="9" t="s">
        <v>31</v>
      </c>
      <c r="U105" s="9" t="s">
        <v>33</v>
      </c>
      <c r="V105" s="9" t="s">
        <v>963</v>
      </c>
      <c r="W105" s="1" t="s">
        <v>31</v>
      </c>
      <c r="X105" s="1" t="s">
        <v>31</v>
      </c>
      <c r="Y105" s="3" t="s">
        <v>31</v>
      </c>
      <c r="Z105" s="11" t="s">
        <v>31</v>
      </c>
      <c r="AA105" s="11" t="s">
        <v>31</v>
      </c>
      <c r="AB105" s="10">
        <v>4</v>
      </c>
      <c r="AC105" s="10">
        <v>4</v>
      </c>
      <c r="AD105" s="10">
        <v>4</v>
      </c>
      <c r="AE105" s="10">
        <v>4</v>
      </c>
      <c r="AF105" s="10">
        <v>0</v>
      </c>
      <c r="AG105" s="9" t="s">
        <v>34</v>
      </c>
      <c r="AH105" s="9" t="s">
        <v>63</v>
      </c>
    </row>
    <row r="106" spans="1:34" x14ac:dyDescent="0.25">
      <c r="A106" s="9" t="s">
        <v>544</v>
      </c>
      <c r="B106" s="1" t="s">
        <v>224</v>
      </c>
      <c r="C106" s="10">
        <v>2</v>
      </c>
      <c r="D106" s="10">
        <v>2009</v>
      </c>
      <c r="E106" s="9" t="s">
        <v>38</v>
      </c>
      <c r="F106" s="9" t="s">
        <v>29</v>
      </c>
      <c r="G106" s="1">
        <v>33</v>
      </c>
      <c r="H106" s="1">
        <v>7</v>
      </c>
      <c r="I106" s="9" t="s">
        <v>39</v>
      </c>
      <c r="J106" s="1">
        <v>0</v>
      </c>
      <c r="K106" s="10">
        <v>25</v>
      </c>
      <c r="L106" s="3">
        <v>0.14899999999999999</v>
      </c>
      <c r="M106" s="11">
        <v>3.9837120183374999E-2</v>
      </c>
      <c r="N106" t="s">
        <v>63</v>
      </c>
      <c r="O106" s="11">
        <v>0.15011757463769079</v>
      </c>
      <c r="P106" s="11">
        <v>4.5454545454545463E-2</v>
      </c>
      <c r="Q106" s="11">
        <v>0.1524999328029909</v>
      </c>
      <c r="R106" s="11">
        <v>3.9751183050039669E-2</v>
      </c>
      <c r="S106" s="9" t="s">
        <v>40</v>
      </c>
      <c r="T106" s="9" t="s">
        <v>31</v>
      </c>
      <c r="U106" s="9" t="s">
        <v>33</v>
      </c>
      <c r="V106" s="9" t="s">
        <v>963</v>
      </c>
      <c r="W106" s="1" t="s">
        <v>31</v>
      </c>
      <c r="X106" s="1" t="s">
        <v>31</v>
      </c>
      <c r="Y106" s="3" t="s">
        <v>31</v>
      </c>
      <c r="Z106" s="11" t="s">
        <v>31</v>
      </c>
      <c r="AA106" s="11" t="s">
        <v>31</v>
      </c>
      <c r="AB106" s="10">
        <v>4</v>
      </c>
      <c r="AC106" s="10">
        <v>4</v>
      </c>
      <c r="AD106" s="10">
        <v>4</v>
      </c>
      <c r="AE106" s="10">
        <v>4</v>
      </c>
      <c r="AF106" s="10">
        <v>0</v>
      </c>
      <c r="AG106" s="9" t="s">
        <v>34</v>
      </c>
      <c r="AH106" s="9" t="s">
        <v>63</v>
      </c>
    </row>
    <row r="107" spans="1:34" x14ac:dyDescent="0.25">
      <c r="A107" s="9" t="s">
        <v>544</v>
      </c>
      <c r="B107" s="1" t="s">
        <v>226</v>
      </c>
      <c r="C107" s="10">
        <v>2</v>
      </c>
      <c r="D107" s="10">
        <v>2009</v>
      </c>
      <c r="E107" s="9" t="s">
        <v>28</v>
      </c>
      <c r="F107" s="9" t="s">
        <v>29</v>
      </c>
      <c r="G107" s="1">
        <v>32</v>
      </c>
      <c r="H107" s="1">
        <v>5</v>
      </c>
      <c r="I107" s="9" t="s">
        <v>39</v>
      </c>
      <c r="J107" s="1">
        <v>0</v>
      </c>
      <c r="K107" s="10">
        <v>13</v>
      </c>
      <c r="L107" s="3">
        <v>0.26900000000000002</v>
      </c>
      <c r="M107" s="11">
        <v>7.1709509526749995E-2</v>
      </c>
      <c r="N107" t="s">
        <v>63</v>
      </c>
      <c r="O107" s="11">
        <v>0.27578550398230461</v>
      </c>
      <c r="P107" s="11">
        <v>0.1</v>
      </c>
      <c r="Q107" s="11">
        <v>0.28290969652089382</v>
      </c>
      <c r="R107" s="11">
        <v>7.0527522673894547E-2</v>
      </c>
      <c r="S107" s="9" t="s">
        <v>40</v>
      </c>
      <c r="T107" s="9" t="s">
        <v>31</v>
      </c>
      <c r="U107" s="9" t="s">
        <v>33</v>
      </c>
      <c r="V107" s="9" t="s">
        <v>963</v>
      </c>
      <c r="W107" s="1" t="s">
        <v>31</v>
      </c>
      <c r="X107" s="1" t="s">
        <v>31</v>
      </c>
      <c r="Y107" s="3" t="s">
        <v>31</v>
      </c>
      <c r="Z107" s="11" t="s">
        <v>31</v>
      </c>
      <c r="AA107" s="11" t="s">
        <v>31</v>
      </c>
      <c r="AB107" s="10">
        <v>4</v>
      </c>
      <c r="AC107" s="10">
        <v>4</v>
      </c>
      <c r="AD107" s="10">
        <v>4</v>
      </c>
      <c r="AE107" s="10">
        <v>4</v>
      </c>
      <c r="AF107" s="10">
        <v>0</v>
      </c>
      <c r="AG107" s="9" t="s">
        <v>34</v>
      </c>
      <c r="AH107" s="9" t="s">
        <v>63</v>
      </c>
    </row>
    <row r="108" spans="1:34" x14ac:dyDescent="0.25">
      <c r="A108" s="9" t="s">
        <v>949</v>
      </c>
      <c r="B108" s="1" t="s">
        <v>227</v>
      </c>
      <c r="C108" s="10">
        <v>2</v>
      </c>
      <c r="D108" s="10">
        <v>2009</v>
      </c>
      <c r="E108" s="9" t="s">
        <v>28</v>
      </c>
      <c r="F108" s="9" t="s">
        <v>54</v>
      </c>
      <c r="G108" s="1">
        <v>3.72</v>
      </c>
      <c r="H108" s="1">
        <v>0.94</v>
      </c>
      <c r="I108" s="9" t="s">
        <v>30</v>
      </c>
      <c r="J108" s="1">
        <v>0.91</v>
      </c>
      <c r="K108" s="10">
        <v>21</v>
      </c>
      <c r="L108" s="3">
        <v>0.06</v>
      </c>
      <c r="M108" s="11">
        <v>4.9640648000000002E-2</v>
      </c>
      <c r="N108">
        <v>728</v>
      </c>
      <c r="O108" s="11">
        <v>6.0072155921031697E-2</v>
      </c>
      <c r="P108" s="11">
        <v>5.5555555555555552E-2</v>
      </c>
      <c r="Q108" s="11">
        <v>6.1782459808259527E-2</v>
      </c>
      <c r="R108" s="11">
        <v>4.9619021268066513E-2</v>
      </c>
      <c r="S108" s="9" t="s">
        <v>40</v>
      </c>
      <c r="T108" s="9" t="s">
        <v>50</v>
      </c>
      <c r="U108" s="9" t="s">
        <v>33</v>
      </c>
      <c r="V108" s="9" t="s">
        <v>77</v>
      </c>
      <c r="W108" s="1" t="s">
        <v>31</v>
      </c>
      <c r="X108" s="1" t="s">
        <v>31</v>
      </c>
      <c r="Y108" s="3" t="s">
        <v>31</v>
      </c>
      <c r="Z108" s="11" t="s">
        <v>31</v>
      </c>
      <c r="AA108" s="11" t="s">
        <v>31</v>
      </c>
      <c r="AB108" s="10" t="s">
        <v>31</v>
      </c>
      <c r="AC108" s="10" t="s">
        <v>31</v>
      </c>
      <c r="AD108" s="10" t="s">
        <v>31</v>
      </c>
      <c r="AE108" s="10" t="s">
        <v>31</v>
      </c>
      <c r="AF108" s="10">
        <v>1</v>
      </c>
      <c r="AG108" s="9" t="s">
        <v>41</v>
      </c>
      <c r="AH108" s="9" t="s">
        <v>35</v>
      </c>
    </row>
    <row r="109" spans="1:34" x14ac:dyDescent="0.25">
      <c r="A109" s="9" t="s">
        <v>949</v>
      </c>
      <c r="B109" s="1" t="s">
        <v>229</v>
      </c>
      <c r="C109" s="10">
        <v>2</v>
      </c>
      <c r="D109" s="10">
        <v>2009</v>
      </c>
      <c r="E109" s="9" t="s">
        <v>28</v>
      </c>
      <c r="F109" s="9" t="s">
        <v>54</v>
      </c>
      <c r="G109" s="1">
        <v>3.44</v>
      </c>
      <c r="H109" s="1">
        <v>1</v>
      </c>
      <c r="I109" s="9" t="s">
        <v>30</v>
      </c>
      <c r="J109" s="1">
        <v>0.92</v>
      </c>
      <c r="K109" s="10">
        <v>10</v>
      </c>
      <c r="L109" s="3">
        <v>0.73</v>
      </c>
      <c r="M109" s="11">
        <v>2.4242490000000009E-2</v>
      </c>
      <c r="N109">
        <v>728</v>
      </c>
      <c r="O109" s="11">
        <v>0.92872736424672486</v>
      </c>
      <c r="P109" s="11">
        <v>0.1428571428571429</v>
      </c>
      <c r="Q109" s="11">
        <v>0.75401272511622819</v>
      </c>
      <c r="R109" s="11">
        <v>2.068465362015626E-2</v>
      </c>
      <c r="S109" s="9" t="s">
        <v>40</v>
      </c>
      <c r="T109" s="9" t="s">
        <v>50</v>
      </c>
      <c r="U109" s="9" t="s">
        <v>33</v>
      </c>
      <c r="V109" s="9" t="s">
        <v>77</v>
      </c>
      <c r="W109" s="1" t="s">
        <v>31</v>
      </c>
      <c r="X109" s="1" t="s">
        <v>31</v>
      </c>
      <c r="Y109" s="3" t="s">
        <v>31</v>
      </c>
      <c r="Z109" s="11" t="s">
        <v>31</v>
      </c>
      <c r="AA109" s="11" t="s">
        <v>31</v>
      </c>
      <c r="AB109" s="10" t="s">
        <v>31</v>
      </c>
      <c r="AC109" s="10" t="s">
        <v>31</v>
      </c>
      <c r="AD109" s="10" t="s">
        <v>31</v>
      </c>
      <c r="AE109" s="10" t="s">
        <v>31</v>
      </c>
      <c r="AF109" s="10">
        <v>1</v>
      </c>
      <c r="AG109" s="9" t="s">
        <v>41</v>
      </c>
      <c r="AH109" s="9" t="s">
        <v>35</v>
      </c>
    </row>
    <row r="110" spans="1:34" x14ac:dyDescent="0.25">
      <c r="A110" s="9" t="s">
        <v>545</v>
      </c>
      <c r="B110" s="1" t="s">
        <v>230</v>
      </c>
      <c r="C110" s="10">
        <v>2</v>
      </c>
      <c r="D110" s="10">
        <v>2010</v>
      </c>
      <c r="E110" s="9" t="s">
        <v>38</v>
      </c>
      <c r="F110" s="9" t="s">
        <v>29</v>
      </c>
      <c r="G110" s="1">
        <v>33.340000000000003</v>
      </c>
      <c r="H110" s="1">
        <v>12.6</v>
      </c>
      <c r="I110" s="9" t="s">
        <v>30</v>
      </c>
      <c r="J110" s="1">
        <v>0.42</v>
      </c>
      <c r="K110" s="10">
        <v>67</v>
      </c>
      <c r="L110" s="3">
        <v>0.309</v>
      </c>
      <c r="M110" s="11">
        <v>1.239628214183333E-2</v>
      </c>
      <c r="N110" t="s">
        <v>63</v>
      </c>
      <c r="O110" s="11">
        <v>0.31943947107111492</v>
      </c>
      <c r="P110" s="11">
        <v>1.5625E-2</v>
      </c>
      <c r="Q110" s="11">
        <v>0.31121915621417512</v>
      </c>
      <c r="R110" s="11">
        <v>1.235858518811662E-2</v>
      </c>
      <c r="S110" s="9" t="s">
        <v>40</v>
      </c>
      <c r="T110" s="9" t="s">
        <v>31</v>
      </c>
      <c r="U110" s="9" t="s">
        <v>33</v>
      </c>
      <c r="V110" s="9" t="s">
        <v>151</v>
      </c>
      <c r="W110" s="1">
        <v>13.39</v>
      </c>
      <c r="X110" s="1">
        <v>15</v>
      </c>
      <c r="Y110" s="3">
        <f>W110/X110</f>
        <v>0.89266666666666672</v>
      </c>
      <c r="Z110" s="11">
        <v>0.34201628126269967</v>
      </c>
      <c r="AA110" s="11">
        <v>0.1274663964086358</v>
      </c>
      <c r="AB110" s="10">
        <v>4</v>
      </c>
      <c r="AC110" s="10">
        <v>4</v>
      </c>
      <c r="AD110" s="10">
        <v>4</v>
      </c>
      <c r="AE110" s="10">
        <v>4</v>
      </c>
      <c r="AF110" s="10">
        <v>0</v>
      </c>
      <c r="AG110" s="9" t="s">
        <v>34</v>
      </c>
      <c r="AH110" s="9" t="s">
        <v>63</v>
      </c>
    </row>
    <row r="111" spans="1:34" x14ac:dyDescent="0.25">
      <c r="A111" s="9" t="s">
        <v>545</v>
      </c>
      <c r="B111" s="1" t="s">
        <v>233</v>
      </c>
      <c r="C111" s="10">
        <v>2</v>
      </c>
      <c r="D111" s="10">
        <v>2010</v>
      </c>
      <c r="E111" s="9" t="s">
        <v>28</v>
      </c>
      <c r="F111" s="9" t="s">
        <v>29</v>
      </c>
      <c r="G111" s="1">
        <v>36.090000000000003</v>
      </c>
      <c r="H111" s="1" t="s">
        <v>31</v>
      </c>
      <c r="I111" s="9" t="s">
        <v>30</v>
      </c>
      <c r="J111" s="1">
        <v>0.35</v>
      </c>
      <c r="K111" s="10">
        <v>77</v>
      </c>
      <c r="L111" s="3">
        <v>0.20599999999999999</v>
      </c>
      <c r="M111" s="11">
        <v>1.206485281705263E-2</v>
      </c>
      <c r="N111" t="s">
        <v>63</v>
      </c>
      <c r="O111" s="11">
        <v>0.20899045801999749</v>
      </c>
      <c r="P111" s="11">
        <v>1.3513513513513511E-2</v>
      </c>
      <c r="Q111" s="11">
        <v>0.20735385795641101</v>
      </c>
      <c r="R111" s="11">
        <v>1.205075498325734E-2</v>
      </c>
      <c r="S111" s="9" t="s">
        <v>40</v>
      </c>
      <c r="T111" s="9" t="s">
        <v>31</v>
      </c>
      <c r="U111" s="9" t="s">
        <v>33</v>
      </c>
      <c r="V111" s="9" t="s">
        <v>151</v>
      </c>
      <c r="W111" s="1" t="s">
        <v>31</v>
      </c>
      <c r="X111" s="1" t="s">
        <v>31</v>
      </c>
      <c r="Y111" s="3" t="s">
        <v>31</v>
      </c>
      <c r="Z111" s="11" t="s">
        <v>31</v>
      </c>
      <c r="AA111" s="11" t="s">
        <v>31</v>
      </c>
      <c r="AB111" s="10">
        <v>4</v>
      </c>
      <c r="AC111" s="10">
        <v>4</v>
      </c>
      <c r="AD111" s="10">
        <v>4</v>
      </c>
      <c r="AE111" s="10">
        <v>4</v>
      </c>
      <c r="AF111" s="10">
        <v>0</v>
      </c>
      <c r="AG111" s="9" t="s">
        <v>34</v>
      </c>
      <c r="AH111" s="9" t="s">
        <v>63</v>
      </c>
    </row>
    <row r="112" spans="1:34" x14ac:dyDescent="0.25">
      <c r="A112" s="9" t="s">
        <v>546</v>
      </c>
      <c r="B112" s="1" t="s">
        <v>235</v>
      </c>
      <c r="C112" s="10">
        <v>2</v>
      </c>
      <c r="D112" s="10">
        <v>2010</v>
      </c>
      <c r="E112" s="9" t="s">
        <v>38</v>
      </c>
      <c r="F112" s="9" t="s">
        <v>54</v>
      </c>
      <c r="G112" s="1">
        <v>15.75</v>
      </c>
      <c r="H112" s="1">
        <v>1.1299999999999999</v>
      </c>
      <c r="I112" s="9" t="s">
        <v>39</v>
      </c>
      <c r="J112" s="1">
        <v>0</v>
      </c>
      <c r="K112" s="10">
        <v>24</v>
      </c>
      <c r="L112" s="3">
        <v>0</v>
      </c>
      <c r="M112" s="11">
        <v>4.3478260869565223E-2</v>
      </c>
      <c r="N112" t="s">
        <v>63</v>
      </c>
      <c r="O112" s="11">
        <v>0</v>
      </c>
      <c r="P112" s="11">
        <v>4.7619047619047623E-2</v>
      </c>
      <c r="Q112" s="11">
        <v>0</v>
      </c>
      <c r="R112" s="11">
        <v>4.3478260869565223E-2</v>
      </c>
      <c r="S112" s="9" t="s">
        <v>40</v>
      </c>
      <c r="T112" s="9" t="s">
        <v>50</v>
      </c>
      <c r="U112" s="9" t="s">
        <v>33</v>
      </c>
      <c r="V112" s="9" t="s">
        <v>956</v>
      </c>
      <c r="W112" s="1">
        <v>13.9</v>
      </c>
      <c r="X112" s="1">
        <v>15</v>
      </c>
      <c r="Y112" s="3">
        <f>W112/X112</f>
        <v>0.92666666666666664</v>
      </c>
      <c r="Z112" s="11">
        <v>0</v>
      </c>
      <c r="AA112" s="11" t="s">
        <v>31</v>
      </c>
      <c r="AB112" s="10">
        <v>4</v>
      </c>
      <c r="AC112" s="10">
        <v>4</v>
      </c>
      <c r="AD112" s="10">
        <v>4</v>
      </c>
      <c r="AE112" s="10">
        <v>4</v>
      </c>
      <c r="AF112" s="10">
        <v>4</v>
      </c>
      <c r="AG112" s="9" t="s">
        <v>34</v>
      </c>
      <c r="AH112" s="9" t="s">
        <v>63</v>
      </c>
    </row>
    <row r="113" spans="1:34" x14ac:dyDescent="0.25">
      <c r="A113" s="9" t="s">
        <v>546</v>
      </c>
      <c r="B113" s="1" t="s">
        <v>236</v>
      </c>
      <c r="C113" s="10">
        <v>2</v>
      </c>
      <c r="D113" s="10">
        <v>2010</v>
      </c>
      <c r="E113" s="9" t="s">
        <v>38</v>
      </c>
      <c r="F113" s="9" t="s">
        <v>54</v>
      </c>
      <c r="G113" s="1">
        <v>15.75</v>
      </c>
      <c r="H113" s="1">
        <v>1.1299999999999999</v>
      </c>
      <c r="I113" s="9" t="s">
        <v>43</v>
      </c>
      <c r="J113" s="1">
        <v>1</v>
      </c>
      <c r="K113" s="10">
        <v>26</v>
      </c>
      <c r="L113" s="3">
        <v>0.36399999999999999</v>
      </c>
      <c r="M113" s="11">
        <v>3.010252760064001E-2</v>
      </c>
      <c r="N113">
        <v>360</v>
      </c>
      <c r="O113" s="11">
        <v>0.3814891375316426</v>
      </c>
      <c r="P113" s="11">
        <v>4.3478260869565223E-2</v>
      </c>
      <c r="Q113" s="11">
        <v>0.37115088511412991</v>
      </c>
      <c r="R113" s="11">
        <v>2.973879697299639E-2</v>
      </c>
      <c r="S113" s="9" t="s">
        <v>40</v>
      </c>
      <c r="T113" s="9" t="s">
        <v>50</v>
      </c>
      <c r="U113" s="9" t="s">
        <v>33</v>
      </c>
      <c r="V113" s="9" t="s">
        <v>956</v>
      </c>
      <c r="W113" s="1">
        <v>13.1</v>
      </c>
      <c r="X113" s="1">
        <v>15</v>
      </c>
      <c r="Y113" s="3">
        <f>W113/X113</f>
        <v>0.87333333333333329</v>
      </c>
      <c r="Z113" s="11">
        <v>0.40846030431862868</v>
      </c>
      <c r="AA113" s="11">
        <v>0.20489700678850811</v>
      </c>
      <c r="AB113" s="10">
        <v>4</v>
      </c>
      <c r="AC113" s="10">
        <v>4</v>
      </c>
      <c r="AD113" s="10">
        <v>4</v>
      </c>
      <c r="AE113" s="10">
        <v>4</v>
      </c>
      <c r="AF113" s="10">
        <v>4</v>
      </c>
      <c r="AG113" s="9" t="s">
        <v>34</v>
      </c>
      <c r="AH113" s="9" t="s">
        <v>35</v>
      </c>
    </row>
    <row r="114" spans="1:34" x14ac:dyDescent="0.25">
      <c r="A114" s="9" t="s">
        <v>547</v>
      </c>
      <c r="B114" s="1" t="s">
        <v>238</v>
      </c>
      <c r="C114" s="10">
        <v>2</v>
      </c>
      <c r="D114" s="10">
        <v>2010</v>
      </c>
      <c r="E114" s="9" t="s">
        <v>38</v>
      </c>
      <c r="F114" s="9" t="s">
        <v>54</v>
      </c>
      <c r="G114" s="1">
        <v>10.88</v>
      </c>
      <c r="H114" s="1" t="s">
        <v>31</v>
      </c>
      <c r="I114" s="9" t="s">
        <v>39</v>
      </c>
      <c r="J114" s="1">
        <v>0</v>
      </c>
      <c r="K114" s="10">
        <v>166</v>
      </c>
      <c r="L114" s="3">
        <v>0.22</v>
      </c>
      <c r="M114" s="11">
        <v>5.4881367272727284E-3</v>
      </c>
      <c r="N114">
        <v>304</v>
      </c>
      <c r="O114" s="11">
        <v>0.22365610902183239</v>
      </c>
      <c r="P114" s="11">
        <v>6.1349693251533744E-3</v>
      </c>
      <c r="Q114" s="11">
        <v>0.22064670207488071</v>
      </c>
      <c r="R114" s="11">
        <v>5.4848502530426783E-3</v>
      </c>
      <c r="S114" s="9" t="s">
        <v>40</v>
      </c>
      <c r="T114" s="9" t="s">
        <v>50</v>
      </c>
      <c r="U114" s="9" t="s">
        <v>33</v>
      </c>
      <c r="V114" s="9" t="s">
        <v>266</v>
      </c>
      <c r="W114" s="1" t="s">
        <v>31</v>
      </c>
      <c r="X114" s="1" t="s">
        <v>31</v>
      </c>
      <c r="Y114" s="3" t="s">
        <v>31</v>
      </c>
      <c r="Z114" s="11" t="s">
        <v>31</v>
      </c>
      <c r="AA114" s="11" t="s">
        <v>31</v>
      </c>
      <c r="AB114" s="10">
        <v>3</v>
      </c>
      <c r="AC114" s="10">
        <v>3</v>
      </c>
      <c r="AD114" s="10">
        <v>3</v>
      </c>
      <c r="AE114" s="10">
        <v>3</v>
      </c>
      <c r="AF114" s="10">
        <v>0</v>
      </c>
      <c r="AG114" s="9" t="s">
        <v>41</v>
      </c>
      <c r="AH114" s="9" t="s">
        <v>35</v>
      </c>
    </row>
    <row r="115" spans="1:34" x14ac:dyDescent="0.25">
      <c r="A115" s="9" t="s">
        <v>547</v>
      </c>
      <c r="B115" s="1" t="s">
        <v>241</v>
      </c>
      <c r="C115" s="10">
        <v>2</v>
      </c>
      <c r="D115" s="10">
        <v>2010</v>
      </c>
      <c r="E115" s="9" t="s">
        <v>38</v>
      </c>
      <c r="F115" s="9" t="s">
        <v>54</v>
      </c>
      <c r="G115" s="1">
        <v>10.95</v>
      </c>
      <c r="H115" s="1" t="s">
        <v>31</v>
      </c>
      <c r="I115" s="9" t="s">
        <v>43</v>
      </c>
      <c r="J115" s="1">
        <v>1</v>
      </c>
      <c r="K115" s="10">
        <v>143</v>
      </c>
      <c r="L115" s="3">
        <v>0.23</v>
      </c>
      <c r="M115" s="11">
        <v>6.3168902112676062E-3</v>
      </c>
      <c r="N115">
        <v>304</v>
      </c>
      <c r="O115" s="11">
        <v>0.2341894667593668</v>
      </c>
      <c r="P115" s="11">
        <v>7.1428571428571426E-3</v>
      </c>
      <c r="Q115" s="11">
        <v>0.23078429487174809</v>
      </c>
      <c r="R115" s="11">
        <v>6.3120703818783869E-3</v>
      </c>
      <c r="S115" s="9" t="s">
        <v>40</v>
      </c>
      <c r="T115" s="9" t="s">
        <v>50</v>
      </c>
      <c r="U115" s="9" t="s">
        <v>33</v>
      </c>
      <c r="V115" s="9" t="s">
        <v>266</v>
      </c>
      <c r="W115" s="1" t="s">
        <v>31</v>
      </c>
      <c r="X115" s="1" t="s">
        <v>31</v>
      </c>
      <c r="Y115" s="3" t="s">
        <v>31</v>
      </c>
      <c r="Z115" s="11" t="s">
        <v>31</v>
      </c>
      <c r="AA115" s="11" t="s">
        <v>31</v>
      </c>
      <c r="AB115" s="10">
        <v>3</v>
      </c>
      <c r="AC115" s="10">
        <v>3</v>
      </c>
      <c r="AD115" s="10">
        <v>3</v>
      </c>
      <c r="AE115" s="10">
        <v>3</v>
      </c>
      <c r="AF115" s="10">
        <v>0</v>
      </c>
      <c r="AG115" s="9" t="s">
        <v>41</v>
      </c>
      <c r="AH115" s="9" t="s">
        <v>35</v>
      </c>
    </row>
    <row r="116" spans="1:34" x14ac:dyDescent="0.25">
      <c r="A116" s="9" t="s">
        <v>548</v>
      </c>
      <c r="B116" s="1" t="s">
        <v>243</v>
      </c>
      <c r="C116" s="10">
        <v>2</v>
      </c>
      <c r="D116" s="10">
        <v>2010</v>
      </c>
      <c r="E116" s="9" t="s">
        <v>38</v>
      </c>
      <c r="F116" s="9" t="s">
        <v>54</v>
      </c>
      <c r="G116" s="1">
        <v>11.8</v>
      </c>
      <c r="H116" s="1">
        <v>3.8</v>
      </c>
      <c r="I116" s="9" t="s">
        <v>30</v>
      </c>
      <c r="J116" s="1">
        <v>0.48</v>
      </c>
      <c r="K116" s="10">
        <v>649</v>
      </c>
      <c r="L116" s="3">
        <v>0.13500000000000001</v>
      </c>
      <c r="M116" s="11">
        <v>1.4874724546682101E-3</v>
      </c>
      <c r="N116" t="s">
        <v>239</v>
      </c>
      <c r="O116" s="11">
        <v>0.1358292114918119</v>
      </c>
      <c r="P116" s="11">
        <v>1.5479876160990711E-3</v>
      </c>
      <c r="Q116" s="11">
        <v>0.13510277713273541</v>
      </c>
      <c r="R116" s="11">
        <v>1.4873883371664539E-3</v>
      </c>
      <c r="S116" s="9" t="s">
        <v>40</v>
      </c>
      <c r="T116" s="9" t="s">
        <v>50</v>
      </c>
      <c r="U116" s="9" t="s">
        <v>33</v>
      </c>
      <c r="V116" s="9" t="s">
        <v>266</v>
      </c>
      <c r="W116" s="1" t="s">
        <v>31</v>
      </c>
      <c r="X116" s="1" t="s">
        <v>31</v>
      </c>
      <c r="Y116" s="3" t="s">
        <v>31</v>
      </c>
      <c r="Z116" s="11" t="s">
        <v>31</v>
      </c>
      <c r="AA116" s="11" t="s">
        <v>31</v>
      </c>
      <c r="AB116" s="10">
        <v>3</v>
      </c>
      <c r="AC116" s="10">
        <v>3</v>
      </c>
      <c r="AD116" s="10">
        <v>3</v>
      </c>
      <c r="AE116" s="10">
        <v>3</v>
      </c>
      <c r="AF116" s="10">
        <v>0</v>
      </c>
      <c r="AG116" s="9" t="s">
        <v>41</v>
      </c>
      <c r="AH116" s="9" t="s">
        <v>35</v>
      </c>
    </row>
    <row r="117" spans="1:34" x14ac:dyDescent="0.25">
      <c r="A117" s="9" t="s">
        <v>549</v>
      </c>
      <c r="B117" s="1" t="s">
        <v>246</v>
      </c>
      <c r="C117" s="10">
        <v>2</v>
      </c>
      <c r="D117" s="10">
        <v>2011</v>
      </c>
      <c r="E117" s="9" t="s">
        <v>28</v>
      </c>
      <c r="F117" s="9" t="s">
        <v>29</v>
      </c>
      <c r="G117" s="1">
        <v>19.3</v>
      </c>
      <c r="H117" s="1">
        <v>0.8</v>
      </c>
      <c r="I117" s="9" t="s">
        <v>43</v>
      </c>
      <c r="J117" s="1">
        <v>1</v>
      </c>
      <c r="K117" s="10">
        <v>14</v>
      </c>
      <c r="L117" s="3">
        <v>0.28999999999999998</v>
      </c>
      <c r="M117" s="11">
        <v>6.4528677692307704E-2</v>
      </c>
      <c r="N117">
        <v>1060</v>
      </c>
      <c r="O117" s="11">
        <v>0.29856626366017841</v>
      </c>
      <c r="P117" s="11">
        <v>9.0909090909090912E-2</v>
      </c>
      <c r="Q117" s="11">
        <v>0.30328799807232992</v>
      </c>
      <c r="R117" s="11">
        <v>6.3422597301365014E-2</v>
      </c>
      <c r="S117" s="9" t="s">
        <v>40</v>
      </c>
      <c r="T117" s="9" t="s">
        <v>50</v>
      </c>
      <c r="U117" s="9" t="s">
        <v>33</v>
      </c>
      <c r="V117" s="9" t="s">
        <v>242</v>
      </c>
      <c r="W117" s="1">
        <v>13.9</v>
      </c>
      <c r="X117" s="1">
        <v>15</v>
      </c>
      <c r="Y117" s="3">
        <f>W117/X117</f>
        <v>0.92666666666666664</v>
      </c>
      <c r="Z117" s="11">
        <v>0.31080663834297678</v>
      </c>
      <c r="AA117" s="11">
        <v>0.29205009605770738</v>
      </c>
      <c r="AB117" s="10">
        <v>3</v>
      </c>
      <c r="AC117" s="10">
        <v>3</v>
      </c>
      <c r="AD117" s="10">
        <v>3</v>
      </c>
      <c r="AE117" s="10">
        <v>3</v>
      </c>
      <c r="AF117" s="10">
        <v>0</v>
      </c>
      <c r="AG117" s="9" t="s">
        <v>34</v>
      </c>
      <c r="AH117" s="9" t="s">
        <v>35</v>
      </c>
    </row>
    <row r="118" spans="1:34" x14ac:dyDescent="0.25">
      <c r="A118" s="9" t="s">
        <v>549</v>
      </c>
      <c r="B118" s="1" t="s">
        <v>250</v>
      </c>
      <c r="C118" s="10">
        <v>2</v>
      </c>
      <c r="D118" s="10">
        <v>2011</v>
      </c>
      <c r="E118" s="9" t="s">
        <v>38</v>
      </c>
      <c r="F118" s="9" t="s">
        <v>29</v>
      </c>
      <c r="G118" s="1">
        <v>18.5</v>
      </c>
      <c r="H118" s="1">
        <v>1.4</v>
      </c>
      <c r="I118" s="9" t="s">
        <v>43</v>
      </c>
      <c r="J118" s="1">
        <v>1</v>
      </c>
      <c r="K118" s="10">
        <v>14</v>
      </c>
      <c r="L118" s="3">
        <v>0.56999999999999995</v>
      </c>
      <c r="M118" s="11">
        <v>3.5058462307692322E-2</v>
      </c>
      <c r="N118">
        <v>1060</v>
      </c>
      <c r="O118" s="11">
        <v>0.64752284482737277</v>
      </c>
      <c r="P118" s="11">
        <v>9.0909090909090912E-2</v>
      </c>
      <c r="Q118" s="11">
        <v>0.58817773848843979</v>
      </c>
      <c r="R118" s="11">
        <v>3.2905954624484202E-2</v>
      </c>
      <c r="S118" s="9" t="s">
        <v>40</v>
      </c>
      <c r="T118" s="9" t="s">
        <v>50</v>
      </c>
      <c r="U118" s="9" t="s">
        <v>33</v>
      </c>
      <c r="V118" s="9" t="s">
        <v>242</v>
      </c>
      <c r="W118" s="1">
        <v>17.600000000000001</v>
      </c>
      <c r="X118" s="1">
        <v>15</v>
      </c>
      <c r="Y118" s="3">
        <f>W118/X118</f>
        <v>1.1733333333333333</v>
      </c>
      <c r="Z118" s="11">
        <v>0.50894527327263517</v>
      </c>
      <c r="AA118" s="11">
        <v>0.23244753088440681</v>
      </c>
      <c r="AB118" s="10">
        <v>3</v>
      </c>
      <c r="AC118" s="10">
        <v>3</v>
      </c>
      <c r="AD118" s="10">
        <v>3</v>
      </c>
      <c r="AE118" s="10">
        <v>3</v>
      </c>
      <c r="AF118" s="10">
        <v>0</v>
      </c>
      <c r="AG118" s="9" t="s">
        <v>34</v>
      </c>
      <c r="AH118" s="9" t="s">
        <v>35</v>
      </c>
    </row>
    <row r="119" spans="1:34" x14ac:dyDescent="0.25">
      <c r="A119" s="9" t="s">
        <v>550</v>
      </c>
      <c r="B119" s="1" t="s">
        <v>261</v>
      </c>
      <c r="C119" s="10">
        <v>3</v>
      </c>
      <c r="D119" s="10">
        <v>2011</v>
      </c>
      <c r="E119" s="9" t="s">
        <v>38</v>
      </c>
      <c r="F119" s="9" t="s">
        <v>29</v>
      </c>
      <c r="G119" s="1">
        <v>22.56</v>
      </c>
      <c r="H119" s="1">
        <v>1.74</v>
      </c>
      <c r="I119" s="9" t="s">
        <v>30</v>
      </c>
      <c r="J119" s="1">
        <v>0.44</v>
      </c>
      <c r="K119" s="10">
        <v>27</v>
      </c>
      <c r="L119" s="3">
        <v>1.9E-2</v>
      </c>
      <c r="M119" s="11">
        <v>3.8433774243115393E-2</v>
      </c>
      <c r="N119">
        <v>1670</v>
      </c>
      <c r="O119" s="11">
        <v>1.9002286828680801E-2</v>
      </c>
      <c r="P119" s="11">
        <v>4.1666666666666657E-2</v>
      </c>
      <c r="Q119" s="11">
        <v>1.9417266208941849E-2</v>
      </c>
      <c r="R119" s="11">
        <v>3.8432541603759009E-2</v>
      </c>
      <c r="S119" s="9" t="s">
        <v>40</v>
      </c>
      <c r="T119" s="9" t="s">
        <v>50</v>
      </c>
      <c r="U119" s="9" t="s">
        <v>33</v>
      </c>
      <c r="V119" s="9" t="s">
        <v>266</v>
      </c>
      <c r="W119" s="1">
        <v>8.3699999999999992</v>
      </c>
      <c r="X119" s="1">
        <v>15</v>
      </c>
      <c r="Y119" s="3">
        <f>W119/X119</f>
        <v>0.55799999999999994</v>
      </c>
      <c r="Z119" s="11">
        <v>3.4036594263861152E-2</v>
      </c>
      <c r="AA119" s="11">
        <v>0.35792948808660818</v>
      </c>
      <c r="AB119" s="10">
        <v>3</v>
      </c>
      <c r="AC119" s="10">
        <v>3</v>
      </c>
      <c r="AD119" s="10">
        <v>3</v>
      </c>
      <c r="AE119" s="10">
        <v>3</v>
      </c>
      <c r="AF119" s="10">
        <v>1</v>
      </c>
      <c r="AG119" s="9" t="s">
        <v>41</v>
      </c>
      <c r="AH119" s="9" t="s">
        <v>35</v>
      </c>
    </row>
    <row r="120" spans="1:34" x14ac:dyDescent="0.25">
      <c r="A120" s="9" t="s">
        <v>550</v>
      </c>
      <c r="B120" s="1" t="s">
        <v>262</v>
      </c>
      <c r="C120" s="10">
        <v>3</v>
      </c>
      <c r="D120" s="10">
        <v>2011</v>
      </c>
      <c r="E120" s="9" t="s">
        <v>28</v>
      </c>
      <c r="F120" s="9" t="s">
        <v>29</v>
      </c>
      <c r="G120" s="1">
        <v>23.07</v>
      </c>
      <c r="H120" s="1">
        <v>2.2400000000000002</v>
      </c>
      <c r="I120" s="9" t="s">
        <v>30</v>
      </c>
      <c r="J120" s="1">
        <v>0.46700000000000003</v>
      </c>
      <c r="K120" s="10">
        <v>30</v>
      </c>
      <c r="L120" s="3">
        <v>0.67900000000000005</v>
      </c>
      <c r="M120" s="11">
        <v>1.001644150624138E-2</v>
      </c>
      <c r="N120">
        <v>1670</v>
      </c>
      <c r="O120" s="11">
        <v>0.82725626697376253</v>
      </c>
      <c r="P120" s="11">
        <v>3.7037037037037042E-2</v>
      </c>
      <c r="Q120" s="11">
        <v>0.68581962315102418</v>
      </c>
      <c r="R120" s="11">
        <v>9.673470781447667E-3</v>
      </c>
      <c r="S120" s="9" t="s">
        <v>40</v>
      </c>
      <c r="T120" s="9" t="s">
        <v>50</v>
      </c>
      <c r="U120" s="9" t="s">
        <v>33</v>
      </c>
      <c r="V120" s="9" t="s">
        <v>266</v>
      </c>
      <c r="W120" s="1">
        <v>10.87</v>
      </c>
      <c r="X120" s="1">
        <v>15</v>
      </c>
      <c r="Y120" s="3">
        <f>W120/X120</f>
        <v>0.72466666666666657</v>
      </c>
      <c r="Z120" s="11">
        <v>0.78715927665988372</v>
      </c>
      <c r="AA120" s="11">
        <v>0.113515181983545</v>
      </c>
      <c r="AB120" s="10">
        <v>3</v>
      </c>
      <c r="AC120" s="10">
        <v>3</v>
      </c>
      <c r="AD120" s="10">
        <v>3</v>
      </c>
      <c r="AE120" s="10">
        <v>3</v>
      </c>
      <c r="AF120" s="10">
        <v>1</v>
      </c>
      <c r="AG120" s="9" t="s">
        <v>41</v>
      </c>
      <c r="AH120" s="9" t="s">
        <v>35</v>
      </c>
    </row>
    <row r="121" spans="1:34" x14ac:dyDescent="0.25">
      <c r="A121" s="9" t="s">
        <v>550</v>
      </c>
      <c r="B121" s="1" t="s">
        <v>253</v>
      </c>
      <c r="C121" s="10">
        <v>3</v>
      </c>
      <c r="D121" s="10">
        <v>2011</v>
      </c>
      <c r="E121" s="9" t="s">
        <v>28</v>
      </c>
      <c r="F121" s="9" t="s">
        <v>29</v>
      </c>
      <c r="G121" s="1">
        <v>23.02</v>
      </c>
      <c r="H121" s="1">
        <v>1.55</v>
      </c>
      <c r="I121" s="9" t="s">
        <v>30</v>
      </c>
      <c r="J121" s="1">
        <v>0.27</v>
      </c>
      <c r="K121" s="10">
        <v>37</v>
      </c>
      <c r="L121" s="3">
        <v>0.40600000000000003</v>
      </c>
      <c r="M121" s="11">
        <v>1.9374969636000001E-2</v>
      </c>
      <c r="N121">
        <v>1670</v>
      </c>
      <c r="O121" s="11">
        <v>0.43081237650398269</v>
      </c>
      <c r="P121" s="11">
        <v>2.9411764705882349E-2</v>
      </c>
      <c r="Q121" s="11">
        <v>0.41111518479420761</v>
      </c>
      <c r="R121" s="11">
        <v>1.9181525413236072E-2</v>
      </c>
      <c r="S121" s="9" t="s">
        <v>40</v>
      </c>
      <c r="T121" s="9" t="s">
        <v>50</v>
      </c>
      <c r="U121" s="9" t="s">
        <v>33</v>
      </c>
      <c r="V121" s="9" t="s">
        <v>266</v>
      </c>
      <c r="W121" s="1">
        <v>12.25</v>
      </c>
      <c r="X121" s="1">
        <v>15</v>
      </c>
      <c r="Y121" s="3">
        <f>W121/X121</f>
        <v>0.81666666666666665</v>
      </c>
      <c r="Z121" s="11">
        <v>0.47786405175607122</v>
      </c>
      <c r="AA121" s="11">
        <v>0.167987320367946</v>
      </c>
      <c r="AB121" s="10">
        <v>3</v>
      </c>
      <c r="AC121" s="10">
        <v>3</v>
      </c>
      <c r="AD121" s="10">
        <v>3</v>
      </c>
      <c r="AE121" s="10">
        <v>3</v>
      </c>
      <c r="AF121" s="10">
        <v>1</v>
      </c>
      <c r="AG121" s="9" t="s">
        <v>41</v>
      </c>
      <c r="AH121" s="9" t="s">
        <v>35</v>
      </c>
    </row>
    <row r="122" spans="1:34" x14ac:dyDescent="0.25">
      <c r="A122" s="9" t="s">
        <v>244</v>
      </c>
      <c r="B122" s="1" t="s">
        <v>257</v>
      </c>
      <c r="C122" s="10">
        <v>2</v>
      </c>
      <c r="D122" s="10">
        <v>2011</v>
      </c>
      <c r="E122" s="9" t="s">
        <v>38</v>
      </c>
      <c r="F122" s="9" t="s">
        <v>29</v>
      </c>
      <c r="G122" s="1">
        <v>21.1</v>
      </c>
      <c r="H122" s="1">
        <v>2.5499999999999998</v>
      </c>
      <c r="I122" s="9" t="s">
        <v>30</v>
      </c>
      <c r="J122" s="1">
        <v>0.36</v>
      </c>
      <c r="K122" s="10">
        <v>80</v>
      </c>
      <c r="L122" s="3">
        <v>0.28899999999999998</v>
      </c>
      <c r="M122" s="11">
        <v>1.0632072879000001E-2</v>
      </c>
      <c r="N122" t="s">
        <v>63</v>
      </c>
      <c r="O122" s="11">
        <v>0.29747478656797322</v>
      </c>
      <c r="P122" s="11">
        <v>1.298701298701299E-2</v>
      </c>
      <c r="Q122" s="11">
        <v>0.29074378685232011</v>
      </c>
      <c r="R122" s="11">
        <v>1.0608629763488321E-2</v>
      </c>
      <c r="S122" s="9" t="s">
        <v>40</v>
      </c>
      <c r="T122" s="9" t="s">
        <v>31</v>
      </c>
      <c r="U122" s="9" t="s">
        <v>33</v>
      </c>
      <c r="V122" s="9" t="s">
        <v>247</v>
      </c>
      <c r="W122" s="1" t="s">
        <v>31</v>
      </c>
      <c r="X122" s="1" t="s">
        <v>31</v>
      </c>
      <c r="Y122" s="3" t="s">
        <v>31</v>
      </c>
      <c r="Z122" s="11" t="s">
        <v>31</v>
      </c>
      <c r="AA122" s="11" t="s">
        <v>31</v>
      </c>
      <c r="AB122" s="10">
        <v>4</v>
      </c>
      <c r="AC122" s="10">
        <v>4</v>
      </c>
      <c r="AD122" s="10">
        <v>4</v>
      </c>
      <c r="AE122" s="10">
        <v>4</v>
      </c>
      <c r="AF122" s="10">
        <v>0</v>
      </c>
      <c r="AG122" s="9" t="s">
        <v>34</v>
      </c>
      <c r="AH122" s="9" t="s">
        <v>63</v>
      </c>
    </row>
    <row r="123" spans="1:34" x14ac:dyDescent="0.25">
      <c r="A123" s="9" t="s">
        <v>248</v>
      </c>
      <c r="B123" s="1" t="s">
        <v>407</v>
      </c>
      <c r="C123" s="10">
        <v>2</v>
      </c>
      <c r="D123" s="10">
        <v>2011</v>
      </c>
      <c r="E123" s="9" t="s">
        <v>28</v>
      </c>
      <c r="F123" s="9" t="s">
        <v>29</v>
      </c>
      <c r="G123" s="1">
        <v>81.7</v>
      </c>
      <c r="H123" s="1">
        <v>6.7</v>
      </c>
      <c r="I123" s="9" t="s">
        <v>30</v>
      </c>
      <c r="J123" s="1">
        <v>0.43</v>
      </c>
      <c r="K123" s="10">
        <v>194</v>
      </c>
      <c r="L123" s="3">
        <v>0</v>
      </c>
      <c r="M123" s="11">
        <v>5.1813471502590684E-3</v>
      </c>
      <c r="N123" t="s">
        <v>63</v>
      </c>
      <c r="O123" s="11">
        <v>0</v>
      </c>
      <c r="P123" s="11">
        <v>5.235602094240838E-3</v>
      </c>
      <c r="Q123" s="11">
        <v>0</v>
      </c>
      <c r="R123" s="11">
        <v>5.1813471502590684E-3</v>
      </c>
      <c r="S123" s="9" t="s">
        <v>40</v>
      </c>
      <c r="T123" s="9" t="s">
        <v>46</v>
      </c>
      <c r="U123" s="9" t="s">
        <v>33</v>
      </c>
      <c r="V123" s="9" t="s">
        <v>335</v>
      </c>
      <c r="W123" s="1" t="s">
        <v>31</v>
      </c>
      <c r="X123" s="1" t="s">
        <v>31</v>
      </c>
      <c r="Y123" s="3" t="s">
        <v>31</v>
      </c>
      <c r="Z123" s="11" t="s">
        <v>31</v>
      </c>
      <c r="AA123" s="11" t="s">
        <v>31</v>
      </c>
      <c r="AB123" s="10">
        <v>3</v>
      </c>
      <c r="AC123" s="10">
        <v>3</v>
      </c>
      <c r="AD123" s="10">
        <v>3</v>
      </c>
      <c r="AE123" s="10">
        <v>3</v>
      </c>
      <c r="AF123" s="10">
        <v>0</v>
      </c>
      <c r="AG123" s="9" t="s">
        <v>34</v>
      </c>
      <c r="AH123" s="9" t="s">
        <v>63</v>
      </c>
    </row>
    <row r="124" spans="1:34" x14ac:dyDescent="0.25">
      <c r="A124" s="9" t="s">
        <v>255</v>
      </c>
      <c r="B124" s="1" t="s">
        <v>408</v>
      </c>
      <c r="C124" s="10">
        <v>2</v>
      </c>
      <c r="D124" s="10">
        <v>2012</v>
      </c>
      <c r="E124" s="9" t="s">
        <v>38</v>
      </c>
      <c r="F124" s="9" t="s">
        <v>54</v>
      </c>
      <c r="G124" s="1">
        <v>15.1</v>
      </c>
      <c r="H124" s="1">
        <v>0.75</v>
      </c>
      <c r="I124" s="9" t="s">
        <v>43</v>
      </c>
      <c r="J124" s="1">
        <v>1</v>
      </c>
      <c r="K124" s="10">
        <v>30</v>
      </c>
      <c r="L124" s="3">
        <v>0.4</v>
      </c>
      <c r="M124" s="11">
        <v>2.4331034482758619E-2</v>
      </c>
      <c r="N124">
        <v>1060</v>
      </c>
      <c r="O124" s="11">
        <v>0.42364893019360178</v>
      </c>
      <c r="P124" s="11">
        <v>3.7037037037037042E-2</v>
      </c>
      <c r="Q124" s="11">
        <v>0.40642714036640931</v>
      </c>
      <c r="R124" s="11">
        <v>2.403170308221932E-2</v>
      </c>
      <c r="S124" s="9" t="s">
        <v>40</v>
      </c>
      <c r="T124" s="9" t="s">
        <v>50</v>
      </c>
      <c r="U124" s="9" t="s">
        <v>33</v>
      </c>
      <c r="V124" s="9" t="s">
        <v>258</v>
      </c>
      <c r="W124" s="1">
        <v>11</v>
      </c>
      <c r="X124" s="1">
        <v>15</v>
      </c>
      <c r="Y124" s="3">
        <f t="shared" ref="Y124:Y135" si="3">W124/X124</f>
        <v>0.73333333333333328</v>
      </c>
      <c r="Z124" s="11">
        <v>0.51142142549476777</v>
      </c>
      <c r="AA124" s="11">
        <v>0.1946795173230618</v>
      </c>
      <c r="AB124" s="10">
        <v>4</v>
      </c>
      <c r="AC124" s="10">
        <v>4</v>
      </c>
      <c r="AD124" s="10">
        <v>4</v>
      </c>
      <c r="AE124" s="10">
        <v>4</v>
      </c>
      <c r="AF124" s="10">
        <v>0</v>
      </c>
      <c r="AG124" s="9" t="s">
        <v>34</v>
      </c>
      <c r="AH124" s="9" t="s">
        <v>35</v>
      </c>
    </row>
    <row r="125" spans="1:34" x14ac:dyDescent="0.25">
      <c r="A125" s="9" t="s">
        <v>251</v>
      </c>
      <c r="B125" s="1" t="s">
        <v>409</v>
      </c>
      <c r="C125" s="10">
        <v>2</v>
      </c>
      <c r="D125" s="10">
        <v>2012</v>
      </c>
      <c r="E125" s="9" t="s">
        <v>38</v>
      </c>
      <c r="F125" s="9" t="s">
        <v>29</v>
      </c>
      <c r="G125" s="1">
        <v>19.88</v>
      </c>
      <c r="H125" s="1">
        <v>1.67</v>
      </c>
      <c r="I125" s="9" t="s">
        <v>30</v>
      </c>
      <c r="J125" s="1">
        <v>0.44</v>
      </c>
      <c r="K125" s="10">
        <v>100</v>
      </c>
      <c r="L125" s="3">
        <v>0.17</v>
      </c>
      <c r="M125" s="11">
        <v>9.5256081818181817E-3</v>
      </c>
      <c r="N125">
        <v>63</v>
      </c>
      <c r="O125" s="11">
        <v>0.1716666635005791</v>
      </c>
      <c r="P125" s="11">
        <v>1.030927835051546E-2</v>
      </c>
      <c r="Q125" s="11">
        <v>0.17086145945539871</v>
      </c>
      <c r="R125" s="11">
        <v>9.519848402669933E-3</v>
      </c>
      <c r="S125" s="9" t="s">
        <v>40</v>
      </c>
      <c r="T125" s="9" t="s">
        <v>50</v>
      </c>
      <c r="U125" s="9" t="s">
        <v>33</v>
      </c>
      <c r="V125" s="9" t="s">
        <v>254</v>
      </c>
      <c r="W125" s="1">
        <v>4.54</v>
      </c>
      <c r="X125" s="1">
        <v>7.4</v>
      </c>
      <c r="Y125" s="3">
        <f t="shared" si="3"/>
        <v>0.61351351351351346</v>
      </c>
      <c r="Z125" s="11">
        <v>0.27068797223416791</v>
      </c>
      <c r="AA125" s="11">
        <v>0.15126112200594921</v>
      </c>
      <c r="AB125" s="10">
        <v>4</v>
      </c>
      <c r="AC125" s="10">
        <v>4</v>
      </c>
      <c r="AD125" s="10">
        <v>3</v>
      </c>
      <c r="AE125" s="10">
        <v>3</v>
      </c>
      <c r="AF125" s="10">
        <v>0</v>
      </c>
      <c r="AG125" s="9" t="s">
        <v>41</v>
      </c>
      <c r="AH125" s="9" t="s">
        <v>35</v>
      </c>
    </row>
    <row r="126" spans="1:34" x14ac:dyDescent="0.25">
      <c r="A126" s="9" t="s">
        <v>259</v>
      </c>
      <c r="B126" s="1" t="s">
        <v>410</v>
      </c>
      <c r="C126" s="10">
        <v>2</v>
      </c>
      <c r="D126" s="10">
        <v>2013</v>
      </c>
      <c r="E126" s="9" t="s">
        <v>38</v>
      </c>
      <c r="F126" s="9" t="s">
        <v>29</v>
      </c>
      <c r="G126" s="1">
        <v>72.47</v>
      </c>
      <c r="H126" s="1">
        <v>0.73</v>
      </c>
      <c r="I126" s="9" t="s">
        <v>39</v>
      </c>
      <c r="J126" s="1">
        <v>1</v>
      </c>
      <c r="K126" s="10">
        <v>293</v>
      </c>
      <c r="L126" s="3">
        <v>0.26</v>
      </c>
      <c r="M126" s="11">
        <v>2.977293698630137E-3</v>
      </c>
      <c r="N126">
        <v>2729</v>
      </c>
      <c r="O126" s="11">
        <v>0.26610840687365411</v>
      </c>
      <c r="P126" s="11">
        <v>3.4482758620689659E-3</v>
      </c>
      <c r="Q126" s="11">
        <v>0.26041955856124721</v>
      </c>
      <c r="R126" s="11">
        <v>2.9758994354691071E-3</v>
      </c>
      <c r="S126" s="9" t="s">
        <v>40</v>
      </c>
      <c r="T126" s="9" t="s">
        <v>50</v>
      </c>
      <c r="U126" s="9" t="s">
        <v>33</v>
      </c>
      <c r="V126" s="9" t="s">
        <v>336</v>
      </c>
      <c r="W126" s="1">
        <v>14.03</v>
      </c>
      <c r="X126" s="1">
        <v>15</v>
      </c>
      <c r="Y126" s="3">
        <f t="shared" si="3"/>
        <v>0.93533333333333324</v>
      </c>
      <c r="Z126" s="11">
        <v>0.2766413508068567</v>
      </c>
      <c r="AA126" s="11">
        <v>5.9651134458604281E-2</v>
      </c>
      <c r="AB126" s="10">
        <v>3</v>
      </c>
      <c r="AC126" s="10">
        <v>3</v>
      </c>
      <c r="AD126" s="10">
        <v>3</v>
      </c>
      <c r="AE126" s="10">
        <v>3</v>
      </c>
      <c r="AF126" s="10">
        <v>0</v>
      </c>
      <c r="AG126" s="9" t="s">
        <v>41</v>
      </c>
      <c r="AH126" s="9" t="s">
        <v>35</v>
      </c>
    </row>
    <row r="127" spans="1:34" x14ac:dyDescent="0.25">
      <c r="A127" s="9" t="s">
        <v>259</v>
      </c>
      <c r="B127" s="1" t="s">
        <v>405</v>
      </c>
      <c r="C127" s="10">
        <v>2</v>
      </c>
      <c r="D127" s="10">
        <v>2013</v>
      </c>
      <c r="E127" s="9" t="s">
        <v>38</v>
      </c>
      <c r="F127" s="9" t="s">
        <v>29</v>
      </c>
      <c r="G127" s="1">
        <v>72.599999999999994</v>
      </c>
      <c r="H127" s="1">
        <v>0.7</v>
      </c>
      <c r="I127" s="9" t="s">
        <v>43</v>
      </c>
      <c r="J127" s="1">
        <v>0</v>
      </c>
      <c r="K127" s="10">
        <v>327</v>
      </c>
      <c r="L127" s="3">
        <v>0.27</v>
      </c>
      <c r="M127" s="11">
        <v>2.6365472699386499E-3</v>
      </c>
      <c r="N127">
        <v>2729</v>
      </c>
      <c r="O127" s="11">
        <v>0.27686382265510012</v>
      </c>
      <c r="P127" s="11">
        <v>3.08641975308642E-3</v>
      </c>
      <c r="Q127" s="11">
        <v>0.27038758904938431</v>
      </c>
      <c r="R127" s="11">
        <v>2.6353561190447811E-3</v>
      </c>
      <c r="S127" s="9" t="s">
        <v>40</v>
      </c>
      <c r="T127" s="9" t="s">
        <v>50</v>
      </c>
      <c r="U127" s="9" t="s">
        <v>33</v>
      </c>
      <c r="V127" s="9" t="s">
        <v>336</v>
      </c>
      <c r="W127" s="1">
        <v>14.15</v>
      </c>
      <c r="X127" s="1">
        <v>15</v>
      </c>
      <c r="Y127" s="3">
        <f t="shared" si="3"/>
        <v>0.94333333333333336</v>
      </c>
      <c r="Z127" s="11">
        <v>0.28493670830100259</v>
      </c>
      <c r="AA127" s="11">
        <v>5.5860637506020092E-2</v>
      </c>
      <c r="AB127" s="10">
        <v>3</v>
      </c>
      <c r="AC127" s="10">
        <v>3</v>
      </c>
      <c r="AD127" s="10">
        <v>3</v>
      </c>
      <c r="AE127" s="10">
        <v>3</v>
      </c>
      <c r="AF127" s="10">
        <v>0</v>
      </c>
      <c r="AG127" s="9" t="s">
        <v>41</v>
      </c>
      <c r="AH127" s="9" t="s">
        <v>35</v>
      </c>
    </row>
    <row r="128" spans="1:34" x14ac:dyDescent="0.25">
      <c r="A128" s="9" t="s">
        <v>551</v>
      </c>
      <c r="B128" s="1" t="s">
        <v>411</v>
      </c>
      <c r="C128" s="10">
        <v>3</v>
      </c>
      <c r="D128" s="10">
        <v>2013</v>
      </c>
      <c r="E128" s="9" t="s">
        <v>38</v>
      </c>
      <c r="F128" s="9" t="s">
        <v>54</v>
      </c>
      <c r="G128" s="1">
        <v>14.9</v>
      </c>
      <c r="H128" s="1">
        <v>3.2</v>
      </c>
      <c r="I128" s="9" t="s">
        <v>30</v>
      </c>
      <c r="J128" s="1">
        <v>0.53</v>
      </c>
      <c r="K128" s="10">
        <v>36</v>
      </c>
      <c r="L128" s="3">
        <v>0.25</v>
      </c>
      <c r="M128" s="11">
        <v>2.511160714285714E-2</v>
      </c>
      <c r="N128">
        <v>696</v>
      </c>
      <c r="O128" s="11">
        <v>0.25541281188299542</v>
      </c>
      <c r="P128" s="11">
        <v>3.03030303030303E-2</v>
      </c>
      <c r="Q128" s="11">
        <v>0.25367308053704268</v>
      </c>
      <c r="R128" s="11">
        <v>2.501259608608454E-2</v>
      </c>
      <c r="S128" s="9" t="s">
        <v>40</v>
      </c>
      <c r="T128" s="9" t="s">
        <v>50</v>
      </c>
      <c r="U128" s="9" t="s">
        <v>33</v>
      </c>
      <c r="V128" s="9" t="s">
        <v>964</v>
      </c>
      <c r="W128" s="1">
        <v>12.7</v>
      </c>
      <c r="X128" s="1">
        <v>15</v>
      </c>
      <c r="Y128" s="3">
        <f t="shared" si="3"/>
        <v>0.84666666666666657</v>
      </c>
      <c r="Z128" s="11">
        <v>0.29169688451792047</v>
      </c>
      <c r="AA128" s="11">
        <v>0.18908037257710231</v>
      </c>
      <c r="AB128" s="10">
        <v>3</v>
      </c>
      <c r="AC128" s="10">
        <v>4</v>
      </c>
      <c r="AD128" s="10">
        <v>3</v>
      </c>
      <c r="AE128" s="10">
        <v>3</v>
      </c>
      <c r="AF128" s="10">
        <v>0</v>
      </c>
      <c r="AG128" s="9" t="s">
        <v>41</v>
      </c>
      <c r="AH128" s="9" t="s">
        <v>35</v>
      </c>
    </row>
    <row r="129" spans="1:34" x14ac:dyDescent="0.25">
      <c r="A129" s="9" t="s">
        <v>551</v>
      </c>
      <c r="B129" s="1" t="s">
        <v>412</v>
      </c>
      <c r="C129" s="10">
        <v>3</v>
      </c>
      <c r="D129" s="10">
        <v>2013</v>
      </c>
      <c r="E129" s="9" t="s">
        <v>28</v>
      </c>
      <c r="F129" s="9" t="s">
        <v>54</v>
      </c>
      <c r="G129" s="1">
        <v>14.6</v>
      </c>
      <c r="H129" s="1">
        <v>4.2</v>
      </c>
      <c r="I129" s="9" t="s">
        <v>30</v>
      </c>
      <c r="J129" s="1">
        <v>0.49</v>
      </c>
      <c r="K129" s="10">
        <v>108</v>
      </c>
      <c r="L129" s="3">
        <v>0.23</v>
      </c>
      <c r="M129" s="11">
        <v>8.3831627102803757E-3</v>
      </c>
      <c r="N129">
        <v>696</v>
      </c>
      <c r="O129" s="11">
        <v>0.2341894667593668</v>
      </c>
      <c r="P129" s="11">
        <v>9.5238095238095247E-3</v>
      </c>
      <c r="Q129" s="11">
        <v>0.23104855606280961</v>
      </c>
      <c r="R129" s="11">
        <v>8.3746067349775924E-3</v>
      </c>
      <c r="S129" s="9" t="s">
        <v>40</v>
      </c>
      <c r="T129" s="9" t="s">
        <v>50</v>
      </c>
      <c r="U129" s="9" t="s">
        <v>33</v>
      </c>
      <c r="V129" s="9" t="s">
        <v>964</v>
      </c>
      <c r="W129" s="1">
        <v>17.899999999999999</v>
      </c>
      <c r="X129" s="1">
        <v>15</v>
      </c>
      <c r="Y129" s="3">
        <f t="shared" si="3"/>
        <v>1.1933333333333331</v>
      </c>
      <c r="Z129" s="11">
        <v>0.19427363045087731</v>
      </c>
      <c r="AA129" s="11">
        <v>8.1119747394579278E-2</v>
      </c>
      <c r="AB129" s="10">
        <v>3</v>
      </c>
      <c r="AC129" s="10">
        <v>4</v>
      </c>
      <c r="AD129" s="10">
        <v>3</v>
      </c>
      <c r="AE129" s="10">
        <v>3</v>
      </c>
      <c r="AF129" s="10">
        <v>0</v>
      </c>
      <c r="AG129" s="9" t="s">
        <v>41</v>
      </c>
      <c r="AH129" s="9" t="s">
        <v>35</v>
      </c>
    </row>
    <row r="130" spans="1:34" x14ac:dyDescent="0.25">
      <c r="A130" s="9" t="s">
        <v>552</v>
      </c>
      <c r="B130" s="1" t="s">
        <v>413</v>
      </c>
      <c r="C130" s="10">
        <v>3</v>
      </c>
      <c r="D130" s="10">
        <v>2014</v>
      </c>
      <c r="E130" s="9" t="s">
        <v>38</v>
      </c>
      <c r="F130" s="9" t="s">
        <v>29</v>
      </c>
      <c r="G130" s="1">
        <v>20.3</v>
      </c>
      <c r="H130" s="1">
        <v>0.77</v>
      </c>
      <c r="I130" s="9" t="s">
        <v>30</v>
      </c>
      <c r="J130" s="1">
        <v>0.42</v>
      </c>
      <c r="K130" s="10">
        <v>60</v>
      </c>
      <c r="L130" s="3">
        <v>0.36099999999999999</v>
      </c>
      <c r="M130" s="11">
        <v>1.2819348526118639E-2</v>
      </c>
      <c r="N130">
        <v>585</v>
      </c>
      <c r="O130" s="11">
        <v>0.37803527413696558</v>
      </c>
      <c r="P130" s="11">
        <v>1.754385964912281E-2</v>
      </c>
      <c r="Q130" s="11">
        <v>0.36380040910108108</v>
      </c>
      <c r="R130" s="11">
        <v>1.275958038026233E-2</v>
      </c>
      <c r="S130" s="9" t="s">
        <v>40</v>
      </c>
      <c r="T130" s="9" t="s">
        <v>46</v>
      </c>
      <c r="U130" s="9" t="s">
        <v>33</v>
      </c>
      <c r="V130" s="9" t="s">
        <v>247</v>
      </c>
      <c r="W130" s="1">
        <v>11.62</v>
      </c>
      <c r="X130" s="1">
        <v>15</v>
      </c>
      <c r="Y130" s="3">
        <f t="shared" si="3"/>
        <v>0.77466666666666661</v>
      </c>
      <c r="Z130" s="11">
        <v>0.44700177017243742</v>
      </c>
      <c r="AA130" s="11">
        <v>0.1395087206677556</v>
      </c>
      <c r="AB130" s="10">
        <v>4</v>
      </c>
      <c r="AC130" s="10">
        <v>4</v>
      </c>
      <c r="AD130" s="10">
        <v>4</v>
      </c>
      <c r="AE130" s="10">
        <v>4</v>
      </c>
      <c r="AF130" s="10">
        <v>0</v>
      </c>
      <c r="AG130" s="9" t="s">
        <v>41</v>
      </c>
      <c r="AH130" s="9" t="s">
        <v>35</v>
      </c>
    </row>
    <row r="131" spans="1:34" x14ac:dyDescent="0.25">
      <c r="A131" s="9" t="s">
        <v>552</v>
      </c>
      <c r="B131" s="1" t="s">
        <v>414</v>
      </c>
      <c r="C131" s="10">
        <v>3</v>
      </c>
      <c r="D131" s="10">
        <v>2014</v>
      </c>
      <c r="E131" s="9" t="s">
        <v>28</v>
      </c>
      <c r="F131" s="9" t="s">
        <v>29</v>
      </c>
      <c r="G131" s="1">
        <v>20.100000000000001</v>
      </c>
      <c r="H131" s="1">
        <v>0.99</v>
      </c>
      <c r="I131" s="9" t="s">
        <v>30</v>
      </c>
      <c r="J131" s="1">
        <v>0.41</v>
      </c>
      <c r="K131" s="10">
        <v>43</v>
      </c>
      <c r="L131" s="3">
        <v>0.55500000000000005</v>
      </c>
      <c r="M131" s="11">
        <v>1.140070001488095E-2</v>
      </c>
      <c r="N131">
        <v>584</v>
      </c>
      <c r="O131" s="11">
        <v>0.62557827122354726</v>
      </c>
      <c r="P131" s="11">
        <v>2.5000000000000001E-2</v>
      </c>
      <c r="Q131" s="11">
        <v>0.55986504452270769</v>
      </c>
      <c r="R131" s="11">
        <v>1.1222677541495521E-2</v>
      </c>
      <c r="S131" s="9" t="s">
        <v>40</v>
      </c>
      <c r="T131" s="9" t="s">
        <v>46</v>
      </c>
      <c r="U131" s="9" t="s">
        <v>33</v>
      </c>
      <c r="V131" s="9" t="s">
        <v>247</v>
      </c>
      <c r="W131" s="1">
        <v>13.14</v>
      </c>
      <c r="X131" s="1">
        <v>15</v>
      </c>
      <c r="Y131" s="3">
        <f t="shared" si="3"/>
        <v>0.876</v>
      </c>
      <c r="Z131" s="11">
        <v>0.60590458147979021</v>
      </c>
      <c r="AA131" s="11">
        <v>0.12971650712472491</v>
      </c>
      <c r="AB131" s="10">
        <v>4</v>
      </c>
      <c r="AC131" s="10">
        <v>4</v>
      </c>
      <c r="AD131" s="10">
        <v>4</v>
      </c>
      <c r="AE131" s="10">
        <v>4</v>
      </c>
      <c r="AF131" s="10">
        <v>2</v>
      </c>
      <c r="AG131" s="9" t="s">
        <v>41</v>
      </c>
      <c r="AH131" s="9" t="s">
        <v>35</v>
      </c>
    </row>
    <row r="132" spans="1:34" x14ac:dyDescent="0.25">
      <c r="A132" s="9" t="s">
        <v>553</v>
      </c>
      <c r="B132" s="1" t="s">
        <v>415</v>
      </c>
      <c r="C132" s="10">
        <v>3</v>
      </c>
      <c r="D132" s="10">
        <v>2014</v>
      </c>
      <c r="E132" s="9" t="s">
        <v>28</v>
      </c>
      <c r="F132" s="9" t="s">
        <v>54</v>
      </c>
      <c r="G132" s="1">
        <v>10.17</v>
      </c>
      <c r="H132" s="1">
        <v>0.8</v>
      </c>
      <c r="I132" s="9" t="s">
        <v>30</v>
      </c>
      <c r="J132" s="1">
        <v>0.34799999999999998</v>
      </c>
      <c r="K132" s="10">
        <v>21</v>
      </c>
      <c r="L132" s="3">
        <v>0</v>
      </c>
      <c r="M132" s="11">
        <v>0.05</v>
      </c>
      <c r="N132">
        <v>575</v>
      </c>
      <c r="O132" s="11">
        <v>0</v>
      </c>
      <c r="P132" s="11">
        <v>5.5555555555555552E-2</v>
      </c>
      <c r="Q132" s="11">
        <v>0</v>
      </c>
      <c r="R132" s="11">
        <v>0.05</v>
      </c>
      <c r="S132" s="9" t="s">
        <v>40</v>
      </c>
      <c r="T132" s="9" t="s">
        <v>50</v>
      </c>
      <c r="U132" s="9" t="s">
        <v>33</v>
      </c>
      <c r="V132" s="9" t="s">
        <v>264</v>
      </c>
      <c r="W132" s="1">
        <v>19.8</v>
      </c>
      <c r="X132" s="1">
        <v>15</v>
      </c>
      <c r="Y132" s="3">
        <f t="shared" si="3"/>
        <v>1.32</v>
      </c>
      <c r="Z132" s="11">
        <v>0</v>
      </c>
      <c r="AA132" s="11" t="s">
        <v>31</v>
      </c>
      <c r="AB132" s="10">
        <v>4</v>
      </c>
      <c r="AC132" s="10">
        <v>4</v>
      </c>
      <c r="AD132" s="10">
        <v>4</v>
      </c>
      <c r="AE132" s="10">
        <v>4</v>
      </c>
      <c r="AF132" s="10">
        <v>3</v>
      </c>
      <c r="AG132" s="9" t="s">
        <v>34</v>
      </c>
      <c r="AH132" s="9" t="s">
        <v>35</v>
      </c>
    </row>
    <row r="133" spans="1:34" x14ac:dyDescent="0.25">
      <c r="A133" s="9" t="s">
        <v>554</v>
      </c>
      <c r="B133" s="1" t="s">
        <v>416</v>
      </c>
      <c r="C133" s="10">
        <v>3</v>
      </c>
      <c r="D133" s="10">
        <v>2014</v>
      </c>
      <c r="E133" s="9" t="s">
        <v>38</v>
      </c>
      <c r="F133" s="9" t="s">
        <v>54</v>
      </c>
      <c r="G133" s="1">
        <v>11.7</v>
      </c>
      <c r="H133" s="1">
        <v>3.7</v>
      </c>
      <c r="I133" s="9" t="s">
        <v>30</v>
      </c>
      <c r="J133" s="1">
        <v>0.41699999999999998</v>
      </c>
      <c r="K133" s="10">
        <v>102</v>
      </c>
      <c r="L133" s="3">
        <v>0.185</v>
      </c>
      <c r="M133" s="11">
        <v>9.2348648576732681E-3</v>
      </c>
      <c r="N133">
        <v>21</v>
      </c>
      <c r="O133" s="11">
        <v>0.1871549701641845</v>
      </c>
      <c r="P133" s="11">
        <v>1.01010101010101E-2</v>
      </c>
      <c r="Q133" s="11">
        <v>0.18591315426045779</v>
      </c>
      <c r="R133" s="11">
        <v>9.2283885897785217E-3</v>
      </c>
      <c r="S133" s="9" t="s">
        <v>40</v>
      </c>
      <c r="T133" s="9" t="s">
        <v>50</v>
      </c>
      <c r="U133" s="9" t="s">
        <v>33</v>
      </c>
      <c r="V133" s="9" t="s">
        <v>265</v>
      </c>
      <c r="W133" s="1">
        <v>13.59</v>
      </c>
      <c r="X133" s="1">
        <v>15</v>
      </c>
      <c r="Y133" s="3">
        <f t="shared" si="3"/>
        <v>0.90600000000000003</v>
      </c>
      <c r="Z133" s="11">
        <v>0.2034358114440579</v>
      </c>
      <c r="AA133" s="11">
        <v>0.10726583215120131</v>
      </c>
      <c r="AB133" s="10">
        <v>3</v>
      </c>
      <c r="AC133" s="10">
        <v>3</v>
      </c>
      <c r="AD133" s="10">
        <v>3</v>
      </c>
      <c r="AE133" s="10">
        <v>3</v>
      </c>
      <c r="AF133" s="10">
        <v>6</v>
      </c>
      <c r="AG133" s="9" t="s">
        <v>34</v>
      </c>
      <c r="AH133" s="9" t="s">
        <v>35</v>
      </c>
    </row>
    <row r="134" spans="1:34" x14ac:dyDescent="0.25">
      <c r="A134" s="9" t="s">
        <v>555</v>
      </c>
      <c r="B134" s="1" t="s">
        <v>417</v>
      </c>
      <c r="C134" s="10">
        <v>3</v>
      </c>
      <c r="D134" s="10">
        <v>2014</v>
      </c>
      <c r="E134" s="9" t="s">
        <v>38</v>
      </c>
      <c r="F134" s="9" t="s">
        <v>54</v>
      </c>
      <c r="G134" s="1">
        <v>11.6</v>
      </c>
      <c r="H134" s="1">
        <v>3.6</v>
      </c>
      <c r="I134" s="9" t="s">
        <v>43</v>
      </c>
      <c r="J134" s="1">
        <v>1</v>
      </c>
      <c r="K134" s="10">
        <v>142</v>
      </c>
      <c r="L134" s="3">
        <v>0.23</v>
      </c>
      <c r="M134" s="11">
        <v>6.3616908510638311E-3</v>
      </c>
      <c r="N134">
        <v>57</v>
      </c>
      <c r="O134" s="11">
        <v>0.2341894667593668</v>
      </c>
      <c r="P134" s="11">
        <v>7.1942446043165471E-3</v>
      </c>
      <c r="Q134" s="11">
        <v>0.23078998333024711</v>
      </c>
      <c r="R134" s="11">
        <v>6.3568015789539139E-3</v>
      </c>
      <c r="S134" s="9" t="s">
        <v>40</v>
      </c>
      <c r="T134" s="9" t="s">
        <v>50</v>
      </c>
      <c r="U134" s="9" t="s">
        <v>33</v>
      </c>
      <c r="V134" s="9" t="s">
        <v>266</v>
      </c>
      <c r="W134" s="1">
        <v>12.8</v>
      </c>
      <c r="X134" s="1">
        <v>15</v>
      </c>
      <c r="Y134" s="3">
        <f t="shared" si="3"/>
        <v>0.85333333333333339</v>
      </c>
      <c r="Z134" s="11">
        <v>0.26690879652476762</v>
      </c>
      <c r="AA134" s="11">
        <v>9.3600134941971808E-2</v>
      </c>
      <c r="AB134" s="10">
        <v>3</v>
      </c>
      <c r="AC134" s="10">
        <v>3</v>
      </c>
      <c r="AD134" s="10">
        <v>3</v>
      </c>
      <c r="AE134" s="10">
        <v>3</v>
      </c>
      <c r="AF134" s="10">
        <v>0</v>
      </c>
      <c r="AG134" s="9" t="s">
        <v>41</v>
      </c>
      <c r="AH134" s="9" t="s">
        <v>35</v>
      </c>
    </row>
    <row r="135" spans="1:34" x14ac:dyDescent="0.25">
      <c r="A135" s="9" t="s">
        <v>555</v>
      </c>
      <c r="B135" s="1" t="s">
        <v>418</v>
      </c>
      <c r="C135" s="10">
        <v>3</v>
      </c>
      <c r="D135" s="10">
        <v>2014</v>
      </c>
      <c r="E135" s="9" t="s">
        <v>38</v>
      </c>
      <c r="F135" s="9" t="s">
        <v>54</v>
      </c>
      <c r="G135" s="1">
        <v>11.3</v>
      </c>
      <c r="H135" s="1">
        <v>3.5</v>
      </c>
      <c r="I135" s="9" t="s">
        <v>39</v>
      </c>
      <c r="J135" s="1">
        <v>0</v>
      </c>
      <c r="K135" s="10">
        <v>161</v>
      </c>
      <c r="L135" s="3">
        <v>0.216</v>
      </c>
      <c r="M135" s="11">
        <v>5.6804048895999996E-3</v>
      </c>
      <c r="N135">
        <v>57</v>
      </c>
      <c r="O135" s="11">
        <v>0.21945652108785221</v>
      </c>
      <c r="P135" s="11">
        <v>6.3291139240506328E-3</v>
      </c>
      <c r="Q135" s="11">
        <v>0.2166563999213422</v>
      </c>
      <c r="R135" s="11">
        <v>5.6770210745981133E-3</v>
      </c>
      <c r="S135" s="9" t="s">
        <v>40</v>
      </c>
      <c r="T135" s="9" t="s">
        <v>50</v>
      </c>
      <c r="U135" s="9" t="s">
        <v>33</v>
      </c>
      <c r="V135" s="9" t="s">
        <v>266</v>
      </c>
      <c r="W135" s="1">
        <v>12</v>
      </c>
      <c r="X135" s="1">
        <v>15</v>
      </c>
      <c r="Y135" s="3">
        <f t="shared" si="3"/>
        <v>0.8</v>
      </c>
      <c r="Z135" s="11">
        <v>0.26652530478282382</v>
      </c>
      <c r="AA135" s="11">
        <v>9.310228139700949E-2</v>
      </c>
      <c r="AB135" s="10">
        <v>3</v>
      </c>
      <c r="AC135" s="10">
        <v>3</v>
      </c>
      <c r="AD135" s="10">
        <v>3</v>
      </c>
      <c r="AE135" s="10">
        <v>3</v>
      </c>
      <c r="AF135" s="10">
        <v>0</v>
      </c>
      <c r="AG135" s="9" t="s">
        <v>41</v>
      </c>
      <c r="AH135" s="9" t="s">
        <v>35</v>
      </c>
    </row>
    <row r="136" spans="1:34" x14ac:dyDescent="0.25">
      <c r="A136" s="9" t="s">
        <v>556</v>
      </c>
      <c r="B136" s="1" t="s">
        <v>419</v>
      </c>
      <c r="C136" s="10">
        <v>3</v>
      </c>
      <c r="D136" s="10">
        <v>2014</v>
      </c>
      <c r="E136" s="9" t="s">
        <v>28</v>
      </c>
      <c r="F136" s="9" t="s">
        <v>54</v>
      </c>
      <c r="G136" s="1">
        <v>13</v>
      </c>
      <c r="H136" s="1" t="s">
        <v>31</v>
      </c>
      <c r="I136" s="9" t="s">
        <v>43</v>
      </c>
      <c r="J136" s="1">
        <v>1</v>
      </c>
      <c r="K136" s="10">
        <v>10</v>
      </c>
      <c r="L136" s="3">
        <v>0.59399999999999997</v>
      </c>
      <c r="M136" s="11">
        <v>4.6535693655111121E-2</v>
      </c>
      <c r="N136">
        <v>230</v>
      </c>
      <c r="O136" s="11">
        <v>0.68382434987421381</v>
      </c>
      <c r="P136" s="11">
        <v>0.1428571428571429</v>
      </c>
      <c r="Q136" s="11">
        <v>0.62265053962558758</v>
      </c>
      <c r="R136" s="11">
        <v>4.1657667973323827E-2</v>
      </c>
      <c r="S136" s="9" t="s">
        <v>40</v>
      </c>
      <c r="T136" s="9" t="s">
        <v>46</v>
      </c>
      <c r="U136" s="9" t="s">
        <v>33</v>
      </c>
      <c r="V136" s="9" t="s">
        <v>965</v>
      </c>
      <c r="W136" s="1" t="s">
        <v>31</v>
      </c>
      <c r="X136" s="1" t="s">
        <v>31</v>
      </c>
      <c r="Y136" s="3" t="s">
        <v>31</v>
      </c>
      <c r="Z136" s="11" t="s">
        <v>31</v>
      </c>
      <c r="AA136" s="11" t="s">
        <v>31</v>
      </c>
      <c r="AB136" s="10">
        <v>3</v>
      </c>
      <c r="AC136" s="10">
        <v>3</v>
      </c>
      <c r="AD136" s="10">
        <v>3</v>
      </c>
      <c r="AE136" s="10">
        <v>3</v>
      </c>
      <c r="AF136" s="10">
        <v>1</v>
      </c>
      <c r="AG136" s="9" t="s">
        <v>41</v>
      </c>
      <c r="AH136" s="9" t="s">
        <v>35</v>
      </c>
    </row>
    <row r="137" spans="1:34" x14ac:dyDescent="0.25">
      <c r="A137" s="9" t="s">
        <v>556</v>
      </c>
      <c r="B137" s="1" t="s">
        <v>420</v>
      </c>
      <c r="C137" s="10">
        <v>3</v>
      </c>
      <c r="D137" s="10">
        <v>2014</v>
      </c>
      <c r="E137" s="9" t="s">
        <v>28</v>
      </c>
      <c r="F137" s="9" t="s">
        <v>54</v>
      </c>
      <c r="G137" s="1">
        <v>13</v>
      </c>
      <c r="H137" s="1" t="s">
        <v>31</v>
      </c>
      <c r="I137" s="9" t="s">
        <v>39</v>
      </c>
      <c r="J137" s="1">
        <v>0</v>
      </c>
      <c r="K137" s="10">
        <v>16</v>
      </c>
      <c r="L137" s="3">
        <v>0.62</v>
      </c>
      <c r="M137" s="11">
        <v>2.5264223999999998E-2</v>
      </c>
      <c r="N137">
        <v>230</v>
      </c>
      <c r="O137" s="11">
        <v>0.72500508775299921</v>
      </c>
      <c r="P137" s="11">
        <v>7.6923076923076927E-2</v>
      </c>
      <c r="Q137" s="11">
        <v>0.63502085301130895</v>
      </c>
      <c r="R137" s="11">
        <v>2.3740586109038921E-2</v>
      </c>
      <c r="S137" s="9" t="s">
        <v>40</v>
      </c>
      <c r="T137" s="9" t="s">
        <v>46</v>
      </c>
      <c r="U137" s="9" t="s">
        <v>33</v>
      </c>
      <c r="V137" s="9" t="s">
        <v>965</v>
      </c>
      <c r="W137" s="1" t="s">
        <v>31</v>
      </c>
      <c r="X137" s="1" t="s">
        <v>31</v>
      </c>
      <c r="Y137" s="3" t="s">
        <v>31</v>
      </c>
      <c r="Z137" s="11" t="s">
        <v>31</v>
      </c>
      <c r="AA137" s="11" t="s">
        <v>31</v>
      </c>
      <c r="AB137" s="10">
        <v>3</v>
      </c>
      <c r="AC137" s="10">
        <v>3</v>
      </c>
      <c r="AD137" s="10">
        <v>3</v>
      </c>
      <c r="AE137" s="10">
        <v>3</v>
      </c>
      <c r="AF137" s="10">
        <v>1</v>
      </c>
      <c r="AG137" s="9" t="s">
        <v>41</v>
      </c>
      <c r="AH137" s="9" t="s">
        <v>35</v>
      </c>
    </row>
    <row r="138" spans="1:34" x14ac:dyDescent="0.25">
      <c r="A138" s="9" t="s">
        <v>557</v>
      </c>
      <c r="B138" s="1" t="s">
        <v>421</v>
      </c>
      <c r="C138" s="10">
        <v>3</v>
      </c>
      <c r="D138" s="10">
        <v>2014</v>
      </c>
      <c r="E138" s="9" t="s">
        <v>38</v>
      </c>
      <c r="F138" s="9" t="s">
        <v>29</v>
      </c>
      <c r="G138" s="1">
        <v>20.41</v>
      </c>
      <c r="H138" s="1">
        <v>0.89</v>
      </c>
      <c r="I138" s="9" t="s">
        <v>30</v>
      </c>
      <c r="J138" s="1">
        <v>0.41</v>
      </c>
      <c r="K138" s="10">
        <v>316</v>
      </c>
      <c r="L138" s="3">
        <v>0.1</v>
      </c>
      <c r="M138" s="11">
        <v>3.111428571428571E-3</v>
      </c>
      <c r="N138">
        <v>759</v>
      </c>
      <c r="O138" s="11">
        <v>0.10033534773107559</v>
      </c>
      <c r="P138" s="11">
        <v>3.1948881789137379E-3</v>
      </c>
      <c r="Q138" s="11">
        <v>0.1001587692425704</v>
      </c>
      <c r="R138" s="11">
        <v>3.1112288205671721E-3</v>
      </c>
      <c r="S138" s="9" t="s">
        <v>40</v>
      </c>
      <c r="T138" s="9" t="s">
        <v>46</v>
      </c>
      <c r="U138" s="9" t="s">
        <v>33</v>
      </c>
      <c r="V138" s="9" t="s">
        <v>966</v>
      </c>
      <c r="W138" s="1">
        <v>8.33</v>
      </c>
      <c r="X138" s="1">
        <v>15</v>
      </c>
      <c r="Y138" s="3">
        <f t="shared" ref="Y138:Y148" si="4">W138/X138</f>
        <v>0.55533333333333335</v>
      </c>
      <c r="Z138" s="11">
        <v>0.17808622535084481</v>
      </c>
      <c r="AA138" s="11">
        <v>9.7802790127761427E-2</v>
      </c>
      <c r="AB138" s="10">
        <v>3</v>
      </c>
      <c r="AC138" s="10">
        <v>3</v>
      </c>
      <c r="AD138" s="10">
        <v>3</v>
      </c>
      <c r="AE138" s="10">
        <v>3</v>
      </c>
      <c r="AF138" s="10">
        <v>0</v>
      </c>
      <c r="AG138" s="9" t="s">
        <v>34</v>
      </c>
      <c r="AH138" s="9" t="s">
        <v>35</v>
      </c>
    </row>
    <row r="139" spans="1:34" x14ac:dyDescent="0.25">
      <c r="A139" s="9" t="s">
        <v>558</v>
      </c>
      <c r="B139" s="1" t="s">
        <v>422</v>
      </c>
      <c r="C139" s="10">
        <v>3</v>
      </c>
      <c r="D139" s="10">
        <v>2015</v>
      </c>
      <c r="E139" s="9" t="s">
        <v>38</v>
      </c>
      <c r="F139" s="9" t="s">
        <v>54</v>
      </c>
      <c r="G139" s="1">
        <v>8</v>
      </c>
      <c r="H139" s="1">
        <v>0.9</v>
      </c>
      <c r="I139" s="9" t="s">
        <v>30</v>
      </c>
      <c r="J139" s="1">
        <v>0.54</v>
      </c>
      <c r="K139" s="10">
        <v>10</v>
      </c>
      <c r="L139" s="3">
        <v>0.69</v>
      </c>
      <c r="M139" s="11">
        <v>3.049680111111111E-2</v>
      </c>
      <c r="N139">
        <v>8</v>
      </c>
      <c r="O139" s="11">
        <v>0.84795575521896349</v>
      </c>
      <c r="P139" s="11">
        <v>0.1428571428571429</v>
      </c>
      <c r="Q139" s="11">
        <v>0.71589417830042656</v>
      </c>
      <c r="R139" s="11">
        <v>2.6405765262076619E-2</v>
      </c>
      <c r="S139" s="9" t="s">
        <v>40</v>
      </c>
      <c r="T139" s="9" t="s">
        <v>50</v>
      </c>
      <c r="U139" s="9" t="s">
        <v>33</v>
      </c>
      <c r="V139" s="9" t="s">
        <v>967</v>
      </c>
      <c r="W139" s="1">
        <v>14</v>
      </c>
      <c r="X139" s="1">
        <v>15</v>
      </c>
      <c r="Y139" s="3">
        <f t="shared" si="4"/>
        <v>0.93333333333333335</v>
      </c>
      <c r="Z139" s="11">
        <v>0.71454645071207323</v>
      </c>
      <c r="AA139" s="11">
        <v>0.2475693553428909</v>
      </c>
      <c r="AB139" s="10">
        <v>4</v>
      </c>
      <c r="AC139" s="10">
        <v>4</v>
      </c>
      <c r="AD139" s="10">
        <v>4</v>
      </c>
      <c r="AE139" s="10">
        <v>4</v>
      </c>
      <c r="AF139" s="10">
        <v>0</v>
      </c>
      <c r="AG139" s="9" t="s">
        <v>41</v>
      </c>
      <c r="AH139" s="9" t="s">
        <v>263</v>
      </c>
    </row>
    <row r="140" spans="1:34" x14ac:dyDescent="0.25">
      <c r="A140" s="9" t="s">
        <v>558</v>
      </c>
      <c r="B140" s="1" t="s">
        <v>423</v>
      </c>
      <c r="C140" s="10">
        <v>3</v>
      </c>
      <c r="D140" s="10">
        <v>2015</v>
      </c>
      <c r="E140" s="9" t="s">
        <v>38</v>
      </c>
      <c r="F140" s="9" t="s">
        <v>54</v>
      </c>
      <c r="G140" s="1">
        <v>8.1999999999999993</v>
      </c>
      <c r="H140" s="1">
        <v>1</v>
      </c>
      <c r="I140" s="9" t="s">
        <v>30</v>
      </c>
      <c r="J140" s="1">
        <v>0.35799999999999998</v>
      </c>
      <c r="K140" s="10">
        <v>9</v>
      </c>
      <c r="L140" s="3">
        <v>0</v>
      </c>
      <c r="M140" s="11">
        <v>0.125</v>
      </c>
      <c r="N140">
        <v>9</v>
      </c>
      <c r="O140" s="11">
        <v>0</v>
      </c>
      <c r="P140" s="11">
        <v>0.16666666666666671</v>
      </c>
      <c r="Q140" s="11">
        <v>0</v>
      </c>
      <c r="R140" s="11">
        <v>0.125</v>
      </c>
      <c r="S140" s="9" t="s">
        <v>40</v>
      </c>
      <c r="T140" s="9" t="s">
        <v>50</v>
      </c>
      <c r="U140" s="9" t="s">
        <v>33</v>
      </c>
      <c r="V140" s="9" t="s">
        <v>967</v>
      </c>
      <c r="W140" s="1">
        <v>8</v>
      </c>
      <c r="X140" s="1">
        <v>15</v>
      </c>
      <c r="Y140" s="3">
        <f t="shared" si="4"/>
        <v>0.53333333333333333</v>
      </c>
      <c r="Z140" s="11">
        <v>0</v>
      </c>
      <c r="AA140" s="11" t="s">
        <v>31</v>
      </c>
      <c r="AB140" s="10">
        <v>4</v>
      </c>
      <c r="AC140" s="10">
        <v>4</v>
      </c>
      <c r="AD140" s="10">
        <v>4</v>
      </c>
      <c r="AE140" s="10">
        <v>4</v>
      </c>
      <c r="AF140" s="10">
        <v>0</v>
      </c>
      <c r="AG140" s="9" t="s">
        <v>41</v>
      </c>
      <c r="AH140" s="9" t="s">
        <v>263</v>
      </c>
    </row>
    <row r="141" spans="1:34" x14ac:dyDescent="0.25">
      <c r="A141" s="9" t="s">
        <v>558</v>
      </c>
      <c r="B141" s="1" t="s">
        <v>424</v>
      </c>
      <c r="C141" s="10">
        <v>3</v>
      </c>
      <c r="D141" s="10">
        <v>2015</v>
      </c>
      <c r="E141" s="9" t="s">
        <v>38</v>
      </c>
      <c r="F141" s="9" t="s">
        <v>54</v>
      </c>
      <c r="G141" s="1">
        <v>8.3000000000000007</v>
      </c>
      <c r="H141" s="1">
        <v>0.6</v>
      </c>
      <c r="I141" s="9" t="s">
        <v>30</v>
      </c>
      <c r="J141" s="1">
        <v>0.5</v>
      </c>
      <c r="K141" s="10">
        <v>21</v>
      </c>
      <c r="L141" s="3">
        <v>0</v>
      </c>
      <c r="M141" s="11">
        <v>0.05</v>
      </c>
      <c r="N141">
        <v>9</v>
      </c>
      <c r="O141" s="11">
        <v>0</v>
      </c>
      <c r="P141" s="11">
        <v>5.5555555555555552E-2</v>
      </c>
      <c r="Q141" s="11">
        <v>0</v>
      </c>
      <c r="R141" s="11">
        <v>0.05</v>
      </c>
      <c r="S141" s="9" t="s">
        <v>40</v>
      </c>
      <c r="T141" s="9" t="s">
        <v>50</v>
      </c>
      <c r="U141" s="9" t="s">
        <v>33</v>
      </c>
      <c r="V141" s="9" t="s">
        <v>272</v>
      </c>
      <c r="W141" s="1">
        <v>8.6</v>
      </c>
      <c r="X141" s="1">
        <v>15</v>
      </c>
      <c r="Y141" s="3">
        <f t="shared" si="4"/>
        <v>0.57333333333333336</v>
      </c>
      <c r="Z141" s="11">
        <v>0</v>
      </c>
      <c r="AA141" s="11" t="s">
        <v>31</v>
      </c>
      <c r="AB141" s="10">
        <v>4</v>
      </c>
      <c r="AC141" s="10">
        <v>4</v>
      </c>
      <c r="AD141" s="10">
        <v>4</v>
      </c>
      <c r="AE141" s="10">
        <v>4</v>
      </c>
      <c r="AF141" s="10">
        <v>0</v>
      </c>
      <c r="AG141" s="9" t="s">
        <v>41</v>
      </c>
      <c r="AH141" s="9" t="s">
        <v>263</v>
      </c>
    </row>
    <row r="142" spans="1:34" x14ac:dyDescent="0.25">
      <c r="A142" s="9" t="s">
        <v>559</v>
      </c>
      <c r="B142" s="1" t="s">
        <v>425</v>
      </c>
      <c r="C142" s="10">
        <v>3</v>
      </c>
      <c r="D142" s="10">
        <v>2015</v>
      </c>
      <c r="E142" s="9" t="s">
        <v>38</v>
      </c>
      <c r="F142" s="9" t="s">
        <v>29</v>
      </c>
      <c r="G142" s="1">
        <v>26.2</v>
      </c>
      <c r="H142" s="1">
        <v>5</v>
      </c>
      <c r="I142" s="9" t="s">
        <v>30</v>
      </c>
      <c r="J142" s="1">
        <v>0.51</v>
      </c>
      <c r="K142" s="10">
        <v>285</v>
      </c>
      <c r="L142" s="3">
        <v>0.28000000000000003</v>
      </c>
      <c r="M142" s="11">
        <v>2.99065690140845E-3</v>
      </c>
      <c r="N142">
        <v>1415</v>
      </c>
      <c r="O142" s="11">
        <v>0.28768207245178101</v>
      </c>
      <c r="P142" s="11">
        <v>3.5460992907801422E-3</v>
      </c>
      <c r="Q142" s="11">
        <v>0.28045927760985961</v>
      </c>
      <c r="R142" s="11">
        <v>2.988986530937621E-3</v>
      </c>
      <c r="S142" s="9" t="s">
        <v>40</v>
      </c>
      <c r="T142" s="9" t="s">
        <v>50</v>
      </c>
      <c r="U142" s="9" t="s">
        <v>33</v>
      </c>
      <c r="V142" s="9" t="s">
        <v>337</v>
      </c>
      <c r="W142" s="1">
        <v>15.62</v>
      </c>
      <c r="X142" s="1">
        <v>15</v>
      </c>
      <c r="Y142" s="3">
        <f t="shared" si="4"/>
        <v>1.0413333333333332</v>
      </c>
      <c r="Z142" s="11">
        <v>0.26970995721700558</v>
      </c>
      <c r="AA142" s="11">
        <v>5.5306274219719329E-2</v>
      </c>
      <c r="AB142" s="10">
        <v>3</v>
      </c>
      <c r="AC142" s="10">
        <v>3</v>
      </c>
      <c r="AD142" s="10">
        <v>3</v>
      </c>
      <c r="AE142" s="10">
        <v>3</v>
      </c>
      <c r="AF142" s="10">
        <v>2</v>
      </c>
      <c r="AG142" s="9" t="s">
        <v>34</v>
      </c>
      <c r="AH142" s="9" t="s">
        <v>35</v>
      </c>
    </row>
    <row r="143" spans="1:34" x14ac:dyDescent="0.25">
      <c r="A143" s="9" t="s">
        <v>559</v>
      </c>
      <c r="B143" s="1" t="s">
        <v>426</v>
      </c>
      <c r="C143" s="10">
        <v>3</v>
      </c>
      <c r="D143" s="10">
        <v>2015</v>
      </c>
      <c r="E143" s="9" t="s">
        <v>38</v>
      </c>
      <c r="F143" s="9" t="s">
        <v>29</v>
      </c>
      <c r="G143" s="1">
        <v>23.5</v>
      </c>
      <c r="H143" s="1">
        <v>5.0999999999999996</v>
      </c>
      <c r="I143" s="9" t="s">
        <v>43</v>
      </c>
      <c r="J143" s="1">
        <v>1</v>
      </c>
      <c r="K143" s="10">
        <v>107</v>
      </c>
      <c r="L143" s="3">
        <v>0.08</v>
      </c>
      <c r="M143" s="11">
        <v>9.3135939622641523E-3</v>
      </c>
      <c r="N143">
        <v>1415</v>
      </c>
      <c r="O143" s="11">
        <v>8.0171325037589738E-2</v>
      </c>
      <c r="P143" s="11">
        <v>9.6153846153846159E-3</v>
      </c>
      <c r="Q143" s="11">
        <v>8.038674089066411E-2</v>
      </c>
      <c r="R143" s="11">
        <v>9.3124311470307742E-3</v>
      </c>
      <c r="S143" s="9" t="s">
        <v>40</v>
      </c>
      <c r="T143" s="9" t="s">
        <v>50</v>
      </c>
      <c r="U143" s="9" t="s">
        <v>33</v>
      </c>
      <c r="V143" s="9" t="s">
        <v>337</v>
      </c>
      <c r="W143" s="1">
        <v>11.45</v>
      </c>
      <c r="X143" s="1">
        <v>15</v>
      </c>
      <c r="Y143" s="3">
        <f t="shared" si="4"/>
        <v>0.76333333333333331</v>
      </c>
      <c r="Z143" s="11">
        <v>0.1045641183947779</v>
      </c>
      <c r="AA143" s="11">
        <v>0.12656618120994201</v>
      </c>
      <c r="AB143" s="10">
        <v>3</v>
      </c>
      <c r="AC143" s="10">
        <v>3</v>
      </c>
      <c r="AD143" s="10">
        <v>3</v>
      </c>
      <c r="AE143" s="10">
        <v>3</v>
      </c>
      <c r="AF143" s="10">
        <v>2</v>
      </c>
      <c r="AG143" s="9" t="s">
        <v>34</v>
      </c>
      <c r="AH143" s="9" t="s">
        <v>35</v>
      </c>
    </row>
    <row r="144" spans="1:34" x14ac:dyDescent="0.25">
      <c r="A144" s="9" t="s">
        <v>559</v>
      </c>
      <c r="B144" s="1" t="s">
        <v>427</v>
      </c>
      <c r="C144" s="10">
        <v>3</v>
      </c>
      <c r="D144" s="10">
        <v>2015</v>
      </c>
      <c r="E144" s="9" t="s">
        <v>38</v>
      </c>
      <c r="F144" s="9" t="s">
        <v>29</v>
      </c>
      <c r="G144" s="1">
        <v>21.7</v>
      </c>
      <c r="H144" s="1">
        <v>2.9</v>
      </c>
      <c r="I144" s="9" t="s">
        <v>30</v>
      </c>
      <c r="J144" s="1">
        <v>0.54</v>
      </c>
      <c r="K144" s="10">
        <v>125</v>
      </c>
      <c r="L144" s="3">
        <v>0.04</v>
      </c>
      <c r="M144" s="11">
        <v>8.0387303225806436E-3</v>
      </c>
      <c r="N144">
        <v>1415</v>
      </c>
      <c r="O144" s="11">
        <v>4.0021353836768282E-2</v>
      </c>
      <c r="P144" s="11">
        <v>8.1967213114754103E-3</v>
      </c>
      <c r="Q144" s="11">
        <v>4.0165359331861453E-2</v>
      </c>
      <c r="R144" s="11">
        <v>8.0385168581830462E-3</v>
      </c>
      <c r="S144" s="9" t="s">
        <v>40</v>
      </c>
      <c r="T144" s="9" t="s">
        <v>50</v>
      </c>
      <c r="U144" s="9" t="s">
        <v>33</v>
      </c>
      <c r="V144" s="9" t="s">
        <v>266</v>
      </c>
      <c r="W144" s="1">
        <v>13.13</v>
      </c>
      <c r="X144" s="1">
        <v>15</v>
      </c>
      <c r="Y144" s="3">
        <f t="shared" si="4"/>
        <v>0.87533333333333341</v>
      </c>
      <c r="Z144" s="11">
        <v>4.5685726749797838E-2</v>
      </c>
      <c r="AA144" s="11">
        <v>0.1028509492170263</v>
      </c>
      <c r="AB144" s="10">
        <v>3</v>
      </c>
      <c r="AC144" s="10">
        <v>3</v>
      </c>
      <c r="AD144" s="10">
        <v>3</v>
      </c>
      <c r="AE144" s="10">
        <v>3</v>
      </c>
      <c r="AF144" s="10">
        <v>2</v>
      </c>
      <c r="AG144" s="9" t="s">
        <v>34</v>
      </c>
      <c r="AH144" s="9" t="s">
        <v>35</v>
      </c>
    </row>
    <row r="145" spans="1:34" x14ac:dyDescent="0.25">
      <c r="A145" s="9" t="s">
        <v>560</v>
      </c>
      <c r="B145" s="1" t="s">
        <v>406</v>
      </c>
      <c r="C145" s="10">
        <v>3</v>
      </c>
      <c r="D145" s="10">
        <v>2015</v>
      </c>
      <c r="E145" s="9" t="s">
        <v>38</v>
      </c>
      <c r="F145" s="9" t="s">
        <v>54</v>
      </c>
      <c r="G145" s="1">
        <v>17</v>
      </c>
      <c r="H145" s="1" t="s">
        <v>31</v>
      </c>
      <c r="I145" s="9" t="s">
        <v>30</v>
      </c>
      <c r="J145" s="1">
        <v>0.83</v>
      </c>
      <c r="K145" s="10">
        <v>366</v>
      </c>
      <c r="L145" s="3">
        <v>0.23</v>
      </c>
      <c r="M145" s="11">
        <v>2.4575298904109589E-3</v>
      </c>
      <c r="N145">
        <v>131</v>
      </c>
      <c r="O145" s="11">
        <v>0.2341894667593668</v>
      </c>
      <c r="P145" s="11">
        <v>2.754820936639119E-3</v>
      </c>
      <c r="Q145" s="11">
        <v>0.23030098230119389</v>
      </c>
      <c r="R145" s="11">
        <v>2.4568109646227769E-3</v>
      </c>
      <c r="S145" s="9" t="s">
        <v>40</v>
      </c>
      <c r="T145" s="9" t="s">
        <v>50</v>
      </c>
      <c r="U145" s="9" t="s">
        <v>33</v>
      </c>
      <c r="V145" s="9" t="s">
        <v>968</v>
      </c>
      <c r="W145" s="1">
        <v>12</v>
      </c>
      <c r="X145" s="1">
        <v>15</v>
      </c>
      <c r="Y145" s="3">
        <f t="shared" si="4"/>
        <v>0.8</v>
      </c>
      <c r="Z145" s="11">
        <v>0.28331569285392399</v>
      </c>
      <c r="AA145" s="11">
        <v>6.1017665064915703E-2</v>
      </c>
      <c r="AB145" s="10" t="s">
        <v>31</v>
      </c>
      <c r="AC145" s="10" t="s">
        <v>31</v>
      </c>
      <c r="AD145" s="10" t="s">
        <v>31</v>
      </c>
      <c r="AE145" s="10" t="s">
        <v>31</v>
      </c>
      <c r="AF145" s="10">
        <v>0</v>
      </c>
      <c r="AG145" s="9" t="s">
        <v>41</v>
      </c>
      <c r="AH145" s="9" t="s">
        <v>35</v>
      </c>
    </row>
    <row r="146" spans="1:34" x14ac:dyDescent="0.25">
      <c r="A146" s="9" t="s">
        <v>560</v>
      </c>
      <c r="B146" s="1" t="s">
        <v>428</v>
      </c>
      <c r="C146" s="10">
        <v>3</v>
      </c>
      <c r="D146" s="10">
        <v>2015</v>
      </c>
      <c r="E146" s="9" t="s">
        <v>28</v>
      </c>
      <c r="F146" s="9" t="s">
        <v>54</v>
      </c>
      <c r="G146" s="1">
        <v>16.600000000000001</v>
      </c>
      <c r="H146" s="1" t="s">
        <v>31</v>
      </c>
      <c r="I146" s="9" t="s">
        <v>30</v>
      </c>
      <c r="J146" s="1">
        <v>0.88</v>
      </c>
      <c r="K146" s="10">
        <v>328</v>
      </c>
      <c r="L146" s="3">
        <v>0.04</v>
      </c>
      <c r="M146" s="11">
        <v>3.0483258715596328E-3</v>
      </c>
      <c r="N146">
        <v>131</v>
      </c>
      <c r="O146" s="11">
        <v>4.0021353836768282E-2</v>
      </c>
      <c r="P146" s="11">
        <v>3.0769230769230769E-3</v>
      </c>
      <c r="Q146" s="11">
        <v>4.0061676420109542E-2</v>
      </c>
      <c r="R146" s="11">
        <v>3.0482957186255049E-3</v>
      </c>
      <c r="S146" s="9" t="s">
        <v>40</v>
      </c>
      <c r="T146" s="9" t="s">
        <v>50</v>
      </c>
      <c r="U146" s="9" t="s">
        <v>33</v>
      </c>
      <c r="V146" s="9" t="s">
        <v>968</v>
      </c>
      <c r="W146" s="1">
        <v>17</v>
      </c>
      <c r="X146" s="1">
        <v>15</v>
      </c>
      <c r="Y146" s="3">
        <f t="shared" si="4"/>
        <v>1.1333333333333333</v>
      </c>
      <c r="Z146" s="11">
        <v>3.5300372107890339E-2</v>
      </c>
      <c r="AA146" s="11">
        <v>4.8855862754492621E-2</v>
      </c>
      <c r="AB146" s="10" t="s">
        <v>31</v>
      </c>
      <c r="AC146" s="10" t="s">
        <v>31</v>
      </c>
      <c r="AD146" s="10" t="s">
        <v>31</v>
      </c>
      <c r="AE146" s="10" t="s">
        <v>31</v>
      </c>
      <c r="AF146" s="10">
        <v>0</v>
      </c>
      <c r="AG146" s="9" t="s">
        <v>41</v>
      </c>
      <c r="AH146" s="9" t="s">
        <v>35</v>
      </c>
    </row>
    <row r="147" spans="1:34" x14ac:dyDescent="0.25">
      <c r="A147" s="9" t="s">
        <v>562</v>
      </c>
      <c r="B147" s="1" t="s">
        <v>429</v>
      </c>
      <c r="C147" s="10">
        <v>3</v>
      </c>
      <c r="D147" s="10">
        <v>2015</v>
      </c>
      <c r="E147" s="9" t="s">
        <v>28</v>
      </c>
      <c r="F147" s="9" t="s">
        <v>54</v>
      </c>
      <c r="G147" s="1">
        <v>17.32</v>
      </c>
      <c r="H147" s="1">
        <v>1.18</v>
      </c>
      <c r="I147" s="9" t="s">
        <v>43</v>
      </c>
      <c r="J147" s="1">
        <v>1</v>
      </c>
      <c r="K147" s="10">
        <v>178</v>
      </c>
      <c r="L147" s="3">
        <v>0.19</v>
      </c>
      <c r="M147" s="11">
        <v>5.2491706779661017E-3</v>
      </c>
      <c r="N147">
        <v>207</v>
      </c>
      <c r="O147" s="11">
        <v>0.1923371692195453</v>
      </c>
      <c r="P147" s="11">
        <v>5.7142857142857143E-3</v>
      </c>
      <c r="Q147" s="11">
        <v>0.19052677241323879</v>
      </c>
      <c r="R147" s="11">
        <v>5.2469876877448678E-3</v>
      </c>
      <c r="S147" s="9" t="s">
        <v>40</v>
      </c>
      <c r="T147" s="9" t="s">
        <v>50</v>
      </c>
      <c r="U147" s="9" t="s">
        <v>33</v>
      </c>
      <c r="V147" s="9" t="s">
        <v>339</v>
      </c>
      <c r="W147" s="1">
        <v>12.06</v>
      </c>
      <c r="X147" s="1">
        <v>15</v>
      </c>
      <c r="Y147" s="3">
        <f t="shared" si="4"/>
        <v>0.80400000000000005</v>
      </c>
      <c r="Z147" s="11">
        <v>0.23401918576133079</v>
      </c>
      <c r="AA147" s="11">
        <v>8.938514370448937E-2</v>
      </c>
      <c r="AB147" s="10">
        <v>3</v>
      </c>
      <c r="AC147" s="10">
        <v>3</v>
      </c>
      <c r="AD147" s="10">
        <v>3</v>
      </c>
      <c r="AE147" s="10">
        <v>3</v>
      </c>
      <c r="AF147" s="10">
        <v>0</v>
      </c>
      <c r="AG147" s="9" t="s">
        <v>41</v>
      </c>
      <c r="AH147" s="9" t="s">
        <v>35</v>
      </c>
    </row>
    <row r="148" spans="1:34" x14ac:dyDescent="0.25">
      <c r="A148" s="9" t="s">
        <v>563</v>
      </c>
      <c r="B148" s="1" t="s">
        <v>430</v>
      </c>
      <c r="C148" s="10">
        <v>3</v>
      </c>
      <c r="D148" s="10">
        <v>2016</v>
      </c>
      <c r="E148" s="9" t="s">
        <v>28</v>
      </c>
      <c r="F148" s="9" t="s">
        <v>29</v>
      </c>
      <c r="G148" s="1">
        <v>25.1</v>
      </c>
      <c r="H148" s="1">
        <v>12.05</v>
      </c>
      <c r="I148" s="9" t="s">
        <v>30</v>
      </c>
      <c r="J148" s="1">
        <v>0.67</v>
      </c>
      <c r="K148" s="10">
        <v>30</v>
      </c>
      <c r="L148" s="3">
        <v>0.72599999999999998</v>
      </c>
      <c r="M148" s="11">
        <v>7.712314130206897E-3</v>
      </c>
      <c r="N148">
        <v>90</v>
      </c>
      <c r="O148" s="11">
        <v>0.92021688262765144</v>
      </c>
      <c r="P148" s="11">
        <v>3.7037037037037042E-2</v>
      </c>
      <c r="Q148" s="11">
        <v>0.73236325986495021</v>
      </c>
      <c r="R148" s="11">
        <v>7.4126141480413982E-3</v>
      </c>
      <c r="S148" s="9" t="s">
        <v>40</v>
      </c>
      <c r="T148" s="9" t="s">
        <v>46</v>
      </c>
      <c r="U148" s="9" t="s">
        <v>33</v>
      </c>
      <c r="V148" s="9" t="s">
        <v>344</v>
      </c>
      <c r="W148" s="1">
        <v>20.95</v>
      </c>
      <c r="X148" s="1">
        <v>15</v>
      </c>
      <c r="Y148" s="3">
        <f t="shared" si="4"/>
        <v>1.3966666666666667</v>
      </c>
      <c r="Z148" s="11">
        <v>0.60299370677561759</v>
      </c>
      <c r="AA148" s="11">
        <v>0.145254860828676</v>
      </c>
      <c r="AB148" s="10">
        <v>2</v>
      </c>
      <c r="AC148" s="10">
        <v>2</v>
      </c>
      <c r="AD148" s="10">
        <v>2</v>
      </c>
      <c r="AE148" s="10">
        <v>2</v>
      </c>
      <c r="AF148" s="10">
        <v>2</v>
      </c>
      <c r="AG148" s="9" t="s">
        <v>41</v>
      </c>
      <c r="AH148" s="9" t="s">
        <v>35</v>
      </c>
    </row>
    <row r="149" spans="1:34" x14ac:dyDescent="0.25">
      <c r="A149" s="9" t="s">
        <v>564</v>
      </c>
      <c r="B149" s="1" t="s">
        <v>431</v>
      </c>
      <c r="C149" s="10">
        <v>3</v>
      </c>
      <c r="D149" s="10">
        <v>2016</v>
      </c>
      <c r="E149" s="9" t="s">
        <v>38</v>
      </c>
      <c r="F149" s="9" t="s">
        <v>29</v>
      </c>
      <c r="G149" s="1">
        <v>32.69</v>
      </c>
      <c r="H149" s="1">
        <v>13.6</v>
      </c>
      <c r="I149" s="9" t="s">
        <v>30</v>
      </c>
      <c r="J149" s="1">
        <v>0.42</v>
      </c>
      <c r="K149" s="10">
        <v>164</v>
      </c>
      <c r="L149" s="3">
        <v>0.26</v>
      </c>
      <c r="M149" s="11">
        <v>5.333556809815951E-3</v>
      </c>
      <c r="N149">
        <v>1047</v>
      </c>
      <c r="O149" s="11">
        <v>0.26610840687365411</v>
      </c>
      <c r="P149" s="11">
        <v>6.2111801242236021E-3</v>
      </c>
      <c r="Q149" s="11">
        <v>0.2607580255117562</v>
      </c>
      <c r="R149" s="11">
        <v>5.3290416564427054E-3</v>
      </c>
      <c r="S149" s="9" t="s">
        <v>40</v>
      </c>
      <c r="T149" s="9" t="s">
        <v>50</v>
      </c>
      <c r="U149" s="9" t="s">
        <v>33</v>
      </c>
      <c r="V149" s="9" t="s">
        <v>341</v>
      </c>
      <c r="W149" s="1" t="s">
        <v>31</v>
      </c>
      <c r="X149" s="1" t="s">
        <v>31</v>
      </c>
      <c r="Y149" s="3" t="s">
        <v>31</v>
      </c>
      <c r="Z149" s="11" t="s">
        <v>31</v>
      </c>
      <c r="AA149" s="11" t="s">
        <v>31</v>
      </c>
      <c r="AB149" s="10">
        <v>3</v>
      </c>
      <c r="AC149" s="10">
        <v>3</v>
      </c>
      <c r="AD149" s="10">
        <v>3</v>
      </c>
      <c r="AE149" s="10">
        <v>3</v>
      </c>
      <c r="AF149" s="10">
        <v>0</v>
      </c>
      <c r="AG149" s="9" t="s">
        <v>41</v>
      </c>
      <c r="AH149" s="9" t="s">
        <v>35</v>
      </c>
    </row>
    <row r="150" spans="1:34" x14ac:dyDescent="0.25">
      <c r="A150" s="9" t="s">
        <v>565</v>
      </c>
      <c r="B150" s="1" t="s">
        <v>432</v>
      </c>
      <c r="C150" s="10">
        <v>3</v>
      </c>
      <c r="D150" s="10">
        <v>2016</v>
      </c>
      <c r="E150" s="9" t="s">
        <v>38</v>
      </c>
      <c r="F150" s="9" t="s">
        <v>54</v>
      </c>
      <c r="G150" s="1">
        <v>14.7</v>
      </c>
      <c r="H150" s="1">
        <v>3.3</v>
      </c>
      <c r="I150" s="9" t="s">
        <v>30</v>
      </c>
      <c r="J150" s="1">
        <v>0.56999999999999995</v>
      </c>
      <c r="K150" s="10">
        <v>662</v>
      </c>
      <c r="L150" s="3">
        <v>0.24099999999999999</v>
      </c>
      <c r="M150" s="11">
        <v>1.342226025054463E-3</v>
      </c>
      <c r="N150">
        <v>1302</v>
      </c>
      <c r="O150" s="11">
        <v>0.24583550390448869</v>
      </c>
      <c r="P150" s="11">
        <v>1.5174506828528069E-3</v>
      </c>
      <c r="Q150" s="11">
        <v>0.24117252540505019</v>
      </c>
      <c r="R150" s="11">
        <v>1.3419889540545601E-3</v>
      </c>
      <c r="S150" s="9" t="s">
        <v>40</v>
      </c>
      <c r="T150" s="9" t="s">
        <v>50</v>
      </c>
      <c r="U150" s="9" t="s">
        <v>33</v>
      </c>
      <c r="V150" s="9" t="s">
        <v>340</v>
      </c>
      <c r="W150" s="1" t="s">
        <v>31</v>
      </c>
      <c r="X150" s="1" t="s">
        <v>31</v>
      </c>
      <c r="Y150" s="3" t="s">
        <v>31</v>
      </c>
      <c r="Z150" s="11" t="s">
        <v>31</v>
      </c>
      <c r="AA150" s="11" t="s">
        <v>31</v>
      </c>
      <c r="AB150" s="10">
        <v>4</v>
      </c>
      <c r="AC150" s="10">
        <v>4</v>
      </c>
      <c r="AD150" s="10">
        <v>3</v>
      </c>
      <c r="AE150" s="10">
        <v>3</v>
      </c>
      <c r="AF150" s="10">
        <v>2</v>
      </c>
      <c r="AG150" s="9" t="s">
        <v>34</v>
      </c>
      <c r="AH150" s="9" t="s">
        <v>35</v>
      </c>
    </row>
    <row r="151" spans="1:34" x14ac:dyDescent="0.25">
      <c r="A151" s="9" t="s">
        <v>566</v>
      </c>
      <c r="B151" s="1" t="s">
        <v>433</v>
      </c>
      <c r="C151" s="10">
        <v>3</v>
      </c>
      <c r="D151" s="10">
        <v>2016</v>
      </c>
      <c r="E151" s="9" t="s">
        <v>28</v>
      </c>
      <c r="F151" s="9" t="s">
        <v>54</v>
      </c>
      <c r="G151" s="1">
        <v>7.5</v>
      </c>
      <c r="H151" s="1">
        <v>0.2</v>
      </c>
      <c r="I151" s="9" t="s">
        <v>30</v>
      </c>
      <c r="J151" s="1">
        <v>0.5</v>
      </c>
      <c r="K151" s="10">
        <v>134</v>
      </c>
      <c r="L151" s="3">
        <v>0.26</v>
      </c>
      <c r="M151" s="11">
        <v>6.5366147368421052E-3</v>
      </c>
      <c r="N151" t="s">
        <v>267</v>
      </c>
      <c r="O151" s="11">
        <v>0.26610840687365411</v>
      </c>
      <c r="P151" s="11">
        <v>7.6335877862595417E-3</v>
      </c>
      <c r="Q151" s="11">
        <v>0.26093307783612418</v>
      </c>
      <c r="R151" s="11">
        <v>6.5298012846691624E-3</v>
      </c>
      <c r="S151" s="9" t="s">
        <v>40</v>
      </c>
      <c r="T151" s="9" t="s">
        <v>46</v>
      </c>
      <c r="U151" s="9" t="s">
        <v>33</v>
      </c>
      <c r="V151" s="9" t="s">
        <v>266</v>
      </c>
      <c r="W151" s="1">
        <v>13.7</v>
      </c>
      <c r="X151" s="1">
        <v>15</v>
      </c>
      <c r="Y151" s="3">
        <f>W151/X151</f>
        <v>0.91333333333333333</v>
      </c>
      <c r="Z151" s="11">
        <v>0.28277790519715051</v>
      </c>
      <c r="AA151" s="11">
        <v>9.0196390436812726E-2</v>
      </c>
      <c r="AB151" s="10">
        <v>3</v>
      </c>
      <c r="AC151" s="10">
        <v>3</v>
      </c>
      <c r="AD151" s="10">
        <v>3</v>
      </c>
      <c r="AE151" s="10">
        <v>3</v>
      </c>
      <c r="AF151" s="10">
        <v>2</v>
      </c>
      <c r="AG151" s="9" t="s">
        <v>41</v>
      </c>
      <c r="AH151" s="9" t="s">
        <v>35</v>
      </c>
    </row>
    <row r="152" spans="1:34" x14ac:dyDescent="0.25">
      <c r="A152" s="9" t="s">
        <v>567</v>
      </c>
      <c r="B152" s="1" t="s">
        <v>434</v>
      </c>
      <c r="C152" s="10">
        <v>3</v>
      </c>
      <c r="D152" s="10">
        <v>2016</v>
      </c>
      <c r="E152" s="9" t="s">
        <v>38</v>
      </c>
      <c r="F152" s="9" t="s">
        <v>29</v>
      </c>
      <c r="G152" s="1">
        <v>21.15</v>
      </c>
      <c r="H152" s="1">
        <v>2.556</v>
      </c>
      <c r="I152" s="9" t="s">
        <v>30</v>
      </c>
      <c r="J152" s="1">
        <v>0.34</v>
      </c>
      <c r="K152" s="10">
        <v>71</v>
      </c>
      <c r="L152" s="3">
        <v>0.435</v>
      </c>
      <c r="M152" s="11">
        <v>9.3908014375000005E-3</v>
      </c>
      <c r="N152">
        <v>2612</v>
      </c>
      <c r="O152" s="11">
        <v>0.46604719852364029</v>
      </c>
      <c r="P152" s="11">
        <v>1.470588235294118E-2</v>
      </c>
      <c r="Q152" s="11">
        <v>0.43762462815810571</v>
      </c>
      <c r="R152" s="11">
        <v>9.3378212229117599E-3</v>
      </c>
      <c r="S152" s="9" t="s">
        <v>40</v>
      </c>
      <c r="T152" s="9" t="s">
        <v>31</v>
      </c>
      <c r="U152" s="9" t="s">
        <v>51</v>
      </c>
      <c r="V152" s="9" t="s">
        <v>342</v>
      </c>
      <c r="W152" s="1" t="s">
        <v>31</v>
      </c>
      <c r="X152" s="1" t="s">
        <v>31</v>
      </c>
      <c r="Y152" s="3" t="s">
        <v>31</v>
      </c>
      <c r="Z152" s="11" t="s">
        <v>31</v>
      </c>
      <c r="AA152" s="11" t="s">
        <v>31</v>
      </c>
      <c r="AB152" s="10">
        <v>3</v>
      </c>
      <c r="AC152" s="10">
        <v>3</v>
      </c>
      <c r="AD152" s="10">
        <v>3</v>
      </c>
      <c r="AE152" s="10">
        <v>3</v>
      </c>
      <c r="AF152" s="10">
        <v>0</v>
      </c>
      <c r="AG152" s="9" t="s">
        <v>34</v>
      </c>
      <c r="AH152" s="9" t="s">
        <v>35</v>
      </c>
    </row>
    <row r="153" spans="1:34" x14ac:dyDescent="0.25">
      <c r="A153" s="9" t="s">
        <v>909</v>
      </c>
      <c r="B153" s="1" t="s">
        <v>435</v>
      </c>
      <c r="C153" s="10">
        <v>3</v>
      </c>
      <c r="D153" s="10">
        <v>2016</v>
      </c>
      <c r="E153" s="9" t="s">
        <v>38</v>
      </c>
      <c r="F153" s="9" t="s">
        <v>29</v>
      </c>
      <c r="G153" s="1">
        <v>24.57</v>
      </c>
      <c r="H153" s="1" t="s">
        <v>31</v>
      </c>
      <c r="I153" s="9" t="s">
        <v>39</v>
      </c>
      <c r="J153" s="1">
        <v>0</v>
      </c>
      <c r="K153" s="10">
        <v>90</v>
      </c>
      <c r="L153" s="3">
        <v>0.14299999999999999</v>
      </c>
      <c r="M153" s="11">
        <v>1.078112541124719E-2</v>
      </c>
      <c r="N153">
        <v>208</v>
      </c>
      <c r="O153" s="11">
        <v>0.1439868725985155</v>
      </c>
      <c r="P153" s="11">
        <v>1.149425287356322E-2</v>
      </c>
      <c r="Q153" s="11">
        <v>0.14381630037384599</v>
      </c>
      <c r="R153" s="11">
        <v>1.07759723066056E-2</v>
      </c>
      <c r="S153" s="9" t="s">
        <v>40</v>
      </c>
      <c r="T153" s="9" t="s">
        <v>50</v>
      </c>
      <c r="U153" s="9" t="s">
        <v>51</v>
      </c>
      <c r="V153" s="9" t="s">
        <v>338</v>
      </c>
      <c r="W153" s="1" t="s">
        <v>31</v>
      </c>
      <c r="X153" s="1" t="s">
        <v>31</v>
      </c>
      <c r="Y153" s="3" t="s">
        <v>31</v>
      </c>
      <c r="Z153" s="11" t="s">
        <v>31</v>
      </c>
      <c r="AA153" s="11" t="s">
        <v>31</v>
      </c>
      <c r="AB153" s="10">
        <v>3</v>
      </c>
      <c r="AC153" s="10">
        <v>2</v>
      </c>
      <c r="AD153" s="10">
        <v>3</v>
      </c>
      <c r="AE153" s="10">
        <v>3</v>
      </c>
      <c r="AF153" s="10">
        <v>0</v>
      </c>
      <c r="AG153" s="9" t="s">
        <v>41</v>
      </c>
      <c r="AH153" s="9" t="s">
        <v>35</v>
      </c>
    </row>
    <row r="154" spans="1:34" x14ac:dyDescent="0.25">
      <c r="A154" s="9" t="s">
        <v>909</v>
      </c>
      <c r="B154" s="1" t="s">
        <v>436</v>
      </c>
      <c r="C154" s="10">
        <v>3</v>
      </c>
      <c r="D154" s="10">
        <v>2016</v>
      </c>
      <c r="E154" s="9" t="s">
        <v>38</v>
      </c>
      <c r="F154" s="9" t="s">
        <v>29</v>
      </c>
      <c r="G154" s="1">
        <v>24.07</v>
      </c>
      <c r="H154" s="1" t="s">
        <v>31</v>
      </c>
      <c r="I154" s="9" t="s">
        <v>43</v>
      </c>
      <c r="J154" s="1">
        <v>1</v>
      </c>
      <c r="K154" s="10">
        <v>121</v>
      </c>
      <c r="L154" s="3">
        <v>0.129</v>
      </c>
      <c r="M154" s="11">
        <v>8.0582910240083339E-3</v>
      </c>
      <c r="N154">
        <v>208</v>
      </c>
      <c r="O154" s="11">
        <v>0.12972279364857961</v>
      </c>
      <c r="P154" s="11">
        <v>8.4745762711864406E-3</v>
      </c>
      <c r="Q154" s="11">
        <v>0.1295430846461981</v>
      </c>
      <c r="R154" s="11">
        <v>8.0559899515704279E-3</v>
      </c>
      <c r="S154" s="9" t="s">
        <v>40</v>
      </c>
      <c r="T154" s="9" t="s">
        <v>50</v>
      </c>
      <c r="U154" s="9" t="s">
        <v>51</v>
      </c>
      <c r="V154" s="9" t="s">
        <v>338</v>
      </c>
      <c r="W154" s="1" t="s">
        <v>31</v>
      </c>
      <c r="X154" s="1" t="s">
        <v>31</v>
      </c>
      <c r="Y154" s="3" t="s">
        <v>31</v>
      </c>
      <c r="Z154" s="11" t="s">
        <v>31</v>
      </c>
      <c r="AA154" s="11" t="s">
        <v>31</v>
      </c>
      <c r="AB154" s="10">
        <v>3</v>
      </c>
      <c r="AC154" s="10">
        <v>2</v>
      </c>
      <c r="AD154" s="10">
        <v>3</v>
      </c>
      <c r="AE154" s="10">
        <v>3</v>
      </c>
      <c r="AF154" s="10">
        <v>0</v>
      </c>
      <c r="AG154" s="9" t="s">
        <v>41</v>
      </c>
      <c r="AH154" s="9" t="s">
        <v>35</v>
      </c>
    </row>
    <row r="155" spans="1:34" x14ac:dyDescent="0.25">
      <c r="A155" s="9" t="s">
        <v>568</v>
      </c>
      <c r="B155" s="1" t="s">
        <v>437</v>
      </c>
      <c r="C155" s="10">
        <v>3</v>
      </c>
      <c r="D155" s="10">
        <v>2016</v>
      </c>
      <c r="E155" s="9" t="s">
        <v>28</v>
      </c>
      <c r="F155" s="9" t="s">
        <v>54</v>
      </c>
      <c r="G155" s="1">
        <v>12.5</v>
      </c>
      <c r="H155" s="1">
        <v>3.3</v>
      </c>
      <c r="I155" s="9" t="s">
        <v>30</v>
      </c>
      <c r="J155" s="1">
        <v>0.53</v>
      </c>
      <c r="K155" s="10">
        <v>50</v>
      </c>
      <c r="L155" s="3">
        <v>0.21</v>
      </c>
      <c r="M155" s="11">
        <v>1.864785326530612E-2</v>
      </c>
      <c r="N155">
        <v>6</v>
      </c>
      <c r="O155" s="11">
        <v>0.21317134656485981</v>
      </c>
      <c r="P155" s="11">
        <v>2.1276595744680851E-2</v>
      </c>
      <c r="Q155" s="11">
        <v>0.21218873910981911</v>
      </c>
      <c r="R155" s="11">
        <v>1.8611817225701089E-2</v>
      </c>
      <c r="S155" s="9" t="s">
        <v>40</v>
      </c>
      <c r="T155" s="9" t="s">
        <v>50</v>
      </c>
      <c r="U155" s="9" t="s">
        <v>33</v>
      </c>
      <c r="V155" s="9" t="s">
        <v>343</v>
      </c>
      <c r="W155" s="1">
        <v>17</v>
      </c>
      <c r="X155" s="1">
        <v>15</v>
      </c>
      <c r="Y155" s="3">
        <f>W155/X155</f>
        <v>1.1333333333333333</v>
      </c>
      <c r="Z155" s="11">
        <v>0.18620559882400381</v>
      </c>
      <c r="AA155" s="11">
        <v>0.12636338702196029</v>
      </c>
      <c r="AB155" s="10">
        <v>3</v>
      </c>
      <c r="AC155" s="10">
        <v>3</v>
      </c>
      <c r="AD155" s="10">
        <v>3</v>
      </c>
      <c r="AE155" s="10">
        <v>3</v>
      </c>
      <c r="AF155" s="10">
        <v>1</v>
      </c>
      <c r="AG155" s="9" t="s">
        <v>41</v>
      </c>
      <c r="AH155" s="9" t="s">
        <v>35</v>
      </c>
    </row>
    <row r="156" spans="1:34" x14ac:dyDescent="0.25">
      <c r="A156" s="9" t="s">
        <v>568</v>
      </c>
      <c r="B156" s="1" t="s">
        <v>438</v>
      </c>
      <c r="C156" s="10">
        <v>3</v>
      </c>
      <c r="D156" s="10">
        <v>2016</v>
      </c>
      <c r="E156" s="9" t="s">
        <v>38</v>
      </c>
      <c r="F156" s="9" t="s">
        <v>54</v>
      </c>
      <c r="G156" s="1">
        <v>11.9</v>
      </c>
      <c r="H156" s="1">
        <v>3.4</v>
      </c>
      <c r="I156" s="9" t="s">
        <v>30</v>
      </c>
      <c r="J156" s="1">
        <v>0.48</v>
      </c>
      <c r="K156" s="10">
        <v>66</v>
      </c>
      <c r="L156" s="3">
        <v>0.09</v>
      </c>
      <c r="M156" s="11">
        <v>1.5136393999999999E-2</v>
      </c>
      <c r="N156">
        <v>6</v>
      </c>
      <c r="O156" s="11">
        <v>9.024418785614681E-2</v>
      </c>
      <c r="P156" s="11">
        <v>1.5873015873015869E-2</v>
      </c>
      <c r="Q156" s="11">
        <v>9.0722586994915907E-2</v>
      </c>
      <c r="R156" s="11">
        <v>1.5132408722973631E-2</v>
      </c>
      <c r="S156" s="9" t="s">
        <v>40</v>
      </c>
      <c r="T156" s="9" t="s">
        <v>50</v>
      </c>
      <c r="U156" s="9" t="s">
        <v>33</v>
      </c>
      <c r="V156" s="9" t="s">
        <v>343</v>
      </c>
      <c r="W156" s="1">
        <v>12</v>
      </c>
      <c r="X156" s="1">
        <v>15</v>
      </c>
      <c r="Y156" s="3">
        <f>W156/X156</f>
        <v>0.8</v>
      </c>
      <c r="Z156" s="11">
        <v>0.11224458341322679</v>
      </c>
      <c r="AA156" s="11">
        <v>0.1545583885606219</v>
      </c>
      <c r="AB156" s="10">
        <v>3</v>
      </c>
      <c r="AC156" s="10">
        <v>3</v>
      </c>
      <c r="AD156" s="10">
        <v>3</v>
      </c>
      <c r="AE156" s="10">
        <v>3</v>
      </c>
      <c r="AF156" s="10">
        <v>1</v>
      </c>
      <c r="AG156" s="9" t="s">
        <v>41</v>
      </c>
      <c r="AH156" s="9" t="s">
        <v>35</v>
      </c>
    </row>
    <row r="157" spans="1:34" x14ac:dyDescent="0.25">
      <c r="A157" s="9" t="s">
        <v>569</v>
      </c>
      <c r="B157" s="1" t="s">
        <v>439</v>
      </c>
      <c r="C157" s="10">
        <v>3</v>
      </c>
      <c r="D157" s="10">
        <v>2017</v>
      </c>
      <c r="E157" s="9" t="s">
        <v>38</v>
      </c>
      <c r="F157" s="9" t="s">
        <v>54</v>
      </c>
      <c r="G157" s="1">
        <v>3</v>
      </c>
      <c r="H157" s="1">
        <v>0.38750000000000001</v>
      </c>
      <c r="I157" s="9" t="s">
        <v>43</v>
      </c>
      <c r="J157" s="1">
        <v>1</v>
      </c>
      <c r="K157" s="10">
        <v>49</v>
      </c>
      <c r="L157" s="3">
        <v>0.35</v>
      </c>
      <c r="M157" s="11">
        <v>1.6041796875E-2</v>
      </c>
      <c r="N157">
        <v>716</v>
      </c>
      <c r="O157" s="11">
        <v>0.36544375427139619</v>
      </c>
      <c r="P157" s="11">
        <v>2.1739130434782612E-2</v>
      </c>
      <c r="Q157" s="11">
        <v>0.35340947973959419</v>
      </c>
      <c r="R157" s="11">
        <v>1.595423030632883E-2</v>
      </c>
      <c r="S157" s="9" t="s">
        <v>40</v>
      </c>
      <c r="T157" s="9" t="s">
        <v>50</v>
      </c>
      <c r="U157" s="9" t="s">
        <v>33</v>
      </c>
      <c r="V157" s="9" t="s">
        <v>346</v>
      </c>
      <c r="W157" s="1">
        <v>11.94</v>
      </c>
      <c r="X157" s="1">
        <v>15</v>
      </c>
      <c r="Y157" s="3">
        <f>W157/X157</f>
        <v>0.79599999999999993</v>
      </c>
      <c r="Z157" s="11">
        <v>0.42490686286216878</v>
      </c>
      <c r="AA157" s="11">
        <v>0.15490943606155691</v>
      </c>
      <c r="AB157" s="10">
        <v>3</v>
      </c>
      <c r="AC157" s="10">
        <v>3</v>
      </c>
      <c r="AD157" s="10">
        <v>3</v>
      </c>
      <c r="AE157" s="10">
        <v>3</v>
      </c>
      <c r="AF157" s="10">
        <v>0</v>
      </c>
      <c r="AG157" s="9" t="s">
        <v>41</v>
      </c>
      <c r="AH157" s="9" t="s">
        <v>35</v>
      </c>
    </row>
    <row r="158" spans="1:34" x14ac:dyDescent="0.25">
      <c r="A158" s="9" t="s">
        <v>569</v>
      </c>
      <c r="B158" s="1" t="s">
        <v>440</v>
      </c>
      <c r="C158" s="10">
        <v>3</v>
      </c>
      <c r="D158" s="10">
        <v>2017</v>
      </c>
      <c r="E158" s="9" t="s">
        <v>28</v>
      </c>
      <c r="F158" s="9" t="s">
        <v>54</v>
      </c>
      <c r="G158" s="1">
        <v>3.0750000000000002</v>
      </c>
      <c r="H158" s="1">
        <v>0.45300000000000001</v>
      </c>
      <c r="I158" s="9" t="s">
        <v>43</v>
      </c>
      <c r="J158" s="1">
        <v>1</v>
      </c>
      <c r="K158" s="10">
        <v>19</v>
      </c>
      <c r="L158" s="3">
        <v>-0.18</v>
      </c>
      <c r="M158" s="11">
        <v>5.2013875555555561E-2</v>
      </c>
      <c r="N158">
        <v>716</v>
      </c>
      <c r="O158" s="11">
        <v>-0.18198268860070579</v>
      </c>
      <c r="P158" s="11">
        <v>6.25E-2</v>
      </c>
      <c r="Q158" s="11">
        <v>-0.18586615911873491</v>
      </c>
      <c r="R158" s="11">
        <v>5.1783387985239529E-2</v>
      </c>
      <c r="S158" s="9" t="s">
        <v>40</v>
      </c>
      <c r="T158" s="9" t="s">
        <v>50</v>
      </c>
      <c r="U158" s="9" t="s">
        <v>33</v>
      </c>
      <c r="V158" s="9" t="s">
        <v>346</v>
      </c>
      <c r="W158" s="1">
        <v>22.42</v>
      </c>
      <c r="X158" s="1">
        <v>15</v>
      </c>
      <c r="Y158" s="3">
        <f>W158/X158</f>
        <v>1.4946666666666668</v>
      </c>
      <c r="Z158" s="11">
        <v>-0.1215205281554041</v>
      </c>
      <c r="AA158" s="11">
        <v>0.1639999053690385</v>
      </c>
      <c r="AB158" s="10">
        <v>3</v>
      </c>
      <c r="AC158" s="10">
        <v>3</v>
      </c>
      <c r="AD158" s="10">
        <v>3</v>
      </c>
      <c r="AE158" s="10">
        <v>3</v>
      </c>
      <c r="AF158" s="10">
        <v>0</v>
      </c>
      <c r="AG158" s="9" t="s">
        <v>41</v>
      </c>
      <c r="AH158" s="9" t="s">
        <v>35</v>
      </c>
    </row>
    <row r="159" spans="1:34" x14ac:dyDescent="0.25">
      <c r="A159" s="9" t="s">
        <v>569</v>
      </c>
      <c r="B159" s="1" t="s">
        <v>441</v>
      </c>
      <c r="C159" s="10">
        <v>3</v>
      </c>
      <c r="D159" s="10">
        <v>2017</v>
      </c>
      <c r="E159" s="9" t="s">
        <v>28</v>
      </c>
      <c r="F159" s="9" t="s">
        <v>54</v>
      </c>
      <c r="G159" s="1">
        <v>3.133</v>
      </c>
      <c r="H159" s="1">
        <v>0.51100000000000001</v>
      </c>
      <c r="I159" s="9" t="s">
        <v>43</v>
      </c>
      <c r="J159" s="1">
        <v>1</v>
      </c>
      <c r="K159" s="10">
        <v>110</v>
      </c>
      <c r="L159" s="3">
        <v>1.0999999999999999E-2</v>
      </c>
      <c r="M159" s="11">
        <v>9.1720918774403654E-3</v>
      </c>
      <c r="N159">
        <v>717</v>
      </c>
      <c r="O159" s="11">
        <v>1.100044369887958E-2</v>
      </c>
      <c r="P159" s="11">
        <v>9.3457943925233638E-3</v>
      </c>
      <c r="Q159" s="11">
        <v>1.1052002157119481E-2</v>
      </c>
      <c r="R159" s="11">
        <v>9.1720708386831828E-3</v>
      </c>
      <c r="S159" s="9" t="s">
        <v>40</v>
      </c>
      <c r="T159" s="9" t="s">
        <v>50</v>
      </c>
      <c r="U159" s="9" t="s">
        <v>33</v>
      </c>
      <c r="V159" s="9" t="s">
        <v>346</v>
      </c>
      <c r="W159" s="1">
        <v>21.32</v>
      </c>
      <c r="X159" s="1">
        <v>15</v>
      </c>
      <c r="Y159" s="3">
        <f>W159/X159</f>
        <v>1.4213333333333333</v>
      </c>
      <c r="Z159" s="11">
        <v>7.7394484690587644E-3</v>
      </c>
      <c r="AA159" s="11">
        <v>6.7702656826419363E-2</v>
      </c>
      <c r="AB159" s="10">
        <v>3</v>
      </c>
      <c r="AC159" s="10">
        <v>3</v>
      </c>
      <c r="AD159" s="10">
        <v>3</v>
      </c>
      <c r="AE159" s="10">
        <v>3</v>
      </c>
      <c r="AF159" s="10">
        <v>0</v>
      </c>
      <c r="AG159" s="9" t="s">
        <v>41</v>
      </c>
      <c r="AH159" s="9" t="s">
        <v>35</v>
      </c>
    </row>
    <row r="160" spans="1:34" x14ac:dyDescent="0.25">
      <c r="A160" s="9" t="s">
        <v>570</v>
      </c>
      <c r="B160" s="1" t="s">
        <v>442</v>
      </c>
      <c r="C160" s="10">
        <v>3</v>
      </c>
      <c r="D160" s="10">
        <v>2017</v>
      </c>
      <c r="E160" s="9" t="s">
        <v>38</v>
      </c>
      <c r="F160" s="9" t="s">
        <v>54</v>
      </c>
      <c r="G160" s="1">
        <v>9.1999999999999993</v>
      </c>
      <c r="H160" s="1">
        <v>0.5</v>
      </c>
      <c r="I160" s="9" t="s">
        <v>30</v>
      </c>
      <c r="J160" s="1">
        <v>0.46</v>
      </c>
      <c r="K160" s="10">
        <v>46</v>
      </c>
      <c r="L160" s="3">
        <v>0.51</v>
      </c>
      <c r="M160" s="11">
        <v>1.216560022222222E-2</v>
      </c>
      <c r="N160">
        <v>1322</v>
      </c>
      <c r="O160" s="11">
        <v>0.56272976935214891</v>
      </c>
      <c r="P160" s="11">
        <v>2.3255813953488368E-2</v>
      </c>
      <c r="Q160" s="11">
        <v>0.51445423692040115</v>
      </c>
      <c r="R160" s="11">
        <v>1.201600589974328E-2</v>
      </c>
      <c r="S160" s="9" t="s">
        <v>40</v>
      </c>
      <c r="T160" s="9" t="s">
        <v>50</v>
      </c>
      <c r="U160" s="9" t="s">
        <v>33</v>
      </c>
      <c r="V160" s="9" t="s">
        <v>268</v>
      </c>
      <c r="W160" s="1" t="s">
        <v>31</v>
      </c>
      <c r="X160" s="1" t="s">
        <v>31</v>
      </c>
      <c r="Y160" s="3" t="s">
        <v>31</v>
      </c>
      <c r="Z160" s="11" t="s">
        <v>31</v>
      </c>
      <c r="AA160" s="11" t="s">
        <v>31</v>
      </c>
      <c r="AB160" s="10">
        <v>4</v>
      </c>
      <c r="AC160" s="10">
        <v>4</v>
      </c>
      <c r="AD160" s="10">
        <v>4</v>
      </c>
      <c r="AE160" s="10">
        <v>4</v>
      </c>
      <c r="AF160" s="10">
        <v>0</v>
      </c>
      <c r="AG160" s="9" t="s">
        <v>41</v>
      </c>
      <c r="AH160" s="9" t="s">
        <v>35</v>
      </c>
    </row>
    <row r="161" spans="1:34" x14ac:dyDescent="0.25">
      <c r="A161" s="9" t="s">
        <v>571</v>
      </c>
      <c r="B161" s="1" t="s">
        <v>443</v>
      </c>
      <c r="C161" s="10">
        <v>3</v>
      </c>
      <c r="D161" s="10">
        <v>2017</v>
      </c>
      <c r="E161" s="9" t="s">
        <v>38</v>
      </c>
      <c r="F161" s="9" t="s">
        <v>29</v>
      </c>
      <c r="G161" s="1">
        <v>28.82</v>
      </c>
      <c r="H161" s="1">
        <v>3.66</v>
      </c>
      <c r="I161" s="9" t="s">
        <v>39</v>
      </c>
      <c r="J161" s="1">
        <v>0</v>
      </c>
      <c r="K161" s="10">
        <v>503</v>
      </c>
      <c r="L161" s="3">
        <v>0.26400000000000001</v>
      </c>
      <c r="M161" s="11">
        <v>1.724034925131474E-3</v>
      </c>
      <c r="N161">
        <v>82</v>
      </c>
      <c r="O161" s="11">
        <v>0.27040322798896332</v>
      </c>
      <c r="P161" s="11">
        <v>2E-3</v>
      </c>
      <c r="Q161" s="11">
        <v>0.26424613795535112</v>
      </c>
      <c r="R161" s="11">
        <v>1.7235530486440489E-3</v>
      </c>
      <c r="S161" s="9" t="s">
        <v>40</v>
      </c>
      <c r="T161" s="9" t="s">
        <v>50</v>
      </c>
      <c r="U161" s="9" t="s">
        <v>33</v>
      </c>
      <c r="V161" s="9" t="s">
        <v>345</v>
      </c>
      <c r="W161" s="1">
        <v>0.88</v>
      </c>
      <c r="X161" s="1">
        <v>1</v>
      </c>
      <c r="Y161" s="3">
        <f>W161/X161</f>
        <v>0.88</v>
      </c>
      <c r="Z161" s="11">
        <v>0.29700000736560028</v>
      </c>
      <c r="AA161" s="11">
        <v>4.7513445518108141E-2</v>
      </c>
      <c r="AB161" s="10">
        <v>4</v>
      </c>
      <c r="AC161" s="10">
        <v>4</v>
      </c>
      <c r="AD161" s="10">
        <v>4</v>
      </c>
      <c r="AE161" s="10">
        <v>4</v>
      </c>
      <c r="AF161" s="10">
        <v>1</v>
      </c>
      <c r="AG161" s="9" t="s">
        <v>41</v>
      </c>
      <c r="AH161" s="9" t="s">
        <v>35</v>
      </c>
    </row>
    <row r="162" spans="1:34" x14ac:dyDescent="0.25">
      <c r="A162" s="9" t="s">
        <v>571</v>
      </c>
      <c r="B162" s="1" t="s">
        <v>444</v>
      </c>
      <c r="C162" s="10">
        <v>3</v>
      </c>
      <c r="D162" s="10">
        <v>2017</v>
      </c>
      <c r="E162" s="9" t="s">
        <v>38</v>
      </c>
      <c r="F162" s="9" t="s">
        <v>29</v>
      </c>
      <c r="G162" s="1">
        <v>28.82</v>
      </c>
      <c r="H162" s="1">
        <v>3.66</v>
      </c>
      <c r="I162" s="9" t="s">
        <v>43</v>
      </c>
      <c r="J162" s="1">
        <v>1</v>
      </c>
      <c r="K162" s="10">
        <v>393</v>
      </c>
      <c r="L162" s="3">
        <v>0.245</v>
      </c>
      <c r="M162" s="11">
        <v>2.2539617362882648E-3</v>
      </c>
      <c r="N162">
        <v>82</v>
      </c>
      <c r="O162" s="11">
        <v>0.25008652982489171</v>
      </c>
      <c r="P162" s="11">
        <v>2.5641025641025641E-3</v>
      </c>
      <c r="Q162" s="11">
        <v>0.2452960942199065</v>
      </c>
      <c r="R162" s="11">
        <v>2.25326556668571E-3</v>
      </c>
      <c r="S162" s="9" t="s">
        <v>40</v>
      </c>
      <c r="T162" s="9" t="s">
        <v>50</v>
      </c>
      <c r="U162" s="9" t="s">
        <v>33</v>
      </c>
      <c r="V162" s="9" t="s">
        <v>345</v>
      </c>
      <c r="W162" s="1">
        <v>0.89</v>
      </c>
      <c r="X162" s="1">
        <v>1</v>
      </c>
      <c r="Y162" s="3">
        <f>W162/X162</f>
        <v>0.89</v>
      </c>
      <c r="Z162" s="11">
        <v>0.27313772295759031</v>
      </c>
      <c r="AA162" s="11">
        <v>5.3814162604584929E-2</v>
      </c>
      <c r="AB162" s="10">
        <v>4</v>
      </c>
      <c r="AC162" s="10">
        <v>4</v>
      </c>
      <c r="AD162" s="10">
        <v>4</v>
      </c>
      <c r="AE162" s="10">
        <v>4</v>
      </c>
      <c r="AF162" s="10">
        <v>1</v>
      </c>
      <c r="AG162" s="9" t="s">
        <v>41</v>
      </c>
      <c r="AH162" s="9" t="s">
        <v>35</v>
      </c>
    </row>
    <row r="163" spans="1:34" x14ac:dyDescent="0.25">
      <c r="A163" s="9" t="s">
        <v>572</v>
      </c>
      <c r="B163" s="1" t="s">
        <v>445</v>
      </c>
      <c r="C163" s="10">
        <v>3</v>
      </c>
      <c r="D163" s="10">
        <v>2018</v>
      </c>
      <c r="E163" s="9" t="s">
        <v>28</v>
      </c>
      <c r="F163" s="9" t="s">
        <v>54</v>
      </c>
      <c r="G163" s="1">
        <v>9.7899999999999991</v>
      </c>
      <c r="H163" s="1">
        <v>0.51</v>
      </c>
      <c r="I163" s="9" t="s">
        <v>30</v>
      </c>
      <c r="J163" s="1">
        <v>0.48</v>
      </c>
      <c r="K163" s="10">
        <v>52</v>
      </c>
      <c r="L163" s="3">
        <v>0.43</v>
      </c>
      <c r="M163" s="11">
        <v>1.3027215882352941E-2</v>
      </c>
      <c r="N163">
        <v>46</v>
      </c>
      <c r="O163" s="11">
        <v>0.45989668121267852</v>
      </c>
      <c r="P163" s="11">
        <v>2.0408163265306121E-2</v>
      </c>
      <c r="Q163" s="11">
        <v>0.43363710397162958</v>
      </c>
      <c r="R163" s="11">
        <v>1.292700379757462E-2</v>
      </c>
      <c r="S163" s="9" t="s">
        <v>40</v>
      </c>
      <c r="T163" s="9" t="s">
        <v>46</v>
      </c>
      <c r="U163" s="9" t="s">
        <v>33</v>
      </c>
      <c r="V163" s="9" t="s">
        <v>269</v>
      </c>
      <c r="W163" s="1">
        <v>18.559999999999999</v>
      </c>
      <c r="X163" s="1">
        <v>15</v>
      </c>
      <c r="Y163" s="3">
        <f>W163/X163</f>
        <v>1.2373333333333332</v>
      </c>
      <c r="Z163" s="11">
        <v>0.35923090688400527</v>
      </c>
      <c r="AA163" s="11">
        <v>0.1139749964493595</v>
      </c>
      <c r="AB163" s="10">
        <v>4</v>
      </c>
      <c r="AC163" s="10">
        <v>4</v>
      </c>
      <c r="AD163" s="10">
        <v>4</v>
      </c>
      <c r="AE163" s="10">
        <v>4</v>
      </c>
      <c r="AF163" s="10">
        <v>0</v>
      </c>
      <c r="AG163" s="9" t="s">
        <v>34</v>
      </c>
      <c r="AH163" s="9" t="s">
        <v>35</v>
      </c>
    </row>
    <row r="164" spans="1:34" x14ac:dyDescent="0.25">
      <c r="A164" s="9" t="s">
        <v>843</v>
      </c>
      <c r="B164" s="1" t="s">
        <v>446</v>
      </c>
      <c r="C164" s="10">
        <v>3</v>
      </c>
      <c r="D164" s="10">
        <v>2018</v>
      </c>
      <c r="E164" s="9" t="s">
        <v>38</v>
      </c>
      <c r="F164" s="9" t="s">
        <v>29</v>
      </c>
      <c r="G164" s="1">
        <v>24.91</v>
      </c>
      <c r="H164" s="1">
        <v>5.61</v>
      </c>
      <c r="I164" s="9" t="s">
        <v>30</v>
      </c>
      <c r="J164" s="1">
        <v>0.59</v>
      </c>
      <c r="K164" s="10">
        <v>56</v>
      </c>
      <c r="L164" s="3">
        <v>0.3</v>
      </c>
      <c r="M164" s="11">
        <v>1.505636363636364E-2</v>
      </c>
      <c r="N164" t="s">
        <v>63</v>
      </c>
      <c r="O164" s="11">
        <v>0.30951960420311181</v>
      </c>
      <c r="P164" s="11">
        <v>1.886792452830189E-2</v>
      </c>
      <c r="Q164" s="11">
        <v>0.30262688114031538</v>
      </c>
      <c r="R164" s="11">
        <v>1.5004025324690031E-2</v>
      </c>
      <c r="S164" s="9" t="s">
        <v>40</v>
      </c>
      <c r="T164" s="9" t="s">
        <v>50</v>
      </c>
      <c r="U164" s="9" t="s">
        <v>33</v>
      </c>
      <c r="V164" s="9" t="s">
        <v>844</v>
      </c>
      <c r="W164" s="1">
        <v>1</v>
      </c>
      <c r="X164" s="1">
        <v>1</v>
      </c>
      <c r="Y164" s="3">
        <f>W164/X164</f>
        <v>1</v>
      </c>
      <c r="Z164" s="11">
        <v>0.3</v>
      </c>
      <c r="AA164" s="11">
        <v>0.12981468272831029</v>
      </c>
      <c r="AB164" s="10">
        <v>3</v>
      </c>
      <c r="AC164" s="10">
        <v>3</v>
      </c>
      <c r="AD164" s="10">
        <v>3</v>
      </c>
      <c r="AE164" s="10">
        <v>3</v>
      </c>
      <c r="AF164" s="10">
        <v>0</v>
      </c>
      <c r="AG164" s="9" t="s">
        <v>34</v>
      </c>
      <c r="AH164" s="9" t="s">
        <v>63</v>
      </c>
    </row>
    <row r="165" spans="1:34" x14ac:dyDescent="0.25">
      <c r="A165" s="9" t="s">
        <v>843</v>
      </c>
      <c r="B165" s="1" t="s">
        <v>447</v>
      </c>
      <c r="C165" s="10">
        <v>3</v>
      </c>
      <c r="D165" s="10">
        <v>2018</v>
      </c>
      <c r="E165" s="9" t="s">
        <v>28</v>
      </c>
      <c r="F165" s="9" t="s">
        <v>29</v>
      </c>
      <c r="G165" s="1">
        <v>24.69</v>
      </c>
      <c r="H165" s="1">
        <v>5.93</v>
      </c>
      <c r="I165" s="9" t="s">
        <v>30</v>
      </c>
      <c r="J165" s="1">
        <v>0.57399999999999995</v>
      </c>
      <c r="K165" s="10">
        <v>54</v>
      </c>
      <c r="L165" s="3">
        <v>0.14000000000000001</v>
      </c>
      <c r="M165" s="11">
        <v>1.813555018867925E-2</v>
      </c>
      <c r="N165" t="s">
        <v>63</v>
      </c>
      <c r="O165" s="11">
        <v>0.14092557607049391</v>
      </c>
      <c r="P165" s="11">
        <v>1.9607843137254902E-2</v>
      </c>
      <c r="Q165" s="11">
        <v>0.14137808621116491</v>
      </c>
      <c r="R165" s="11">
        <v>1.812120724827743E-2</v>
      </c>
      <c r="S165" s="9" t="s">
        <v>40</v>
      </c>
      <c r="T165" s="9" t="s">
        <v>50</v>
      </c>
      <c r="U165" s="9" t="s">
        <v>33</v>
      </c>
      <c r="V165" s="9" t="s">
        <v>844</v>
      </c>
      <c r="W165" s="1">
        <v>1.63</v>
      </c>
      <c r="X165" s="1">
        <v>1</v>
      </c>
      <c r="Y165" s="3">
        <f>W165/X165</f>
        <v>1.63</v>
      </c>
      <c r="Z165" s="11">
        <v>8.6419345424107272E-2</v>
      </c>
      <c r="AA165" s="11">
        <v>8.580725295467298E-2</v>
      </c>
      <c r="AB165" s="10">
        <v>3</v>
      </c>
      <c r="AC165" s="10">
        <v>3</v>
      </c>
      <c r="AD165" s="10">
        <v>3</v>
      </c>
      <c r="AE165" s="10">
        <v>3</v>
      </c>
      <c r="AF165" s="10">
        <v>0</v>
      </c>
      <c r="AG165" s="9" t="s">
        <v>34</v>
      </c>
      <c r="AH165" s="9" t="s">
        <v>63</v>
      </c>
    </row>
    <row r="166" spans="1:34" x14ac:dyDescent="0.25">
      <c r="A166" s="9" t="s">
        <v>573</v>
      </c>
      <c r="B166" s="1" t="s">
        <v>448</v>
      </c>
      <c r="C166" s="10">
        <v>3</v>
      </c>
      <c r="D166" s="10">
        <v>2018</v>
      </c>
      <c r="E166" s="9" t="s">
        <v>28</v>
      </c>
      <c r="F166" s="9" t="s">
        <v>29</v>
      </c>
      <c r="G166" s="1">
        <v>72</v>
      </c>
      <c r="H166" s="1" t="s">
        <v>31</v>
      </c>
      <c r="I166" s="9" t="s">
        <v>30</v>
      </c>
      <c r="J166" s="1">
        <v>0.61</v>
      </c>
      <c r="K166" s="10">
        <v>243</v>
      </c>
      <c r="L166" s="3">
        <v>0.182</v>
      </c>
      <c r="M166" s="11">
        <v>3.863013220561983E-3</v>
      </c>
      <c r="N166">
        <v>150</v>
      </c>
      <c r="O166" s="11">
        <v>0.18405043068164809</v>
      </c>
      <c r="P166" s="11">
        <v>4.1666666666666666E-3</v>
      </c>
      <c r="Q166" s="11">
        <v>0.1823684094863009</v>
      </c>
      <c r="R166" s="11">
        <v>3.861940647754102E-3</v>
      </c>
      <c r="S166" s="9" t="s">
        <v>40</v>
      </c>
      <c r="T166" s="9" t="s">
        <v>50</v>
      </c>
      <c r="U166" s="9" t="s">
        <v>33</v>
      </c>
      <c r="V166" s="9" t="s">
        <v>348</v>
      </c>
      <c r="W166" s="1" t="s">
        <v>31</v>
      </c>
      <c r="X166" s="1" t="s">
        <v>31</v>
      </c>
      <c r="Y166" s="3" t="s">
        <v>31</v>
      </c>
      <c r="Z166" s="11" t="s">
        <v>31</v>
      </c>
      <c r="AA166" s="11" t="s">
        <v>31</v>
      </c>
      <c r="AB166" s="10">
        <v>3</v>
      </c>
      <c r="AC166" s="10">
        <v>3</v>
      </c>
      <c r="AD166" s="10">
        <v>3</v>
      </c>
      <c r="AE166" s="10">
        <v>3</v>
      </c>
      <c r="AF166" s="10">
        <v>3</v>
      </c>
      <c r="AG166" s="9" t="s">
        <v>34</v>
      </c>
      <c r="AH166" s="9" t="s">
        <v>35</v>
      </c>
    </row>
    <row r="167" spans="1:34" x14ac:dyDescent="0.25">
      <c r="A167" s="9" t="s">
        <v>574</v>
      </c>
      <c r="B167" s="1" t="s">
        <v>449</v>
      </c>
      <c r="C167" s="10">
        <v>3</v>
      </c>
      <c r="D167" s="10">
        <v>2018</v>
      </c>
      <c r="E167" s="9" t="s">
        <v>28</v>
      </c>
      <c r="F167" s="9" t="s">
        <v>29</v>
      </c>
      <c r="G167" s="1">
        <v>18.96</v>
      </c>
      <c r="H167" s="1">
        <v>0.86</v>
      </c>
      <c r="I167" s="9" t="s">
        <v>30</v>
      </c>
      <c r="J167" s="1">
        <v>0.6</v>
      </c>
      <c r="K167" s="10">
        <v>82</v>
      </c>
      <c r="L167" s="3">
        <v>0.3</v>
      </c>
      <c r="M167" s="11">
        <v>1.022345679012346E-2</v>
      </c>
      <c r="N167" t="s">
        <v>930</v>
      </c>
      <c r="O167" s="11">
        <v>0.30951960420311181</v>
      </c>
      <c r="P167" s="11">
        <v>1.2658227848101271E-2</v>
      </c>
      <c r="Q167" s="11">
        <v>0.30175091362826623</v>
      </c>
      <c r="R167" s="11">
        <v>1.0199796701837051E-2</v>
      </c>
      <c r="S167" s="9" t="s">
        <v>40</v>
      </c>
      <c r="T167" s="9" t="s">
        <v>50</v>
      </c>
      <c r="U167" s="9" t="s">
        <v>33</v>
      </c>
      <c r="V167" s="9" t="s">
        <v>347</v>
      </c>
      <c r="W167" s="1" t="s">
        <v>31</v>
      </c>
      <c r="X167" s="1" t="s">
        <v>31</v>
      </c>
      <c r="Y167" s="3" t="s">
        <v>31</v>
      </c>
      <c r="Z167" s="11" t="s">
        <v>31</v>
      </c>
      <c r="AA167" s="11" t="s">
        <v>31</v>
      </c>
      <c r="AB167" s="10">
        <v>2</v>
      </c>
      <c r="AC167" s="10">
        <v>3</v>
      </c>
      <c r="AD167" s="10">
        <v>3</v>
      </c>
      <c r="AE167" s="10">
        <v>3</v>
      </c>
      <c r="AF167" s="10">
        <v>0</v>
      </c>
      <c r="AG167" s="9" t="s">
        <v>34</v>
      </c>
      <c r="AH167" s="9" t="s">
        <v>35</v>
      </c>
    </row>
    <row r="168" spans="1:34" x14ac:dyDescent="0.25">
      <c r="A168" s="9" t="s">
        <v>575</v>
      </c>
      <c r="B168" s="1" t="s">
        <v>450</v>
      </c>
      <c r="C168" s="10">
        <v>3</v>
      </c>
      <c r="D168" s="10">
        <v>2018</v>
      </c>
      <c r="E168" s="9" t="s">
        <v>28</v>
      </c>
      <c r="F168" s="9" t="s">
        <v>54</v>
      </c>
      <c r="G168" s="1">
        <v>10.8</v>
      </c>
      <c r="H168" s="1">
        <v>1.1200000000000001</v>
      </c>
      <c r="I168" s="9" t="s">
        <v>30</v>
      </c>
      <c r="J168" s="1">
        <v>0.66</v>
      </c>
      <c r="K168" s="10">
        <v>30</v>
      </c>
      <c r="L168" s="3">
        <v>0</v>
      </c>
      <c r="M168" s="11">
        <v>3.4482758620689662E-2</v>
      </c>
      <c r="N168">
        <v>383</v>
      </c>
      <c r="O168" s="11">
        <v>0</v>
      </c>
      <c r="P168" s="11">
        <v>3.7037037037037042E-2</v>
      </c>
      <c r="Q168" s="11">
        <v>0</v>
      </c>
      <c r="R168" s="11">
        <v>3.4482758620689662E-2</v>
      </c>
      <c r="S168" s="9" t="s">
        <v>40</v>
      </c>
      <c r="T168" s="9" t="s">
        <v>50</v>
      </c>
      <c r="U168" s="9" t="s">
        <v>33</v>
      </c>
      <c r="V168" s="9" t="s">
        <v>270</v>
      </c>
      <c r="W168" s="1">
        <v>13.89</v>
      </c>
      <c r="X168" s="1">
        <v>15</v>
      </c>
      <c r="Y168" s="3">
        <f>W168/X168</f>
        <v>0.92600000000000005</v>
      </c>
      <c r="Z168" s="11">
        <v>0</v>
      </c>
      <c r="AA168" s="11" t="s">
        <v>31</v>
      </c>
      <c r="AB168" s="10">
        <v>4</v>
      </c>
      <c r="AC168" s="10">
        <v>4</v>
      </c>
      <c r="AD168" s="10">
        <v>4</v>
      </c>
      <c r="AE168" s="10">
        <v>4</v>
      </c>
      <c r="AF168" s="10">
        <v>0</v>
      </c>
      <c r="AG168" s="9" t="s">
        <v>34</v>
      </c>
      <c r="AH168" s="9" t="s">
        <v>35</v>
      </c>
    </row>
    <row r="169" spans="1:34" x14ac:dyDescent="0.25">
      <c r="A169" s="9" t="s">
        <v>576</v>
      </c>
      <c r="B169" s="1" t="s">
        <v>451</v>
      </c>
      <c r="C169" s="10">
        <v>3</v>
      </c>
      <c r="D169" s="10">
        <v>2018</v>
      </c>
      <c r="E169" s="9" t="s">
        <v>38</v>
      </c>
      <c r="F169" s="9" t="s">
        <v>29</v>
      </c>
      <c r="G169" s="1">
        <v>20.8</v>
      </c>
      <c r="H169" s="1">
        <v>1.8</v>
      </c>
      <c r="I169" s="9" t="s">
        <v>30</v>
      </c>
      <c r="J169" s="1">
        <v>0.57999999999999996</v>
      </c>
      <c r="K169" s="10">
        <v>1319</v>
      </c>
      <c r="L169" s="3">
        <v>6.7000000000000004E-2</v>
      </c>
      <c r="M169" s="11">
        <v>7.5192879447723824E-4</v>
      </c>
      <c r="N169">
        <v>5</v>
      </c>
      <c r="O169" s="11">
        <v>6.7100525227204694E-2</v>
      </c>
      <c r="P169" s="11">
        <v>7.5987841945288754E-4</v>
      </c>
      <c r="Q169" s="11">
        <v>6.7025365551115268E-2</v>
      </c>
      <c r="R169" s="11">
        <v>7.5192365887700281E-4</v>
      </c>
      <c r="S169" s="9" t="s">
        <v>40</v>
      </c>
      <c r="T169" s="9" t="s">
        <v>46</v>
      </c>
      <c r="U169" s="9" t="s">
        <v>33</v>
      </c>
      <c r="V169" s="9" t="s">
        <v>271</v>
      </c>
      <c r="W169" s="1" t="s">
        <v>31</v>
      </c>
      <c r="X169" s="1" t="s">
        <v>31</v>
      </c>
      <c r="Y169" s="3" t="s">
        <v>31</v>
      </c>
      <c r="Z169" s="11" t="s">
        <v>31</v>
      </c>
      <c r="AA169" s="11" t="s">
        <v>31</v>
      </c>
      <c r="AB169" s="10">
        <v>3</v>
      </c>
      <c r="AC169" s="10">
        <v>3</v>
      </c>
      <c r="AD169" s="10">
        <v>3</v>
      </c>
      <c r="AE169" s="10">
        <v>3</v>
      </c>
      <c r="AF169" s="10">
        <v>2</v>
      </c>
      <c r="AG169" s="9" t="s">
        <v>34</v>
      </c>
      <c r="AH169" s="9" t="s">
        <v>35</v>
      </c>
    </row>
    <row r="170" spans="1:34" x14ac:dyDescent="0.25">
      <c r="A170" s="9" t="s">
        <v>577</v>
      </c>
      <c r="B170" s="1" t="s">
        <v>452</v>
      </c>
      <c r="C170" s="10">
        <v>3</v>
      </c>
      <c r="D170" s="10">
        <v>2018</v>
      </c>
      <c r="E170" s="9" t="s">
        <v>28</v>
      </c>
      <c r="F170" s="9" t="s">
        <v>29</v>
      </c>
      <c r="G170" s="1">
        <v>70.010000000000005</v>
      </c>
      <c r="H170" s="1">
        <v>9.75</v>
      </c>
      <c r="I170" s="9" t="s">
        <v>30</v>
      </c>
      <c r="J170" s="1">
        <v>0.65</v>
      </c>
      <c r="K170" s="10">
        <v>118</v>
      </c>
      <c r="L170" s="3">
        <v>0.23400000000000001</v>
      </c>
      <c r="M170" s="11">
        <v>7.6366343550085466E-3</v>
      </c>
      <c r="N170">
        <v>1660</v>
      </c>
      <c r="O170" s="11">
        <v>0.23841701736237089</v>
      </c>
      <c r="P170" s="11">
        <v>8.6956521739130436E-3</v>
      </c>
      <c r="Q170" s="11">
        <v>0.234971168877387</v>
      </c>
      <c r="R170" s="11">
        <v>7.629276955780976E-3</v>
      </c>
      <c r="S170" s="9" t="s">
        <v>40</v>
      </c>
      <c r="T170" s="9" t="s">
        <v>50</v>
      </c>
      <c r="U170" s="9" t="s">
        <v>33</v>
      </c>
      <c r="V170" s="9" t="s">
        <v>349</v>
      </c>
      <c r="W170" s="1" t="s">
        <v>31</v>
      </c>
      <c r="X170" s="1" t="s">
        <v>31</v>
      </c>
      <c r="Y170" s="3" t="s">
        <v>31</v>
      </c>
      <c r="Z170" s="11" t="s">
        <v>31</v>
      </c>
      <c r="AA170" s="11" t="s">
        <v>31</v>
      </c>
      <c r="AB170" s="10">
        <v>3</v>
      </c>
      <c r="AC170" s="10">
        <v>3</v>
      </c>
      <c r="AD170" s="10">
        <v>3</v>
      </c>
      <c r="AE170" s="10">
        <v>3</v>
      </c>
      <c r="AF170" s="10">
        <v>4</v>
      </c>
      <c r="AG170" s="9" t="s">
        <v>34</v>
      </c>
      <c r="AH170" s="9" t="s">
        <v>35</v>
      </c>
    </row>
    <row r="171" spans="1:34" x14ac:dyDescent="0.25">
      <c r="A171" s="9" t="s">
        <v>578</v>
      </c>
      <c r="B171" s="1" t="s">
        <v>453</v>
      </c>
      <c r="C171" s="10">
        <v>3</v>
      </c>
      <c r="D171" s="10">
        <v>2019</v>
      </c>
      <c r="E171" s="9" t="s">
        <v>28</v>
      </c>
      <c r="F171" s="9" t="s">
        <v>29</v>
      </c>
      <c r="G171" s="1">
        <v>32.97</v>
      </c>
      <c r="H171" s="1">
        <v>11.12</v>
      </c>
      <c r="I171" s="9" t="s">
        <v>30</v>
      </c>
      <c r="J171" s="1">
        <v>0.42</v>
      </c>
      <c r="K171" s="10">
        <v>38</v>
      </c>
      <c r="L171" s="3">
        <v>0</v>
      </c>
      <c r="M171" s="11">
        <v>2.7027027027027029E-2</v>
      </c>
      <c r="N171">
        <v>3</v>
      </c>
      <c r="O171" s="11">
        <v>0</v>
      </c>
      <c r="P171" s="11">
        <v>2.8571428571428571E-2</v>
      </c>
      <c r="Q171" s="11">
        <v>0</v>
      </c>
      <c r="R171" s="11">
        <v>2.7027027027027029E-2</v>
      </c>
      <c r="S171" s="9" t="s">
        <v>40</v>
      </c>
      <c r="T171" s="9" t="s">
        <v>46</v>
      </c>
      <c r="U171" s="9" t="s">
        <v>33</v>
      </c>
      <c r="V171" s="9" t="s">
        <v>969</v>
      </c>
      <c r="W171" s="1">
        <v>11.22</v>
      </c>
      <c r="X171" s="1">
        <v>15</v>
      </c>
      <c r="Y171" s="3">
        <f>W171/X171</f>
        <v>0.748</v>
      </c>
      <c r="Z171" s="11">
        <v>0</v>
      </c>
      <c r="AA171" s="11" t="s">
        <v>31</v>
      </c>
      <c r="AB171" s="10">
        <v>4</v>
      </c>
      <c r="AC171" s="10">
        <v>4</v>
      </c>
      <c r="AD171" s="10">
        <v>4</v>
      </c>
      <c r="AE171" s="10">
        <v>4</v>
      </c>
      <c r="AF171" s="10">
        <v>0</v>
      </c>
      <c r="AG171" s="9" t="s">
        <v>34</v>
      </c>
      <c r="AH171" s="9" t="s">
        <v>35</v>
      </c>
    </row>
    <row r="172" spans="1:34" x14ac:dyDescent="0.25">
      <c r="A172" s="9" t="s">
        <v>910</v>
      </c>
      <c r="B172" s="1" t="s">
        <v>454</v>
      </c>
      <c r="C172" s="10">
        <v>3</v>
      </c>
      <c r="D172" s="10">
        <v>2019</v>
      </c>
      <c r="E172" s="9" t="s">
        <v>38</v>
      </c>
      <c r="F172" s="9" t="s">
        <v>54</v>
      </c>
      <c r="G172" s="1">
        <v>9.93</v>
      </c>
      <c r="H172" s="1">
        <v>1.538</v>
      </c>
      <c r="I172" s="9" t="s">
        <v>30</v>
      </c>
      <c r="J172" s="1">
        <v>0.54</v>
      </c>
      <c r="K172" s="10">
        <v>63</v>
      </c>
      <c r="L172" s="3">
        <v>7.0000000000000007E-2</v>
      </c>
      <c r="M172" s="11">
        <v>1.5971355E-2</v>
      </c>
      <c r="N172">
        <v>42</v>
      </c>
      <c r="O172" s="11">
        <v>7.0114670654325154E-2</v>
      </c>
      <c r="P172" s="11">
        <v>1.666666666666667E-2</v>
      </c>
      <c r="Q172" s="11">
        <v>7.0592678696529312E-2</v>
      </c>
      <c r="R172" s="11">
        <v>1.5968680338222019E-2</v>
      </c>
      <c r="S172" s="9" t="s">
        <v>40</v>
      </c>
      <c r="T172" s="9" t="s">
        <v>31</v>
      </c>
      <c r="U172" s="9" t="s">
        <v>33</v>
      </c>
      <c r="V172" s="9" t="s">
        <v>970</v>
      </c>
      <c r="W172" s="1" t="s">
        <v>31</v>
      </c>
      <c r="X172" s="1" t="s">
        <v>31</v>
      </c>
      <c r="Y172" s="3" t="s">
        <v>31</v>
      </c>
      <c r="Z172" s="11" t="s">
        <v>31</v>
      </c>
      <c r="AA172" s="11" t="s">
        <v>31</v>
      </c>
      <c r="AB172" s="10">
        <v>3</v>
      </c>
      <c r="AC172" s="10">
        <v>3</v>
      </c>
      <c r="AD172" s="10">
        <v>3</v>
      </c>
      <c r="AE172" s="10">
        <v>3</v>
      </c>
      <c r="AF172" s="10">
        <v>0</v>
      </c>
      <c r="AG172" s="9" t="s">
        <v>34</v>
      </c>
      <c r="AH172" s="9" t="s">
        <v>35</v>
      </c>
    </row>
    <row r="173" spans="1:34" x14ac:dyDescent="0.25">
      <c r="A173" s="9" t="s">
        <v>910</v>
      </c>
      <c r="B173" s="1" t="s">
        <v>455</v>
      </c>
      <c r="C173" s="10">
        <v>3</v>
      </c>
      <c r="D173" s="10">
        <v>2019</v>
      </c>
      <c r="E173" s="9" t="s">
        <v>28</v>
      </c>
      <c r="F173" s="9" t="s">
        <v>54</v>
      </c>
      <c r="G173" s="1">
        <v>9.35</v>
      </c>
      <c r="H173" s="1">
        <v>1.6830000000000001</v>
      </c>
      <c r="I173" s="9" t="s">
        <v>30</v>
      </c>
      <c r="J173" s="1">
        <v>0.64700000000000002</v>
      </c>
      <c r="K173" s="10">
        <v>139</v>
      </c>
      <c r="L173" s="3">
        <v>0.02</v>
      </c>
      <c r="M173" s="11">
        <v>7.2405808695652184E-3</v>
      </c>
      <c r="N173">
        <v>42</v>
      </c>
      <c r="O173" s="11">
        <v>2.00026673068496E-2</v>
      </c>
      <c r="P173" s="11">
        <v>7.3529411764705881E-3</v>
      </c>
      <c r="Q173" s="11">
        <v>2.0074180551345151E-2</v>
      </c>
      <c r="R173" s="11">
        <v>7.240537803894209E-3</v>
      </c>
      <c r="S173" s="9" t="s">
        <v>40</v>
      </c>
      <c r="T173" s="9" t="s">
        <v>31</v>
      </c>
      <c r="U173" s="9" t="s">
        <v>33</v>
      </c>
      <c r="V173" s="9" t="s">
        <v>970</v>
      </c>
      <c r="W173" s="1" t="s">
        <v>31</v>
      </c>
      <c r="X173" s="1" t="s">
        <v>31</v>
      </c>
      <c r="Y173" s="3" t="s">
        <v>31</v>
      </c>
      <c r="Z173" s="11" t="s">
        <v>31</v>
      </c>
      <c r="AA173" s="11" t="s">
        <v>31</v>
      </c>
      <c r="AB173" s="10">
        <v>3</v>
      </c>
      <c r="AC173" s="10">
        <v>3</v>
      </c>
      <c r="AD173" s="10">
        <v>3</v>
      </c>
      <c r="AE173" s="10">
        <v>3</v>
      </c>
      <c r="AF173" s="10">
        <v>0</v>
      </c>
      <c r="AG173" s="9" t="s">
        <v>34</v>
      </c>
      <c r="AH173" s="9" t="s">
        <v>35</v>
      </c>
    </row>
    <row r="174" spans="1:34" x14ac:dyDescent="0.25">
      <c r="A174" s="9" t="s">
        <v>579</v>
      </c>
      <c r="B174" s="1" t="s">
        <v>456</v>
      </c>
      <c r="C174" s="10">
        <v>3</v>
      </c>
      <c r="D174" s="10">
        <v>2019</v>
      </c>
      <c r="E174" s="9" t="s">
        <v>38</v>
      </c>
      <c r="F174" s="9" t="s">
        <v>29</v>
      </c>
      <c r="G174" s="1">
        <v>63.13</v>
      </c>
      <c r="H174" s="1">
        <v>7.48</v>
      </c>
      <c r="I174" s="9" t="s">
        <v>43</v>
      </c>
      <c r="J174" s="1">
        <v>1</v>
      </c>
      <c r="K174" s="10">
        <v>3900</v>
      </c>
      <c r="L174" s="3">
        <v>0.214</v>
      </c>
      <c r="M174" s="11">
        <v>2.335227683036676E-4</v>
      </c>
      <c r="N174">
        <v>8</v>
      </c>
      <c r="O174" s="11">
        <v>0.2173595895951185</v>
      </c>
      <c r="P174" s="11">
        <v>2.5660764690787791E-4</v>
      </c>
      <c r="Q174" s="11">
        <v>0.21402620730927319</v>
      </c>
      <c r="R174" s="11">
        <v>2.335172778499458E-4</v>
      </c>
      <c r="S174" s="9" t="s">
        <v>40</v>
      </c>
      <c r="T174" s="9" t="s">
        <v>50</v>
      </c>
      <c r="U174" s="9" t="s">
        <v>33</v>
      </c>
      <c r="V174" s="9" t="s">
        <v>350</v>
      </c>
      <c r="W174" s="1" t="s">
        <v>31</v>
      </c>
      <c r="X174" s="1" t="s">
        <v>31</v>
      </c>
      <c r="Y174" s="3" t="s">
        <v>31</v>
      </c>
      <c r="Z174" s="11" t="s">
        <v>31</v>
      </c>
      <c r="AA174" s="11" t="s">
        <v>31</v>
      </c>
      <c r="AB174" s="10">
        <v>3</v>
      </c>
      <c r="AC174" s="10">
        <v>3</v>
      </c>
      <c r="AD174" s="10">
        <v>3</v>
      </c>
      <c r="AE174" s="10">
        <v>3</v>
      </c>
      <c r="AF174" s="10">
        <v>1</v>
      </c>
      <c r="AG174" s="9" t="s">
        <v>41</v>
      </c>
      <c r="AH174" s="9" t="s">
        <v>35</v>
      </c>
    </row>
    <row r="175" spans="1:34" x14ac:dyDescent="0.25">
      <c r="A175" s="9" t="s">
        <v>579</v>
      </c>
      <c r="B175" s="1" t="s">
        <v>457</v>
      </c>
      <c r="C175" s="10">
        <v>3</v>
      </c>
      <c r="D175" s="10">
        <v>2019</v>
      </c>
      <c r="E175" s="9" t="s">
        <v>38</v>
      </c>
      <c r="F175" s="9" t="s">
        <v>29</v>
      </c>
      <c r="G175" s="1">
        <v>63.13</v>
      </c>
      <c r="H175" s="1">
        <v>7.48</v>
      </c>
      <c r="I175" s="9" t="s">
        <v>39</v>
      </c>
      <c r="J175" s="1">
        <v>0</v>
      </c>
      <c r="K175" s="10">
        <v>4192</v>
      </c>
      <c r="L175" s="3">
        <v>0.26</v>
      </c>
      <c r="M175" s="11">
        <v>2.0743730851825341E-4</v>
      </c>
      <c r="N175">
        <v>8</v>
      </c>
      <c r="O175" s="11">
        <v>0.26610840687365411</v>
      </c>
      <c r="P175" s="11">
        <v>2.3872045834327999E-4</v>
      </c>
      <c r="Q175" s="11">
        <v>0.26002894336926191</v>
      </c>
      <c r="R175" s="11">
        <v>2.0743061140419161E-4</v>
      </c>
      <c r="S175" s="9" t="s">
        <v>40</v>
      </c>
      <c r="T175" s="9" t="s">
        <v>50</v>
      </c>
      <c r="U175" s="9" t="s">
        <v>33</v>
      </c>
      <c r="V175" s="9" t="s">
        <v>350</v>
      </c>
      <c r="W175" s="1" t="s">
        <v>31</v>
      </c>
      <c r="X175" s="1" t="s">
        <v>31</v>
      </c>
      <c r="Y175" s="3" t="s">
        <v>31</v>
      </c>
      <c r="Z175" s="11" t="s">
        <v>31</v>
      </c>
      <c r="AA175" s="11" t="s">
        <v>31</v>
      </c>
      <c r="AB175" s="10">
        <v>3</v>
      </c>
      <c r="AC175" s="10">
        <v>3</v>
      </c>
      <c r="AD175" s="10">
        <v>3</v>
      </c>
      <c r="AE175" s="10">
        <v>3</v>
      </c>
      <c r="AF175" s="10">
        <v>1</v>
      </c>
      <c r="AG175" s="9" t="s">
        <v>41</v>
      </c>
      <c r="AH175" s="9" t="s">
        <v>35</v>
      </c>
    </row>
    <row r="176" spans="1:34" x14ac:dyDescent="0.25">
      <c r="A176" s="9" t="s">
        <v>580</v>
      </c>
      <c r="B176" s="1" t="s">
        <v>458</v>
      </c>
      <c r="C176" s="10">
        <v>3</v>
      </c>
      <c r="D176" s="10">
        <v>2019</v>
      </c>
      <c r="E176" s="9" t="s">
        <v>28</v>
      </c>
      <c r="F176" s="9" t="s">
        <v>29</v>
      </c>
      <c r="G176" s="1">
        <v>27.49</v>
      </c>
      <c r="H176" s="1">
        <v>7.06</v>
      </c>
      <c r="I176" s="9" t="s">
        <v>30</v>
      </c>
      <c r="J176" s="1">
        <v>0.6</v>
      </c>
      <c r="K176" s="10">
        <v>516</v>
      </c>
      <c r="L176" s="3">
        <v>0.28999999999999998</v>
      </c>
      <c r="M176" s="11">
        <v>1.6288792427184471E-3</v>
      </c>
      <c r="N176" t="s">
        <v>931</v>
      </c>
      <c r="O176" s="11">
        <v>0.29856626366017841</v>
      </c>
      <c r="P176" s="11">
        <v>1.9493177387914229E-3</v>
      </c>
      <c r="Q176" s="11">
        <v>0.29025941603555683</v>
      </c>
      <c r="R176" s="11">
        <v>1.6283438725714951E-3</v>
      </c>
      <c r="S176" s="9" t="s">
        <v>40</v>
      </c>
      <c r="T176" s="9" t="s">
        <v>50</v>
      </c>
      <c r="U176" s="9" t="s">
        <v>33</v>
      </c>
      <c r="V176" s="9" t="s">
        <v>352</v>
      </c>
      <c r="W176" s="1">
        <v>14.82</v>
      </c>
      <c r="X176" s="1">
        <v>15</v>
      </c>
      <c r="Y176" s="3">
        <f t="shared" ref="Y176:Y184" si="5">W176/X176</f>
        <v>0.98799999999999999</v>
      </c>
      <c r="Z176" s="11">
        <v>0.29322109009818442</v>
      </c>
      <c r="AA176" s="11">
        <v>4.2593955950276562E-2</v>
      </c>
      <c r="AB176" s="10">
        <v>3</v>
      </c>
      <c r="AC176" s="10">
        <v>3</v>
      </c>
      <c r="AD176" s="10">
        <v>3</v>
      </c>
      <c r="AE176" s="10">
        <v>3</v>
      </c>
      <c r="AF176" s="10">
        <v>0</v>
      </c>
      <c r="AG176" s="9" t="s">
        <v>34</v>
      </c>
      <c r="AH176" s="9" t="s">
        <v>35</v>
      </c>
    </row>
    <row r="177" spans="1:34" x14ac:dyDescent="0.25">
      <c r="A177" s="9" t="s">
        <v>580</v>
      </c>
      <c r="B177" s="1" t="s">
        <v>459</v>
      </c>
      <c r="C177" s="10">
        <v>3</v>
      </c>
      <c r="D177" s="10">
        <v>2019</v>
      </c>
      <c r="E177" s="9" t="s">
        <v>28</v>
      </c>
      <c r="F177" s="9" t="s">
        <v>29</v>
      </c>
      <c r="G177" s="1">
        <v>52.85</v>
      </c>
      <c r="H177" s="1">
        <v>4.45</v>
      </c>
      <c r="I177" s="9" t="s">
        <v>30</v>
      </c>
      <c r="J177" s="1">
        <v>0.32</v>
      </c>
      <c r="K177" s="10">
        <v>85</v>
      </c>
      <c r="L177" s="3">
        <v>0.06</v>
      </c>
      <c r="M177" s="11">
        <v>1.18192019047619E-2</v>
      </c>
      <c r="N177" t="s">
        <v>931</v>
      </c>
      <c r="O177" s="11">
        <v>6.0072155921031697E-2</v>
      </c>
      <c r="P177" s="11">
        <v>1.2195121951219509E-2</v>
      </c>
      <c r="Q177" s="11">
        <v>6.0370130970982643E-2</v>
      </c>
      <c r="R177" s="11">
        <v>1.181814496830445E-2</v>
      </c>
      <c r="S177" s="9" t="s">
        <v>40</v>
      </c>
      <c r="T177" s="9" t="s">
        <v>50</v>
      </c>
      <c r="U177" s="9" t="s">
        <v>33</v>
      </c>
      <c r="V177" s="9" t="s">
        <v>353</v>
      </c>
      <c r="W177" s="1">
        <v>13.93</v>
      </c>
      <c r="X177" s="1">
        <v>15</v>
      </c>
      <c r="Y177" s="3">
        <f t="shared" si="5"/>
        <v>0.92866666666666664</v>
      </c>
      <c r="Z177" s="11">
        <v>6.4590213928848658E-2</v>
      </c>
      <c r="AA177" s="11">
        <v>0.1178810364716551</v>
      </c>
      <c r="AB177" s="10">
        <v>3</v>
      </c>
      <c r="AC177" s="10">
        <v>3</v>
      </c>
      <c r="AD177" s="10">
        <v>3</v>
      </c>
      <c r="AE177" s="10">
        <v>3</v>
      </c>
      <c r="AF177" s="10">
        <v>0</v>
      </c>
      <c r="AG177" s="9" t="s">
        <v>34</v>
      </c>
      <c r="AH177" s="9" t="s">
        <v>35</v>
      </c>
    </row>
    <row r="178" spans="1:34" x14ac:dyDescent="0.25">
      <c r="A178" s="9" t="s">
        <v>581</v>
      </c>
      <c r="B178" s="1" t="s">
        <v>460</v>
      </c>
      <c r="C178" s="10">
        <v>3</v>
      </c>
      <c r="D178" s="10">
        <v>2019</v>
      </c>
      <c r="E178" s="9" t="s">
        <v>38</v>
      </c>
      <c r="F178" s="9" t="s">
        <v>29</v>
      </c>
      <c r="G178" s="1">
        <v>45</v>
      </c>
      <c r="H178" s="1" t="s">
        <v>31</v>
      </c>
      <c r="I178" s="9" t="s">
        <v>30</v>
      </c>
      <c r="J178" s="1">
        <v>0.48</v>
      </c>
      <c r="K178" s="10">
        <v>596</v>
      </c>
      <c r="L178" s="3">
        <v>0.35</v>
      </c>
      <c r="M178" s="11">
        <v>1.294128151260504E-3</v>
      </c>
      <c r="N178">
        <v>3499</v>
      </c>
      <c r="O178" s="11">
        <v>0.36544375427139619</v>
      </c>
      <c r="P178" s="11">
        <v>1.686340640809443E-3</v>
      </c>
      <c r="Q178" s="11">
        <v>0.35025938442170118</v>
      </c>
      <c r="R178" s="11">
        <v>1.2935924557190329E-3</v>
      </c>
      <c r="S178" s="9" t="s">
        <v>40</v>
      </c>
      <c r="T178" s="9" t="s">
        <v>50</v>
      </c>
      <c r="U178" s="9" t="s">
        <v>33</v>
      </c>
      <c r="V178" s="9" t="s">
        <v>971</v>
      </c>
      <c r="W178" s="1">
        <v>15.27</v>
      </c>
      <c r="X178" s="1">
        <v>15</v>
      </c>
      <c r="Y178" s="3">
        <f t="shared" si="5"/>
        <v>1.018</v>
      </c>
      <c r="Z178" s="11">
        <v>0.34455189612486947</v>
      </c>
      <c r="AA178" s="11">
        <v>3.8000183673461092E-2</v>
      </c>
      <c r="AB178" s="10">
        <v>4</v>
      </c>
      <c r="AC178" s="10">
        <v>4</v>
      </c>
      <c r="AD178" s="10">
        <v>4</v>
      </c>
      <c r="AE178" s="10">
        <v>4</v>
      </c>
      <c r="AF178" s="10">
        <v>1</v>
      </c>
      <c r="AG178" s="9" t="s">
        <v>41</v>
      </c>
      <c r="AH178" s="9" t="s">
        <v>35</v>
      </c>
    </row>
    <row r="179" spans="1:34" x14ac:dyDescent="0.25">
      <c r="A179" s="9" t="s">
        <v>581</v>
      </c>
      <c r="B179" s="1" t="s">
        <v>461</v>
      </c>
      <c r="C179" s="10">
        <v>3</v>
      </c>
      <c r="D179" s="10">
        <v>2019</v>
      </c>
      <c r="E179" s="9" t="s">
        <v>38</v>
      </c>
      <c r="F179" s="9" t="s">
        <v>29</v>
      </c>
      <c r="G179" s="1">
        <v>22.23</v>
      </c>
      <c r="H179" s="1">
        <v>5.53</v>
      </c>
      <c r="I179" s="9" t="s">
        <v>30</v>
      </c>
      <c r="J179" s="1">
        <v>0.47</v>
      </c>
      <c r="K179" s="10">
        <v>1163</v>
      </c>
      <c r="L179" s="3">
        <v>0.12</v>
      </c>
      <c r="M179" s="11">
        <v>8.3597879518072294E-4</v>
      </c>
      <c r="N179">
        <v>3499</v>
      </c>
      <c r="O179" s="11">
        <v>0.1205810284084441</v>
      </c>
      <c r="P179" s="11">
        <v>8.6206896551724137E-4</v>
      </c>
      <c r="Q179" s="11">
        <v>0.1200510328679167</v>
      </c>
      <c r="R179" s="11">
        <v>8.3595801375125288E-4</v>
      </c>
      <c r="S179" s="9" t="s">
        <v>40</v>
      </c>
      <c r="T179" s="9" t="s">
        <v>50</v>
      </c>
      <c r="U179" s="9" t="s">
        <v>33</v>
      </c>
      <c r="V179" s="9" t="s">
        <v>335</v>
      </c>
      <c r="W179" s="1">
        <v>9.02</v>
      </c>
      <c r="X179" s="1">
        <v>15</v>
      </c>
      <c r="Y179" s="3">
        <f t="shared" si="5"/>
        <v>0.60133333333333328</v>
      </c>
      <c r="Z179" s="11">
        <v>0.19706726078436351</v>
      </c>
      <c r="AA179" s="11">
        <v>4.6662123234052513E-2</v>
      </c>
      <c r="AB179" s="10">
        <v>3</v>
      </c>
      <c r="AC179" s="10">
        <v>3</v>
      </c>
      <c r="AD179" s="10">
        <v>3</v>
      </c>
      <c r="AE179" s="10">
        <v>3</v>
      </c>
      <c r="AF179" s="10">
        <v>5</v>
      </c>
      <c r="AG179" s="9" t="s">
        <v>41</v>
      </c>
      <c r="AH179" s="9" t="s">
        <v>35</v>
      </c>
    </row>
    <row r="180" spans="1:34" x14ac:dyDescent="0.25">
      <c r="A180" s="9" t="s">
        <v>581</v>
      </c>
      <c r="B180" s="1" t="s">
        <v>462</v>
      </c>
      <c r="C180" s="10">
        <v>3</v>
      </c>
      <c r="D180" s="10">
        <v>2019</v>
      </c>
      <c r="E180" s="9" t="s">
        <v>38</v>
      </c>
      <c r="F180" s="9" t="s">
        <v>29</v>
      </c>
      <c r="G180" s="1">
        <v>20.260000000000002</v>
      </c>
      <c r="H180" s="1">
        <v>1.2</v>
      </c>
      <c r="I180" s="9" t="s">
        <v>30</v>
      </c>
      <c r="J180" s="1">
        <v>0.47</v>
      </c>
      <c r="K180" s="10">
        <v>515</v>
      </c>
      <c r="L180" s="3">
        <v>0.16</v>
      </c>
      <c r="M180" s="11">
        <v>1.847189416342413E-3</v>
      </c>
      <c r="N180">
        <v>3499</v>
      </c>
      <c r="O180" s="11">
        <v>0.16138669613152551</v>
      </c>
      <c r="P180" s="11">
        <v>1.953125E-3</v>
      </c>
      <c r="Q180" s="11">
        <v>0.16015260523374469</v>
      </c>
      <c r="R180" s="11">
        <v>1.847004182757208E-3</v>
      </c>
      <c r="S180" s="9" t="s">
        <v>40</v>
      </c>
      <c r="T180" s="9" t="s">
        <v>50</v>
      </c>
      <c r="U180" s="9" t="s">
        <v>33</v>
      </c>
      <c r="V180" s="9" t="s">
        <v>347</v>
      </c>
      <c r="W180" s="1">
        <v>7.35</v>
      </c>
      <c r="X180" s="1">
        <v>15</v>
      </c>
      <c r="Y180" s="3">
        <f t="shared" si="5"/>
        <v>0.49</v>
      </c>
      <c r="Z180" s="11">
        <v>0.3140556334409958</v>
      </c>
      <c r="AA180" s="11">
        <v>7.9133783662923632E-2</v>
      </c>
      <c r="AB180" s="10">
        <v>3</v>
      </c>
      <c r="AC180" s="10">
        <v>3</v>
      </c>
      <c r="AD180" s="10">
        <v>3</v>
      </c>
      <c r="AE180" s="10">
        <v>3</v>
      </c>
      <c r="AF180" s="10">
        <v>1</v>
      </c>
      <c r="AG180" s="9" t="s">
        <v>41</v>
      </c>
      <c r="AH180" s="9" t="s">
        <v>35</v>
      </c>
    </row>
    <row r="181" spans="1:34" x14ac:dyDescent="0.25">
      <c r="A181" s="9" t="s">
        <v>582</v>
      </c>
      <c r="B181" s="1" t="s">
        <v>463</v>
      </c>
      <c r="C181" s="10">
        <v>3</v>
      </c>
      <c r="D181" s="10">
        <v>2019</v>
      </c>
      <c r="E181" s="9" t="s">
        <v>28</v>
      </c>
      <c r="F181" s="9" t="s">
        <v>54</v>
      </c>
      <c r="G181" s="1">
        <v>9.43</v>
      </c>
      <c r="H181" s="1">
        <v>1.67</v>
      </c>
      <c r="I181" s="9" t="s">
        <v>30</v>
      </c>
      <c r="J181" s="1">
        <v>0.52</v>
      </c>
      <c r="K181" s="10">
        <v>27</v>
      </c>
      <c r="L181" s="3">
        <v>0.33900000000000002</v>
      </c>
      <c r="M181" s="11">
        <v>3.01294167785E-2</v>
      </c>
      <c r="N181">
        <v>7</v>
      </c>
      <c r="O181" s="11">
        <v>0.35296225291974298</v>
      </c>
      <c r="P181" s="11">
        <v>4.1666666666666657E-2</v>
      </c>
      <c r="Q181" s="11">
        <v>0.34551248300293691</v>
      </c>
      <c r="R181" s="11">
        <v>2.9826675545847298E-2</v>
      </c>
      <c r="S181" s="9" t="s">
        <v>40</v>
      </c>
      <c r="T181" s="9" t="s">
        <v>50</v>
      </c>
      <c r="U181" s="9" t="s">
        <v>33</v>
      </c>
      <c r="V181" s="9" t="s">
        <v>272</v>
      </c>
      <c r="W181" s="1">
        <v>10.84</v>
      </c>
      <c r="X181" s="1">
        <v>15</v>
      </c>
      <c r="Y181" s="3">
        <f t="shared" si="5"/>
        <v>0.72266666666666668</v>
      </c>
      <c r="Z181" s="11">
        <v>0.44622612224646258</v>
      </c>
      <c r="AA181" s="11">
        <v>0.2241108779618351</v>
      </c>
      <c r="AB181" s="10">
        <v>4</v>
      </c>
      <c r="AC181" s="10">
        <v>4</v>
      </c>
      <c r="AD181" s="10">
        <v>4</v>
      </c>
      <c r="AE181" s="10">
        <v>4</v>
      </c>
      <c r="AF181" s="10">
        <v>3</v>
      </c>
      <c r="AG181" s="9" t="s">
        <v>41</v>
      </c>
      <c r="AH181" s="9" t="s">
        <v>35</v>
      </c>
    </row>
    <row r="182" spans="1:34" x14ac:dyDescent="0.25">
      <c r="A182" s="9" t="s">
        <v>583</v>
      </c>
      <c r="B182" s="1" t="s">
        <v>464</v>
      </c>
      <c r="C182" s="10">
        <v>3</v>
      </c>
      <c r="D182" s="10">
        <v>2019</v>
      </c>
      <c r="E182" s="9" t="s">
        <v>38</v>
      </c>
      <c r="F182" s="9" t="s">
        <v>54</v>
      </c>
      <c r="G182" s="1">
        <v>12.74</v>
      </c>
      <c r="H182" s="1">
        <v>2.14</v>
      </c>
      <c r="I182" s="9" t="s">
        <v>30</v>
      </c>
      <c r="J182" s="1">
        <v>0.53</v>
      </c>
      <c r="K182" s="10">
        <v>40</v>
      </c>
      <c r="L182" s="3">
        <v>0.34</v>
      </c>
      <c r="M182" s="11">
        <v>2.0055470769230772E-2</v>
      </c>
      <c r="N182">
        <v>3</v>
      </c>
      <c r="O182" s="11">
        <v>0.35409252896224302</v>
      </c>
      <c r="P182" s="11">
        <v>2.7027027027027029E-2</v>
      </c>
      <c r="Q182" s="11">
        <v>0.34417315897285228</v>
      </c>
      <c r="R182" s="11">
        <v>1.9926187154136219E-2</v>
      </c>
      <c r="S182" s="9" t="s">
        <v>40</v>
      </c>
      <c r="T182" s="9" t="s">
        <v>50</v>
      </c>
      <c r="U182" s="9" t="s">
        <v>33</v>
      </c>
      <c r="V182" s="9" t="s">
        <v>351</v>
      </c>
      <c r="W182" s="1">
        <v>13</v>
      </c>
      <c r="X182" s="1">
        <v>15</v>
      </c>
      <c r="Y182" s="3">
        <f t="shared" si="5"/>
        <v>0.8666666666666667</v>
      </c>
      <c r="Z182" s="11">
        <v>0.38500315020013992</v>
      </c>
      <c r="AA182" s="11">
        <v>0.16637683297499881</v>
      </c>
      <c r="AB182" s="10">
        <v>3</v>
      </c>
      <c r="AC182" s="10">
        <v>3</v>
      </c>
      <c r="AD182" s="10">
        <v>3</v>
      </c>
      <c r="AE182" s="10">
        <v>3</v>
      </c>
      <c r="AF182" s="10">
        <v>0</v>
      </c>
      <c r="AG182" s="9" t="s">
        <v>41</v>
      </c>
      <c r="AH182" s="9" t="s">
        <v>35</v>
      </c>
    </row>
    <row r="183" spans="1:34" x14ac:dyDescent="0.25">
      <c r="A183" s="9" t="s">
        <v>583</v>
      </c>
      <c r="B183" s="1" t="s">
        <v>465</v>
      </c>
      <c r="C183" s="10">
        <v>3</v>
      </c>
      <c r="D183" s="10">
        <v>2019</v>
      </c>
      <c r="E183" s="9" t="s">
        <v>28</v>
      </c>
      <c r="F183" s="9" t="s">
        <v>54</v>
      </c>
      <c r="G183" s="1">
        <v>13.77</v>
      </c>
      <c r="H183" s="1">
        <v>2.97</v>
      </c>
      <c r="I183" s="9" t="s">
        <v>30</v>
      </c>
      <c r="J183" s="1">
        <v>0.3</v>
      </c>
      <c r="K183" s="10">
        <v>40</v>
      </c>
      <c r="L183" s="3">
        <v>0.53</v>
      </c>
      <c r="M183" s="11">
        <v>1.325909769230769E-2</v>
      </c>
      <c r="N183">
        <v>3</v>
      </c>
      <c r="O183" s="11">
        <v>0.59014515984118854</v>
      </c>
      <c r="P183" s="11">
        <v>2.7027027027027029E-2</v>
      </c>
      <c r="Q183" s="11">
        <v>0.53523375736247769</v>
      </c>
      <c r="R183" s="11">
        <v>1.3054299381082881E-2</v>
      </c>
      <c r="S183" s="9" t="s">
        <v>40</v>
      </c>
      <c r="T183" s="9" t="s">
        <v>50</v>
      </c>
      <c r="U183" s="9" t="s">
        <v>33</v>
      </c>
      <c r="V183" s="9" t="s">
        <v>351</v>
      </c>
      <c r="W183" s="1">
        <v>19.170000000000002</v>
      </c>
      <c r="X183" s="1">
        <v>15</v>
      </c>
      <c r="Y183" s="3">
        <f t="shared" si="5"/>
        <v>1.278</v>
      </c>
      <c r="Z183" s="11">
        <v>0.43932457874714631</v>
      </c>
      <c r="AA183" s="11">
        <v>0.12796566229421549</v>
      </c>
      <c r="AB183" s="10">
        <v>3</v>
      </c>
      <c r="AC183" s="10">
        <v>3</v>
      </c>
      <c r="AD183" s="10">
        <v>3</v>
      </c>
      <c r="AE183" s="10">
        <v>3</v>
      </c>
      <c r="AF183" s="10">
        <v>0</v>
      </c>
      <c r="AG183" s="9" t="s">
        <v>41</v>
      </c>
      <c r="AH183" s="9" t="s">
        <v>35</v>
      </c>
    </row>
    <row r="184" spans="1:34" x14ac:dyDescent="0.25">
      <c r="A184" s="9" t="s">
        <v>583</v>
      </c>
      <c r="B184" s="1" t="s">
        <v>466</v>
      </c>
      <c r="C184" s="10">
        <v>3</v>
      </c>
      <c r="D184" s="10">
        <v>2019</v>
      </c>
      <c r="E184" s="9" t="s">
        <v>28</v>
      </c>
      <c r="F184" s="9" t="s">
        <v>54</v>
      </c>
      <c r="G184" s="1">
        <v>14.52</v>
      </c>
      <c r="H184" s="1">
        <v>2.67</v>
      </c>
      <c r="I184" s="9" t="s">
        <v>30</v>
      </c>
      <c r="J184" s="1">
        <v>0.56000000000000005</v>
      </c>
      <c r="K184" s="10">
        <v>63</v>
      </c>
      <c r="L184" s="3">
        <v>0.39</v>
      </c>
      <c r="M184" s="11">
        <v>1.1595716290322579E-2</v>
      </c>
      <c r="N184">
        <v>3</v>
      </c>
      <c r="O184" s="11">
        <v>0.41180003447869029</v>
      </c>
      <c r="P184" s="11">
        <v>1.666666666666667E-2</v>
      </c>
      <c r="Q184" s="11">
        <v>0.392797426057378</v>
      </c>
      <c r="R184" s="11">
        <v>1.153589858190889E-2</v>
      </c>
      <c r="S184" s="9" t="s">
        <v>40</v>
      </c>
      <c r="T184" s="9" t="s">
        <v>50</v>
      </c>
      <c r="U184" s="9" t="s">
        <v>33</v>
      </c>
      <c r="V184" s="9" t="s">
        <v>351</v>
      </c>
      <c r="W184" s="1">
        <v>18.3</v>
      </c>
      <c r="X184" s="1">
        <v>15</v>
      </c>
      <c r="Y184" s="3">
        <f t="shared" si="5"/>
        <v>1.22</v>
      </c>
      <c r="Z184" s="11">
        <v>0.32796110484049062</v>
      </c>
      <c r="AA184" s="11">
        <v>0.1043518764180377</v>
      </c>
      <c r="AB184" s="10">
        <v>3</v>
      </c>
      <c r="AC184" s="10">
        <v>3</v>
      </c>
      <c r="AD184" s="10">
        <v>3</v>
      </c>
      <c r="AE184" s="10">
        <v>3</v>
      </c>
      <c r="AF184" s="10">
        <v>0</v>
      </c>
      <c r="AG184" s="9" t="s">
        <v>41</v>
      </c>
      <c r="AH184" s="9" t="s">
        <v>35</v>
      </c>
    </row>
    <row r="185" spans="1:34" x14ac:dyDescent="0.25">
      <c r="A185" s="9" t="s">
        <v>935</v>
      </c>
      <c r="B185" s="1" t="s">
        <v>467</v>
      </c>
      <c r="C185" s="10">
        <v>3</v>
      </c>
      <c r="D185" s="10">
        <v>2020</v>
      </c>
      <c r="E185" s="9" t="s">
        <v>38</v>
      </c>
      <c r="F185" s="9" t="s">
        <v>54</v>
      </c>
      <c r="G185" s="1">
        <v>10</v>
      </c>
      <c r="H185" s="1">
        <v>1.1000000000000001</v>
      </c>
      <c r="I185" s="9" t="s">
        <v>30</v>
      </c>
      <c r="J185" s="1">
        <v>0.6</v>
      </c>
      <c r="K185" s="10">
        <v>100</v>
      </c>
      <c r="L185" s="3">
        <v>-2.5000000000000001E-2</v>
      </c>
      <c r="M185" s="11">
        <v>1.0088387784090909E-2</v>
      </c>
      <c r="N185">
        <v>2500</v>
      </c>
      <c r="O185" s="11">
        <v>-2.5005210287330649E-2</v>
      </c>
      <c r="P185" s="11">
        <v>1.030927835051546E-2</v>
      </c>
      <c r="Q185" s="11">
        <v>-2.513046209583043E-2</v>
      </c>
      <c r="R185" s="11">
        <v>1.0088255743359901E-2</v>
      </c>
      <c r="S185" s="9" t="s">
        <v>40</v>
      </c>
      <c r="T185" s="9" t="s">
        <v>50</v>
      </c>
      <c r="U185" s="9" t="s">
        <v>33</v>
      </c>
      <c r="V185" s="9" t="s">
        <v>912</v>
      </c>
      <c r="W185" s="1" t="s">
        <v>31</v>
      </c>
      <c r="X185" s="1" t="s">
        <v>31</v>
      </c>
      <c r="Y185" s="3" t="s">
        <v>31</v>
      </c>
      <c r="Z185" s="11" t="s">
        <v>31</v>
      </c>
      <c r="AA185" s="11" t="s">
        <v>31</v>
      </c>
      <c r="AB185" s="10">
        <v>3</v>
      </c>
      <c r="AC185" s="10">
        <v>3</v>
      </c>
      <c r="AD185" s="10">
        <v>3</v>
      </c>
      <c r="AE185" s="10">
        <v>3</v>
      </c>
      <c r="AF185" s="10">
        <v>4</v>
      </c>
      <c r="AG185" s="9" t="s">
        <v>41</v>
      </c>
      <c r="AH185" s="9" t="s">
        <v>35</v>
      </c>
    </row>
    <row r="186" spans="1:34" x14ac:dyDescent="0.25">
      <c r="A186" s="9" t="s">
        <v>936</v>
      </c>
      <c r="B186" s="1" t="s">
        <v>468</v>
      </c>
      <c r="C186" s="10">
        <v>3</v>
      </c>
      <c r="D186" s="10">
        <v>2020</v>
      </c>
      <c r="E186" s="9" t="s">
        <v>28</v>
      </c>
      <c r="F186" s="9" t="s">
        <v>54</v>
      </c>
      <c r="G186" s="1">
        <v>12.3</v>
      </c>
      <c r="H186" s="1">
        <v>2.5</v>
      </c>
      <c r="I186" s="9" t="s">
        <v>30</v>
      </c>
      <c r="J186" s="1">
        <v>0.624</v>
      </c>
      <c r="K186" s="10">
        <v>304</v>
      </c>
      <c r="L186" s="3">
        <v>0.19</v>
      </c>
      <c r="M186" s="11">
        <v>3.0663472277227721E-3</v>
      </c>
      <c r="N186">
        <v>86</v>
      </c>
      <c r="O186" s="11">
        <v>0.1923371692195453</v>
      </c>
      <c r="P186" s="11">
        <v>3.3222591362126251E-3</v>
      </c>
      <c r="Q186" s="11">
        <v>0.19030540569061741</v>
      </c>
      <c r="R186" s="11">
        <v>3.065608298564019E-3</v>
      </c>
      <c r="S186" s="9" t="s">
        <v>40</v>
      </c>
      <c r="T186" s="9" t="s">
        <v>50</v>
      </c>
      <c r="U186" s="9" t="s">
        <v>33</v>
      </c>
      <c r="V186" s="9" t="s">
        <v>913</v>
      </c>
      <c r="W186" s="1">
        <v>13.8</v>
      </c>
      <c r="X186" s="1">
        <v>15</v>
      </c>
      <c r="Y186" s="3">
        <f>W186/X186</f>
        <v>0.92</v>
      </c>
      <c r="Z186" s="11">
        <v>0.20584855937078039</v>
      </c>
      <c r="AA186" s="11">
        <v>6.0809420724038839E-2</v>
      </c>
      <c r="AB186" s="10">
        <v>3</v>
      </c>
      <c r="AC186" s="10">
        <v>3</v>
      </c>
      <c r="AD186" s="10">
        <v>3</v>
      </c>
      <c r="AE186" s="10">
        <v>3</v>
      </c>
      <c r="AF186" s="10">
        <v>2</v>
      </c>
      <c r="AG186" s="9" t="s">
        <v>41</v>
      </c>
      <c r="AH186" s="9" t="s">
        <v>263</v>
      </c>
    </row>
    <row r="187" spans="1:34" x14ac:dyDescent="0.25">
      <c r="A187" s="9" t="s">
        <v>936</v>
      </c>
      <c r="B187" s="1" t="s">
        <v>469</v>
      </c>
      <c r="C187" s="10">
        <v>3</v>
      </c>
      <c r="D187" s="10">
        <v>2020</v>
      </c>
      <c r="E187" s="9" t="s">
        <v>28</v>
      </c>
      <c r="F187" s="9" t="s">
        <v>54</v>
      </c>
      <c r="G187" s="1">
        <v>12.5</v>
      </c>
      <c r="H187" s="1">
        <v>2.2999999999999998</v>
      </c>
      <c r="I187" s="9" t="s">
        <v>30</v>
      </c>
      <c r="J187" s="1">
        <v>0.51900000000000002</v>
      </c>
      <c r="K187" s="10">
        <v>161</v>
      </c>
      <c r="L187" s="3">
        <v>-7.0000000000000007E-2</v>
      </c>
      <c r="M187" s="11">
        <v>6.1889000624999998E-3</v>
      </c>
      <c r="N187">
        <v>86</v>
      </c>
      <c r="O187" s="11">
        <v>-7.0114670654325195E-2</v>
      </c>
      <c r="P187" s="11">
        <v>6.3291139240506328E-3</v>
      </c>
      <c r="Q187" s="11">
        <v>-7.022217388436007E-2</v>
      </c>
      <c r="R187" s="11">
        <v>6.1885125554173269E-3</v>
      </c>
      <c r="S187" s="9" t="s">
        <v>40</v>
      </c>
      <c r="T187" s="9" t="s">
        <v>50</v>
      </c>
      <c r="U187" s="9" t="s">
        <v>33</v>
      </c>
      <c r="V187" s="9" t="s">
        <v>913</v>
      </c>
      <c r="W187" s="1">
        <v>12.9</v>
      </c>
      <c r="X187" s="1">
        <v>15</v>
      </c>
      <c r="Y187" s="3">
        <f>W187/X187</f>
        <v>0.86</v>
      </c>
      <c r="Z187" s="11">
        <v>-8.1325227811557307E-2</v>
      </c>
      <c r="AA187" s="11">
        <v>9.1751558290866703E-2</v>
      </c>
      <c r="AB187" s="10">
        <v>3</v>
      </c>
      <c r="AC187" s="10">
        <v>3</v>
      </c>
      <c r="AD187" s="10">
        <v>3</v>
      </c>
      <c r="AE187" s="10">
        <v>3</v>
      </c>
      <c r="AF187" s="10">
        <v>2</v>
      </c>
      <c r="AG187" s="9" t="s">
        <v>41</v>
      </c>
      <c r="AH187" s="9" t="s">
        <v>263</v>
      </c>
    </row>
    <row r="188" spans="1:34" x14ac:dyDescent="0.25">
      <c r="A188" s="9" t="s">
        <v>584</v>
      </c>
      <c r="B188" s="1" t="s">
        <v>470</v>
      </c>
      <c r="C188" s="10">
        <v>3</v>
      </c>
      <c r="D188" s="10">
        <v>2020</v>
      </c>
      <c r="E188" s="9" t="s">
        <v>38</v>
      </c>
      <c r="F188" s="9" t="s">
        <v>29</v>
      </c>
      <c r="G188" s="1">
        <v>39.6</v>
      </c>
      <c r="H188" s="1" t="s">
        <v>31</v>
      </c>
      <c r="I188" s="9" t="s">
        <v>30</v>
      </c>
      <c r="J188" s="1">
        <v>0.43</v>
      </c>
      <c r="K188" s="10">
        <v>1216</v>
      </c>
      <c r="L188" s="3">
        <v>0.12</v>
      </c>
      <c r="M188" s="11">
        <v>7.995122304526749E-4</v>
      </c>
      <c r="N188">
        <v>3443</v>
      </c>
      <c r="O188" s="11">
        <v>0.1205810284084441</v>
      </c>
      <c r="P188" s="11">
        <v>8.2440230832646333E-4</v>
      </c>
      <c r="Q188" s="11">
        <v>0.1200488008326336</v>
      </c>
      <c r="R188" s="11">
        <v>7.9949322498310091E-4</v>
      </c>
      <c r="S188" s="9" t="s">
        <v>40</v>
      </c>
      <c r="T188" s="9" t="s">
        <v>46</v>
      </c>
      <c r="U188" s="9" t="s">
        <v>33</v>
      </c>
      <c r="V188" s="9" t="s">
        <v>354</v>
      </c>
      <c r="W188" s="1" t="s">
        <v>31</v>
      </c>
      <c r="X188" s="1" t="s">
        <v>31</v>
      </c>
      <c r="Y188" s="3" t="s">
        <v>31</v>
      </c>
      <c r="Z188" s="11" t="s">
        <v>31</v>
      </c>
      <c r="AA188" s="11" t="s">
        <v>31</v>
      </c>
      <c r="AB188" s="10">
        <v>4</v>
      </c>
      <c r="AC188" s="10">
        <v>3</v>
      </c>
      <c r="AD188" s="10">
        <v>3</v>
      </c>
      <c r="AE188" s="10">
        <v>3</v>
      </c>
      <c r="AF188" s="10">
        <v>0</v>
      </c>
      <c r="AG188" s="9" t="s">
        <v>34</v>
      </c>
      <c r="AH188" s="9" t="s">
        <v>35</v>
      </c>
    </row>
    <row r="189" spans="1:34" x14ac:dyDescent="0.25">
      <c r="A189" s="9" t="s">
        <v>585</v>
      </c>
      <c r="B189" s="1" t="s">
        <v>588</v>
      </c>
      <c r="C189" s="10">
        <v>3</v>
      </c>
      <c r="D189" s="10">
        <v>2020</v>
      </c>
      <c r="E189" s="9" t="s">
        <v>38</v>
      </c>
      <c r="F189" s="9" t="s">
        <v>29</v>
      </c>
      <c r="G189" s="1">
        <v>22.3</v>
      </c>
      <c r="H189" s="1">
        <v>3.3</v>
      </c>
      <c r="I189" s="9" t="s">
        <v>30</v>
      </c>
      <c r="J189" s="1">
        <v>0.38</v>
      </c>
      <c r="K189" s="10">
        <v>1097</v>
      </c>
      <c r="L189" s="3">
        <v>0.253</v>
      </c>
      <c r="M189" s="11">
        <v>7.9934229204470806E-4</v>
      </c>
      <c r="N189">
        <v>5</v>
      </c>
      <c r="O189" s="11">
        <v>0.25861538488162561</v>
      </c>
      <c r="P189" s="11">
        <v>9.1407678244972577E-4</v>
      </c>
      <c r="Q189" s="11">
        <v>0.25310833879247502</v>
      </c>
      <c r="R189" s="11">
        <v>7.9924864245541039E-4</v>
      </c>
      <c r="S189" s="9" t="s">
        <v>40</v>
      </c>
      <c r="T189" s="9" t="s">
        <v>46</v>
      </c>
      <c r="U189" s="9" t="s">
        <v>33</v>
      </c>
      <c r="V189" s="9" t="s">
        <v>355</v>
      </c>
      <c r="W189" s="1">
        <v>12.7</v>
      </c>
      <c r="X189" s="1">
        <v>15</v>
      </c>
      <c r="Y189" s="3">
        <f t="shared" ref="Y189:Y195" si="6">W189/X189</f>
        <v>0.84666666666666657</v>
      </c>
      <c r="Z189" s="11">
        <v>0.29511142668412538</v>
      </c>
      <c r="AA189" s="11">
        <v>3.3262142061331122E-2</v>
      </c>
      <c r="AB189" s="10">
        <v>3</v>
      </c>
      <c r="AC189" s="10">
        <v>3</v>
      </c>
      <c r="AD189" s="10">
        <v>3</v>
      </c>
      <c r="AE189" s="10">
        <v>3</v>
      </c>
      <c r="AF189" s="10">
        <v>2</v>
      </c>
      <c r="AG189" s="9" t="s">
        <v>34</v>
      </c>
      <c r="AH189" s="9" t="s">
        <v>35</v>
      </c>
    </row>
    <row r="190" spans="1:34" x14ac:dyDescent="0.25">
      <c r="A190" s="9" t="s">
        <v>937</v>
      </c>
      <c r="B190" s="1" t="s">
        <v>590</v>
      </c>
      <c r="C190" s="10">
        <v>3</v>
      </c>
      <c r="D190" s="10">
        <v>2020</v>
      </c>
      <c r="E190" s="9" t="s">
        <v>38</v>
      </c>
      <c r="F190" s="9" t="s">
        <v>54</v>
      </c>
      <c r="G190" s="1">
        <v>13.1</v>
      </c>
      <c r="H190" s="1">
        <v>4.0999999999999996</v>
      </c>
      <c r="I190" s="9" t="s">
        <v>30</v>
      </c>
      <c r="J190" s="1">
        <v>0.72699999999999998</v>
      </c>
      <c r="K190" s="10">
        <v>216</v>
      </c>
      <c r="L190" s="3">
        <v>0.38</v>
      </c>
      <c r="M190" s="11">
        <v>3.4048900465116281E-3</v>
      </c>
      <c r="N190">
        <v>5</v>
      </c>
      <c r="O190" s="11">
        <v>0.40005965005605648</v>
      </c>
      <c r="P190" s="11">
        <v>4.6948356807511738E-3</v>
      </c>
      <c r="Q190" s="11">
        <v>0.3807665286343439</v>
      </c>
      <c r="R190" s="11">
        <v>3.400250302012279E-3</v>
      </c>
      <c r="S190" s="9" t="s">
        <v>40</v>
      </c>
      <c r="T190" s="9" t="s">
        <v>50</v>
      </c>
      <c r="U190" s="9" t="s">
        <v>33</v>
      </c>
      <c r="V190" s="9" t="s">
        <v>972</v>
      </c>
      <c r="W190" s="1">
        <v>16</v>
      </c>
      <c r="X190" s="1">
        <v>15</v>
      </c>
      <c r="Y190" s="3">
        <f t="shared" si="6"/>
        <v>1.0666666666666667</v>
      </c>
      <c r="Z190" s="11">
        <v>0.35940613444085701</v>
      </c>
      <c r="AA190" s="11">
        <v>6.0868362039978523E-2</v>
      </c>
      <c r="AB190" s="10" t="s">
        <v>31</v>
      </c>
      <c r="AC190" s="10" t="s">
        <v>31</v>
      </c>
      <c r="AD190" s="10" t="s">
        <v>31</v>
      </c>
      <c r="AE190" s="10" t="s">
        <v>31</v>
      </c>
      <c r="AF190" s="10">
        <v>2</v>
      </c>
      <c r="AG190" s="9" t="s">
        <v>41</v>
      </c>
      <c r="AH190" s="9" t="s">
        <v>35</v>
      </c>
    </row>
    <row r="191" spans="1:34" x14ac:dyDescent="0.25">
      <c r="A191" s="9" t="s">
        <v>937</v>
      </c>
      <c r="B191" s="1" t="s">
        <v>591</v>
      </c>
      <c r="C191" s="10">
        <v>3</v>
      </c>
      <c r="D191" s="10">
        <v>2020</v>
      </c>
      <c r="E191" s="9" t="s">
        <v>28</v>
      </c>
      <c r="F191" s="9" t="s">
        <v>54</v>
      </c>
      <c r="G191" s="1">
        <v>13</v>
      </c>
      <c r="H191" s="1">
        <v>3.5</v>
      </c>
      <c r="I191" s="9" t="s">
        <v>30</v>
      </c>
      <c r="J191" s="1">
        <v>0.82099999999999995</v>
      </c>
      <c r="K191" s="10">
        <v>240</v>
      </c>
      <c r="L191" s="3">
        <v>4.4999999999999998E-2</v>
      </c>
      <c r="M191" s="11">
        <v>4.1671719691422594E-3</v>
      </c>
      <c r="N191">
        <v>5</v>
      </c>
      <c r="O191" s="11">
        <v>4.5030411959090563E-2</v>
      </c>
      <c r="P191" s="11">
        <v>4.2194092827004216E-3</v>
      </c>
      <c r="Q191" s="11">
        <v>4.5095244642536302E-2</v>
      </c>
      <c r="R191" s="11">
        <v>4.1671003065828728E-3</v>
      </c>
      <c r="S191" s="9" t="s">
        <v>40</v>
      </c>
      <c r="T191" s="9" t="s">
        <v>50</v>
      </c>
      <c r="U191" s="9" t="s">
        <v>33</v>
      </c>
      <c r="V191" s="9" t="s">
        <v>972</v>
      </c>
      <c r="W191" s="1">
        <v>20.6</v>
      </c>
      <c r="X191" s="1">
        <v>15</v>
      </c>
      <c r="Y191" s="3">
        <f t="shared" si="6"/>
        <v>1.3733333333333335</v>
      </c>
      <c r="Z191" s="11">
        <v>3.2782587438429302E-2</v>
      </c>
      <c r="AA191" s="11">
        <v>4.7218851385985992E-2</v>
      </c>
      <c r="AB191" s="10" t="s">
        <v>31</v>
      </c>
      <c r="AC191" s="10" t="s">
        <v>31</v>
      </c>
      <c r="AD191" s="10" t="s">
        <v>31</v>
      </c>
      <c r="AE191" s="10" t="s">
        <v>31</v>
      </c>
      <c r="AF191" s="10">
        <v>2</v>
      </c>
      <c r="AG191" s="9" t="s">
        <v>41</v>
      </c>
      <c r="AH191" s="9" t="s">
        <v>35</v>
      </c>
    </row>
    <row r="192" spans="1:34" x14ac:dyDescent="0.25">
      <c r="A192" s="9" t="s">
        <v>937</v>
      </c>
      <c r="B192" s="1" t="s">
        <v>592</v>
      </c>
      <c r="C192" s="10">
        <v>3</v>
      </c>
      <c r="D192" s="10">
        <v>2020</v>
      </c>
      <c r="E192" s="9" t="s">
        <v>38</v>
      </c>
      <c r="F192" s="9" t="s">
        <v>29</v>
      </c>
      <c r="G192" s="1">
        <v>20.6</v>
      </c>
      <c r="H192" s="1">
        <v>9.1999999999999993</v>
      </c>
      <c r="I192" s="9" t="s">
        <v>43</v>
      </c>
      <c r="J192" s="1">
        <v>1</v>
      </c>
      <c r="K192" s="10">
        <v>89</v>
      </c>
      <c r="L192" s="3">
        <v>0.35</v>
      </c>
      <c r="M192" s="11">
        <v>8.7500710227272748E-3</v>
      </c>
      <c r="N192">
        <v>9</v>
      </c>
      <c r="O192" s="11">
        <v>0.36544375427139619</v>
      </c>
      <c r="P192" s="11">
        <v>1.1627906976744189E-2</v>
      </c>
      <c r="Q192" s="11">
        <v>0.35180591453912219</v>
      </c>
      <c r="R192" s="11">
        <v>8.7248132575660376E-3</v>
      </c>
      <c r="S192" s="9" t="s">
        <v>40</v>
      </c>
      <c r="T192" s="9" t="s">
        <v>50</v>
      </c>
      <c r="U192" s="9" t="s">
        <v>33</v>
      </c>
      <c r="V192" s="9" t="s">
        <v>914</v>
      </c>
      <c r="W192" s="1">
        <v>19.600000000000001</v>
      </c>
      <c r="X192" s="1">
        <v>15</v>
      </c>
      <c r="Y192" s="3">
        <f t="shared" si="6"/>
        <v>1.3066666666666669</v>
      </c>
      <c r="Z192" s="11">
        <v>0.27492454356776491</v>
      </c>
      <c r="AA192" s="11">
        <v>8.3105538114646937E-2</v>
      </c>
      <c r="AB192" s="10" t="s">
        <v>31</v>
      </c>
      <c r="AC192" s="10" t="s">
        <v>31</v>
      </c>
      <c r="AD192" s="10" t="s">
        <v>31</v>
      </c>
      <c r="AE192" s="10" t="s">
        <v>31</v>
      </c>
      <c r="AF192" s="10">
        <v>1</v>
      </c>
      <c r="AG192" s="9" t="s">
        <v>41</v>
      </c>
      <c r="AH192" s="9" t="s">
        <v>35</v>
      </c>
    </row>
    <row r="193" spans="1:34" x14ac:dyDescent="0.25">
      <c r="A193" s="9" t="s">
        <v>937</v>
      </c>
      <c r="B193" s="1" t="s">
        <v>593</v>
      </c>
      <c r="C193" s="10">
        <v>3</v>
      </c>
      <c r="D193" s="10">
        <v>2020</v>
      </c>
      <c r="E193" s="9" t="s">
        <v>28</v>
      </c>
      <c r="F193" s="9" t="s">
        <v>29</v>
      </c>
      <c r="G193" s="1">
        <v>16.600000000000001</v>
      </c>
      <c r="H193" s="1">
        <v>9.1</v>
      </c>
      <c r="I193" s="9" t="s">
        <v>43</v>
      </c>
      <c r="J193" s="1">
        <v>1</v>
      </c>
      <c r="K193" s="10">
        <v>86</v>
      </c>
      <c r="L193" s="3">
        <v>0.25</v>
      </c>
      <c r="M193" s="11">
        <v>1.0340073529411759E-2</v>
      </c>
      <c r="N193">
        <v>9</v>
      </c>
      <c r="O193" s="11">
        <v>0.25541281188299542</v>
      </c>
      <c r="P193" s="11">
        <v>1.204819277108434E-2</v>
      </c>
      <c r="Q193" s="11">
        <v>0.25143093224330287</v>
      </c>
      <c r="R193" s="11">
        <v>1.032425207834721E-2</v>
      </c>
      <c r="S193" s="9" t="s">
        <v>40</v>
      </c>
      <c r="T193" s="9" t="s">
        <v>50</v>
      </c>
      <c r="U193" s="9" t="s">
        <v>33</v>
      </c>
      <c r="V193" s="9" t="s">
        <v>914</v>
      </c>
      <c r="W193" s="1">
        <v>23.1</v>
      </c>
      <c r="X193" s="1">
        <v>15</v>
      </c>
      <c r="Y193" s="3">
        <f t="shared" si="6"/>
        <v>1.54</v>
      </c>
      <c r="Z193" s="11">
        <v>0.16535364382967779</v>
      </c>
      <c r="AA193" s="11">
        <v>7.2495111139170065E-2</v>
      </c>
      <c r="AB193" s="10" t="s">
        <v>31</v>
      </c>
      <c r="AC193" s="10" t="s">
        <v>31</v>
      </c>
      <c r="AD193" s="10" t="s">
        <v>31</v>
      </c>
      <c r="AE193" s="10" t="s">
        <v>31</v>
      </c>
      <c r="AF193" s="10">
        <v>1</v>
      </c>
      <c r="AG193" s="9" t="s">
        <v>41</v>
      </c>
      <c r="AH193" s="9" t="s">
        <v>35</v>
      </c>
    </row>
    <row r="194" spans="1:34" x14ac:dyDescent="0.25">
      <c r="A194" s="9" t="s">
        <v>938</v>
      </c>
      <c r="B194" s="1" t="s">
        <v>594</v>
      </c>
      <c r="C194" s="10">
        <v>3</v>
      </c>
      <c r="D194" s="10">
        <v>2021</v>
      </c>
      <c r="E194" s="9" t="s">
        <v>28</v>
      </c>
      <c r="F194" s="9" t="s">
        <v>29</v>
      </c>
      <c r="G194" s="1">
        <v>26.7</v>
      </c>
      <c r="H194" s="1">
        <v>0.61</v>
      </c>
      <c r="I194" s="9" t="s">
        <v>30</v>
      </c>
      <c r="J194" s="1">
        <v>0.57399999999999995</v>
      </c>
      <c r="K194" s="10">
        <v>97</v>
      </c>
      <c r="L194" s="3">
        <v>0.377</v>
      </c>
      <c r="M194" s="11">
        <v>7.6660692983437509E-3</v>
      </c>
      <c r="N194">
        <v>4</v>
      </c>
      <c r="O194" s="11">
        <v>0.39655798997060088</v>
      </c>
      <c r="P194" s="11">
        <v>1.063829787234043E-2</v>
      </c>
      <c r="Q194" s="11">
        <v>0.37873736008379782</v>
      </c>
      <c r="R194" s="11">
        <v>7.6426211255508714E-3</v>
      </c>
      <c r="S194" s="9" t="s">
        <v>40</v>
      </c>
      <c r="T194" s="9" t="s">
        <v>46</v>
      </c>
      <c r="U194" s="9" t="s">
        <v>33</v>
      </c>
      <c r="V194" s="9" t="s">
        <v>915</v>
      </c>
      <c r="W194" s="1">
        <v>12.7</v>
      </c>
      <c r="X194" s="1">
        <v>15</v>
      </c>
      <c r="Y194" s="3">
        <f t="shared" si="6"/>
        <v>0.84666666666666657</v>
      </c>
      <c r="Z194" s="11">
        <v>0.43327922392077428</v>
      </c>
      <c r="AA194" s="11">
        <v>0.10340788564602681</v>
      </c>
      <c r="AB194" s="10">
        <v>3</v>
      </c>
      <c r="AC194" s="10">
        <v>3</v>
      </c>
      <c r="AD194" s="10">
        <v>3</v>
      </c>
      <c r="AE194" s="10">
        <v>3</v>
      </c>
      <c r="AF194" s="10">
        <v>1</v>
      </c>
      <c r="AG194" s="9" t="s">
        <v>41</v>
      </c>
      <c r="AH194" s="9" t="s">
        <v>35</v>
      </c>
    </row>
    <row r="195" spans="1:34" x14ac:dyDescent="0.25">
      <c r="A195" s="9" t="s">
        <v>939</v>
      </c>
      <c r="B195" s="1" t="s">
        <v>595</v>
      </c>
      <c r="C195" s="10">
        <v>3</v>
      </c>
      <c r="D195" s="10">
        <v>2021</v>
      </c>
      <c r="E195" s="9" t="s">
        <v>28</v>
      </c>
      <c r="F195" s="9" t="s">
        <v>29</v>
      </c>
      <c r="G195" s="1">
        <v>26.27</v>
      </c>
      <c r="H195" s="1">
        <v>3.43</v>
      </c>
      <c r="I195" s="9" t="s">
        <v>30</v>
      </c>
      <c r="J195" s="1">
        <v>0.55700000000000005</v>
      </c>
      <c r="K195" s="10">
        <v>97</v>
      </c>
      <c r="L195" s="3">
        <v>0.14000000000000001</v>
      </c>
      <c r="M195" s="11">
        <v>1.0012335000000001E-2</v>
      </c>
      <c r="N195">
        <v>5</v>
      </c>
      <c r="O195" s="11">
        <v>0.14092557607049391</v>
      </c>
      <c r="P195" s="11">
        <v>1.063829787234043E-2</v>
      </c>
      <c r="Q195" s="11">
        <v>0.14073954988321011</v>
      </c>
      <c r="R195" s="11">
        <v>1.0008094792115769E-2</v>
      </c>
      <c r="S195" s="9" t="s">
        <v>40</v>
      </c>
      <c r="T195" s="9" t="s">
        <v>50</v>
      </c>
      <c r="U195" s="9" t="s">
        <v>33</v>
      </c>
      <c r="V195" s="9" t="s">
        <v>916</v>
      </c>
      <c r="W195" s="1">
        <v>11.54</v>
      </c>
      <c r="X195" s="1">
        <v>15</v>
      </c>
      <c r="Y195" s="3">
        <f t="shared" si="6"/>
        <v>0.76933333333333331</v>
      </c>
      <c r="Z195" s="11">
        <v>0.18075834630022841</v>
      </c>
      <c r="AA195" s="11">
        <v>0.1294136003054879</v>
      </c>
      <c r="AB195" s="10">
        <v>3</v>
      </c>
      <c r="AC195" s="10">
        <v>3</v>
      </c>
      <c r="AD195" s="10">
        <v>3</v>
      </c>
      <c r="AE195" s="10">
        <v>3</v>
      </c>
      <c r="AF195" s="10">
        <v>2</v>
      </c>
      <c r="AG195" s="9" t="s">
        <v>41</v>
      </c>
      <c r="AH195" s="9" t="s">
        <v>35</v>
      </c>
    </row>
  </sheetData>
  <sortState xmlns:xlrd2="http://schemas.microsoft.com/office/spreadsheetml/2017/richdata2" ref="A2:AH195">
    <sortCondition ref="D1:D195"/>
  </sortState>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8DEE-94DE-43FD-BD10-5126C5AA6A92}">
  <dimension ref="A1:AD116"/>
  <sheetViews>
    <sheetView topLeftCell="Q1" workbookViewId="0">
      <selection activeCell="AB1" sqref="AB1:AB1048576"/>
    </sheetView>
  </sheetViews>
  <sheetFormatPr baseColWidth="10" defaultRowHeight="15" x14ac:dyDescent="0.25"/>
  <cols>
    <col min="1" max="1" width="11.42578125" style="9" customWidth="1"/>
    <col min="2" max="4" width="11.42578125" style="10" customWidth="1"/>
    <col min="5" max="6" width="11.42578125" style="9" customWidth="1"/>
    <col min="7" max="8" width="11.42578125" style="1" customWidth="1"/>
    <col min="9" max="9" width="11.42578125" style="9" customWidth="1"/>
    <col min="10" max="10" width="11.42578125" style="1" customWidth="1"/>
    <col min="11" max="11" width="11.42578125" style="10" customWidth="1"/>
    <col min="12" max="12" width="11.42578125" style="3" customWidth="1"/>
    <col min="13" max="13" width="11.42578125" style="11" customWidth="1"/>
    <col min="14" max="14" width="11.42578125" customWidth="1"/>
    <col min="15" max="18" width="11.42578125" style="11" customWidth="1"/>
    <col min="19" max="22" width="11.42578125" style="9" customWidth="1"/>
    <col min="23" max="24" width="11.42578125" style="1" customWidth="1"/>
    <col min="25" max="25" width="11.42578125" style="3" customWidth="1"/>
    <col min="26" max="27" width="11.42578125" style="11" customWidth="1"/>
    <col min="28" max="28" width="11.42578125" style="10" customWidth="1"/>
    <col min="29" max="30" width="11.42578125" style="9" customWidth="1"/>
  </cols>
  <sheetData>
    <row r="1" spans="1:30" x14ac:dyDescent="0.25">
      <c r="A1" s="9" t="s">
        <v>0</v>
      </c>
      <c r="B1" s="10" t="s">
        <v>2</v>
      </c>
      <c r="C1" s="10" t="s">
        <v>3</v>
      </c>
      <c r="D1" s="10" t="s">
        <v>4</v>
      </c>
      <c r="E1" s="9" t="s">
        <v>5</v>
      </c>
      <c r="F1" s="9" t="s">
        <v>6</v>
      </c>
      <c r="G1" s="1" t="s">
        <v>7</v>
      </c>
      <c r="H1" s="1" t="s">
        <v>8</v>
      </c>
      <c r="I1" s="9" t="s">
        <v>9</v>
      </c>
      <c r="J1" s="1" t="s">
        <v>273</v>
      </c>
      <c r="K1" s="10" t="s">
        <v>849</v>
      </c>
      <c r="L1" s="3" t="s">
        <v>10</v>
      </c>
      <c r="M1" s="11" t="s">
        <v>317</v>
      </c>
      <c r="N1" t="s">
        <v>11</v>
      </c>
      <c r="O1" s="11" t="s">
        <v>318</v>
      </c>
      <c r="P1" s="11" t="s">
        <v>319</v>
      </c>
      <c r="Q1" s="11" t="s">
        <v>320</v>
      </c>
      <c r="R1" s="11" t="s">
        <v>321</v>
      </c>
      <c r="S1" s="9" t="s">
        <v>12</v>
      </c>
      <c r="T1" s="9" t="s">
        <v>13</v>
      </c>
      <c r="U1" s="9" t="s">
        <v>14</v>
      </c>
      <c r="V1" s="9" t="s">
        <v>15</v>
      </c>
      <c r="W1" s="1" t="s">
        <v>16</v>
      </c>
      <c r="X1" s="1" t="s">
        <v>17</v>
      </c>
      <c r="Y1" s="3" t="s">
        <v>18</v>
      </c>
      <c r="Z1" s="11" t="s">
        <v>322</v>
      </c>
      <c r="AA1" s="11" t="s">
        <v>501</v>
      </c>
      <c r="AB1" s="10" t="s">
        <v>23</v>
      </c>
      <c r="AC1" s="9" t="s">
        <v>24</v>
      </c>
      <c r="AD1" s="9" t="s">
        <v>25</v>
      </c>
    </row>
    <row r="2" spans="1:30" x14ac:dyDescent="0.25">
      <c r="A2" s="9" t="s">
        <v>502</v>
      </c>
      <c r="B2" s="10" t="s">
        <v>596</v>
      </c>
      <c r="C2" s="10">
        <v>2</v>
      </c>
      <c r="D2" s="10">
        <v>1987</v>
      </c>
      <c r="E2" s="9" t="s">
        <v>28</v>
      </c>
      <c r="F2" s="9" t="s">
        <v>29</v>
      </c>
      <c r="G2" s="1">
        <v>38.4</v>
      </c>
      <c r="H2" s="1">
        <v>14.1</v>
      </c>
      <c r="I2" s="9" t="s">
        <v>30</v>
      </c>
      <c r="J2" s="1">
        <v>0.34</v>
      </c>
      <c r="K2" s="10">
        <v>41</v>
      </c>
      <c r="L2" s="3">
        <v>0.12</v>
      </c>
      <c r="M2" s="11">
        <v>2.4285184000000001E-2</v>
      </c>
      <c r="N2">
        <v>20</v>
      </c>
      <c r="O2" s="11">
        <v>0.1205810284084441</v>
      </c>
      <c r="P2" s="11">
        <v>2.6315789473684209E-2</v>
      </c>
      <c r="Q2" s="11">
        <v>0.12160743110574</v>
      </c>
      <c r="R2" s="11">
        <v>2.4266049030178229E-2</v>
      </c>
      <c r="S2" s="9" t="s">
        <v>32</v>
      </c>
      <c r="T2" s="9" t="s">
        <v>31</v>
      </c>
      <c r="U2" s="9" t="s">
        <v>276</v>
      </c>
      <c r="V2" s="9" t="s">
        <v>277</v>
      </c>
      <c r="W2" s="1">
        <v>13.3</v>
      </c>
      <c r="X2" s="1">
        <v>15</v>
      </c>
      <c r="Y2" s="3">
        <f>W2/X2</f>
        <v>0.88666666666666671</v>
      </c>
      <c r="Z2" s="11">
        <v>0.13507409766053299</v>
      </c>
      <c r="AA2" s="11">
        <v>0.17814836485886901</v>
      </c>
      <c r="AB2" s="10">
        <v>1</v>
      </c>
      <c r="AC2" s="9" t="s">
        <v>34</v>
      </c>
      <c r="AD2" s="9" t="s">
        <v>35</v>
      </c>
    </row>
    <row r="3" spans="1:30" x14ac:dyDescent="0.25">
      <c r="A3" s="9" t="s">
        <v>503</v>
      </c>
      <c r="B3" s="10" t="s">
        <v>597</v>
      </c>
      <c r="C3" s="10">
        <v>2</v>
      </c>
      <c r="D3" s="10">
        <v>1993</v>
      </c>
      <c r="E3" s="9" t="s">
        <v>38</v>
      </c>
      <c r="F3" s="9" t="s">
        <v>29</v>
      </c>
      <c r="G3" s="1">
        <v>38</v>
      </c>
      <c r="H3" s="1">
        <v>16</v>
      </c>
      <c r="I3" s="9" t="s">
        <v>39</v>
      </c>
      <c r="J3" s="1">
        <v>0</v>
      </c>
      <c r="K3" s="10">
        <v>30</v>
      </c>
      <c r="L3" s="3">
        <v>0.43</v>
      </c>
      <c r="M3" s="11">
        <v>2.2909931379310348E-2</v>
      </c>
      <c r="N3">
        <v>132</v>
      </c>
      <c r="O3" s="11">
        <v>0.45989668121267852</v>
      </c>
      <c r="P3" s="11">
        <v>3.7037037037037042E-2</v>
      </c>
      <c r="Q3" s="11">
        <v>0.43668940203762968</v>
      </c>
      <c r="R3" s="11">
        <v>2.2585183443199298E-2</v>
      </c>
      <c r="S3" s="9" t="s">
        <v>40</v>
      </c>
      <c r="T3" s="9" t="s">
        <v>46</v>
      </c>
      <c r="U3" s="9" t="s">
        <v>276</v>
      </c>
      <c r="V3" s="9" t="s">
        <v>278</v>
      </c>
      <c r="W3" s="1">
        <v>15</v>
      </c>
      <c r="X3" s="1">
        <v>15</v>
      </c>
      <c r="Y3" s="3">
        <f>W3/X3</f>
        <v>1</v>
      </c>
      <c r="Z3" s="11">
        <v>0.43</v>
      </c>
      <c r="AA3" s="11">
        <v>0.170618622329786</v>
      </c>
      <c r="AB3" s="10">
        <v>1</v>
      </c>
      <c r="AC3" s="9" t="s">
        <v>41</v>
      </c>
      <c r="AD3" s="9" t="s">
        <v>35</v>
      </c>
    </row>
    <row r="4" spans="1:30" x14ac:dyDescent="0.25">
      <c r="A4" s="9" t="s">
        <v>503</v>
      </c>
      <c r="B4" s="10" t="s">
        <v>598</v>
      </c>
      <c r="C4" s="10">
        <v>2</v>
      </c>
      <c r="D4" s="10">
        <v>1993</v>
      </c>
      <c r="E4" s="9" t="s">
        <v>38</v>
      </c>
      <c r="F4" s="9" t="s">
        <v>29</v>
      </c>
      <c r="G4" s="1">
        <v>38</v>
      </c>
      <c r="H4" s="1">
        <v>16</v>
      </c>
      <c r="I4" s="9" t="s">
        <v>43</v>
      </c>
      <c r="J4" s="1">
        <v>1</v>
      </c>
      <c r="K4" s="10">
        <v>37</v>
      </c>
      <c r="L4" s="3">
        <v>0.33</v>
      </c>
      <c r="M4" s="11">
        <v>2.2057200277777779E-2</v>
      </c>
      <c r="N4">
        <v>132</v>
      </c>
      <c r="O4" s="11">
        <v>0.34282825441539388</v>
      </c>
      <c r="P4" s="11">
        <v>2.9411764705882349E-2</v>
      </c>
      <c r="Q4" s="11">
        <v>0.33445370867935148</v>
      </c>
      <c r="R4" s="11">
        <v>2.1910942576397731E-2</v>
      </c>
      <c r="S4" s="9" t="s">
        <v>40</v>
      </c>
      <c r="T4" s="9" t="s">
        <v>46</v>
      </c>
      <c r="U4" s="9" t="s">
        <v>276</v>
      </c>
      <c r="V4" s="9" t="s">
        <v>278</v>
      </c>
      <c r="W4" s="1">
        <v>15</v>
      </c>
      <c r="X4" s="1">
        <v>15</v>
      </c>
      <c r="Y4" s="3">
        <f>W4/X4</f>
        <v>1</v>
      </c>
      <c r="Z4" s="11">
        <v>0.33</v>
      </c>
      <c r="AA4" s="11">
        <v>0.159561900214306</v>
      </c>
      <c r="AB4" s="10">
        <v>1</v>
      </c>
      <c r="AC4" s="9" t="s">
        <v>41</v>
      </c>
      <c r="AD4" s="9" t="s">
        <v>35</v>
      </c>
    </row>
    <row r="5" spans="1:30" x14ac:dyDescent="0.25">
      <c r="A5" s="9" t="s">
        <v>504</v>
      </c>
      <c r="B5" s="10" t="s">
        <v>599</v>
      </c>
      <c r="C5" s="10">
        <v>2</v>
      </c>
      <c r="D5" s="10">
        <v>1993</v>
      </c>
      <c r="E5" s="9" t="s">
        <v>38</v>
      </c>
      <c r="F5" s="9" t="s">
        <v>29</v>
      </c>
      <c r="G5" s="1">
        <v>43.8</v>
      </c>
      <c r="H5" s="1">
        <v>21.5</v>
      </c>
      <c r="I5" s="9" t="s">
        <v>30</v>
      </c>
      <c r="J5" s="1">
        <v>0.59</v>
      </c>
      <c r="K5" s="10">
        <v>29</v>
      </c>
      <c r="L5" s="3">
        <v>0.1</v>
      </c>
      <c r="M5" s="11">
        <v>3.5003571428571433E-2</v>
      </c>
      <c r="N5">
        <v>415</v>
      </c>
      <c r="O5" s="11">
        <v>0.10033534773107559</v>
      </c>
      <c r="P5" s="11">
        <v>3.8461538461538457E-2</v>
      </c>
      <c r="Q5" s="11">
        <v>0.10199743647485771</v>
      </c>
      <c r="R5" s="11">
        <v>3.4975045651421129E-2</v>
      </c>
      <c r="S5" s="9" t="s">
        <v>40</v>
      </c>
      <c r="T5" s="9" t="s">
        <v>50</v>
      </c>
      <c r="U5" s="9" t="s">
        <v>276</v>
      </c>
      <c r="V5" s="9" t="s">
        <v>279</v>
      </c>
      <c r="W5" s="1" t="s">
        <v>31</v>
      </c>
      <c r="X5" s="1" t="s">
        <v>31</v>
      </c>
      <c r="Y5" s="3" t="s">
        <v>31</v>
      </c>
      <c r="Z5" s="11" t="s">
        <v>31</v>
      </c>
      <c r="AA5" s="11" t="s">
        <v>31</v>
      </c>
      <c r="AB5" s="10">
        <v>0</v>
      </c>
      <c r="AC5" s="9" t="s">
        <v>41</v>
      </c>
      <c r="AD5" s="9" t="s">
        <v>35</v>
      </c>
    </row>
    <row r="6" spans="1:30" x14ac:dyDescent="0.25">
      <c r="A6" s="9" t="s">
        <v>505</v>
      </c>
      <c r="B6" s="10" t="s">
        <v>600</v>
      </c>
      <c r="C6" s="10">
        <v>2</v>
      </c>
      <c r="D6" s="10">
        <v>1994</v>
      </c>
      <c r="E6" s="9" t="s">
        <v>38</v>
      </c>
      <c r="F6" s="9" t="s">
        <v>54</v>
      </c>
      <c r="G6" s="1">
        <v>12.1</v>
      </c>
      <c r="H6" s="1">
        <v>3</v>
      </c>
      <c r="I6" s="9" t="s">
        <v>43</v>
      </c>
      <c r="J6" s="1">
        <v>1</v>
      </c>
      <c r="K6" s="10">
        <v>46</v>
      </c>
      <c r="L6" s="3">
        <v>0.33</v>
      </c>
      <c r="M6" s="11">
        <v>1.764576022222222E-2</v>
      </c>
      <c r="N6">
        <v>1793</v>
      </c>
      <c r="O6" s="11">
        <v>0.34282825441539388</v>
      </c>
      <c r="P6" s="11">
        <v>2.3255813953488368E-2</v>
      </c>
      <c r="Q6" s="11">
        <v>0.33349997674782061</v>
      </c>
      <c r="R6" s="11">
        <v>1.7553909254745158E-2</v>
      </c>
      <c r="S6" s="9" t="s">
        <v>40</v>
      </c>
      <c r="T6" s="9" t="s">
        <v>50</v>
      </c>
      <c r="U6" s="9" t="s">
        <v>276</v>
      </c>
      <c r="V6" s="9" t="s">
        <v>356</v>
      </c>
      <c r="W6" s="1">
        <v>13.5</v>
      </c>
      <c r="X6" s="1">
        <v>15</v>
      </c>
      <c r="Y6" s="3">
        <f>W6/X6</f>
        <v>0.9</v>
      </c>
      <c r="Z6" s="11">
        <v>0.36207137166083941</v>
      </c>
      <c r="AA6" s="11">
        <v>0.15223091469021999</v>
      </c>
      <c r="AB6" s="10">
        <v>0</v>
      </c>
      <c r="AC6" s="9" t="s">
        <v>34</v>
      </c>
      <c r="AD6" s="9" t="s">
        <v>35</v>
      </c>
    </row>
    <row r="7" spans="1:30" x14ac:dyDescent="0.25">
      <c r="A7" s="9" t="s">
        <v>860</v>
      </c>
      <c r="B7" s="10" t="s">
        <v>601</v>
      </c>
      <c r="C7" s="10">
        <v>2</v>
      </c>
      <c r="D7" s="10">
        <v>1994</v>
      </c>
      <c r="E7" s="9" t="s">
        <v>28</v>
      </c>
      <c r="F7" s="9" t="s">
        <v>29</v>
      </c>
      <c r="G7" s="1">
        <v>31.1</v>
      </c>
      <c r="H7" s="1" t="s">
        <v>31</v>
      </c>
      <c r="I7" s="9" t="s">
        <v>30</v>
      </c>
      <c r="J7" s="1">
        <v>0.77</v>
      </c>
      <c r="K7" s="10">
        <v>48</v>
      </c>
      <c r="L7" s="3">
        <v>0.24</v>
      </c>
      <c r="M7" s="11">
        <v>1.889612255319149E-2</v>
      </c>
      <c r="N7">
        <v>693</v>
      </c>
      <c r="O7" s="11">
        <v>0.24477411265935289</v>
      </c>
      <c r="P7" s="11">
        <v>2.222222222222222E-2</v>
      </c>
      <c r="Q7" s="11">
        <v>0.24257667400627281</v>
      </c>
      <c r="R7" s="11">
        <v>1.884629074922051E-2</v>
      </c>
      <c r="S7" s="9" t="s">
        <v>40</v>
      </c>
      <c r="T7" s="9" t="s">
        <v>46</v>
      </c>
      <c r="U7" s="9" t="s">
        <v>276</v>
      </c>
      <c r="V7" s="9" t="s">
        <v>288</v>
      </c>
      <c r="W7" s="1" t="s">
        <v>31</v>
      </c>
      <c r="X7" s="1" t="s">
        <v>31</v>
      </c>
      <c r="Y7" s="3" t="s">
        <v>31</v>
      </c>
      <c r="Z7" s="11" t="s">
        <v>31</v>
      </c>
      <c r="AA7" s="11" t="s">
        <v>31</v>
      </c>
      <c r="AB7" s="10">
        <v>0</v>
      </c>
      <c r="AC7" s="9" t="s">
        <v>34</v>
      </c>
      <c r="AD7" s="9" t="s">
        <v>35</v>
      </c>
    </row>
    <row r="8" spans="1:30" x14ac:dyDescent="0.25">
      <c r="A8" s="9" t="s">
        <v>860</v>
      </c>
      <c r="B8" s="10" t="s">
        <v>602</v>
      </c>
      <c r="C8" s="10">
        <v>2</v>
      </c>
      <c r="D8" s="10">
        <v>1994</v>
      </c>
      <c r="E8" s="9" t="s">
        <v>38</v>
      </c>
      <c r="F8" s="9" t="s">
        <v>29</v>
      </c>
      <c r="G8" s="1">
        <v>31.6</v>
      </c>
      <c r="H8" s="1" t="s">
        <v>31</v>
      </c>
      <c r="I8" s="9" t="s">
        <v>30</v>
      </c>
      <c r="J8" s="1">
        <v>0.55000000000000004</v>
      </c>
      <c r="K8" s="10">
        <v>34</v>
      </c>
      <c r="L8" s="3">
        <v>0.69</v>
      </c>
      <c r="M8" s="11">
        <v>8.3173093939393952E-3</v>
      </c>
      <c r="N8">
        <v>693</v>
      </c>
      <c r="O8" s="11">
        <v>0.84795575521896349</v>
      </c>
      <c r="P8" s="11">
        <v>3.2258064516129031E-2</v>
      </c>
      <c r="Q8" s="11">
        <v>0.69585712145620149</v>
      </c>
      <c r="R8" s="11">
        <v>8.0615747089162419E-3</v>
      </c>
      <c r="S8" s="9" t="s">
        <v>40</v>
      </c>
      <c r="T8" s="9" t="s">
        <v>46</v>
      </c>
      <c r="U8" s="9" t="s">
        <v>276</v>
      </c>
      <c r="V8" s="9" t="s">
        <v>288</v>
      </c>
      <c r="W8" s="1" t="s">
        <v>31</v>
      </c>
      <c r="X8" s="1" t="s">
        <v>31</v>
      </c>
      <c r="Y8" s="3" t="s">
        <v>31</v>
      </c>
      <c r="Z8" s="11" t="s">
        <v>31</v>
      </c>
      <c r="AA8" s="11" t="s">
        <v>31</v>
      </c>
      <c r="AB8" s="10">
        <v>0</v>
      </c>
      <c r="AC8" s="9" t="s">
        <v>34</v>
      </c>
      <c r="AD8" s="9" t="s">
        <v>35</v>
      </c>
    </row>
    <row r="9" spans="1:30" x14ac:dyDescent="0.25">
      <c r="A9" s="9" t="s">
        <v>860</v>
      </c>
      <c r="B9" s="10" t="s">
        <v>603</v>
      </c>
      <c r="C9" s="10">
        <v>2</v>
      </c>
      <c r="D9" s="10">
        <v>1994</v>
      </c>
      <c r="E9" s="9" t="s">
        <v>28</v>
      </c>
      <c r="F9" s="9" t="s">
        <v>29</v>
      </c>
      <c r="G9" s="1">
        <v>35.6</v>
      </c>
      <c r="H9" s="1" t="s">
        <v>31</v>
      </c>
      <c r="I9" s="9" t="s">
        <v>30</v>
      </c>
      <c r="J9" s="1">
        <v>0.38</v>
      </c>
      <c r="K9" s="10">
        <v>26</v>
      </c>
      <c r="L9" s="3">
        <v>0.38</v>
      </c>
      <c r="M9" s="11">
        <v>2.92820544E-2</v>
      </c>
      <c r="N9">
        <v>693</v>
      </c>
      <c r="O9" s="11">
        <v>0.40005965005605648</v>
      </c>
      <c r="P9" s="11">
        <v>4.3478260869565223E-2</v>
      </c>
      <c r="Q9" s="11">
        <v>0.3873533262439105</v>
      </c>
      <c r="R9" s="11">
        <v>2.889710331663714E-2</v>
      </c>
      <c r="S9" s="9" t="s">
        <v>40</v>
      </c>
      <c r="T9" s="9" t="s">
        <v>46</v>
      </c>
      <c r="U9" s="9" t="s">
        <v>276</v>
      </c>
      <c r="V9" s="9" t="s">
        <v>288</v>
      </c>
      <c r="W9" s="1" t="s">
        <v>31</v>
      </c>
      <c r="X9" s="1" t="s">
        <v>31</v>
      </c>
      <c r="Y9" s="3" t="s">
        <v>31</v>
      </c>
      <c r="Z9" s="11" t="s">
        <v>31</v>
      </c>
      <c r="AA9" s="11" t="s">
        <v>31</v>
      </c>
      <c r="AB9" s="10">
        <v>0</v>
      </c>
      <c r="AC9" s="9" t="s">
        <v>34</v>
      </c>
      <c r="AD9" s="9" t="s">
        <v>35</v>
      </c>
    </row>
    <row r="10" spans="1:30" x14ac:dyDescent="0.25">
      <c r="A10" s="9" t="s">
        <v>861</v>
      </c>
      <c r="B10" s="10" t="s">
        <v>604</v>
      </c>
      <c r="C10" s="10">
        <v>2</v>
      </c>
      <c r="D10" s="10">
        <v>1994</v>
      </c>
      <c r="E10" s="9" t="s">
        <v>38</v>
      </c>
      <c r="F10" s="9" t="s">
        <v>29</v>
      </c>
      <c r="G10" s="1">
        <v>31.7</v>
      </c>
      <c r="H10" s="1">
        <v>6.9</v>
      </c>
      <c r="I10" s="9" t="s">
        <v>30</v>
      </c>
      <c r="J10" s="1">
        <v>0.64</v>
      </c>
      <c r="K10" s="10">
        <v>67</v>
      </c>
      <c r="L10" s="3">
        <v>0.3</v>
      </c>
      <c r="M10" s="11">
        <v>1.2546969696969701E-2</v>
      </c>
      <c r="N10">
        <v>999</v>
      </c>
      <c r="O10" s="11">
        <v>0.30951960420311181</v>
      </c>
      <c r="P10" s="11">
        <v>1.5625E-2</v>
      </c>
      <c r="Q10" s="11">
        <v>0.30216801072331151</v>
      </c>
      <c r="R10" s="11">
        <v>1.251099518402418E-2</v>
      </c>
      <c r="S10" s="9" t="s">
        <v>32</v>
      </c>
      <c r="T10" s="9" t="s">
        <v>46</v>
      </c>
      <c r="U10" s="9" t="s">
        <v>276</v>
      </c>
      <c r="V10" s="9" t="s">
        <v>358</v>
      </c>
      <c r="W10" s="1">
        <v>6.6</v>
      </c>
      <c r="X10" s="1">
        <v>15</v>
      </c>
      <c r="Y10" s="3">
        <f>W10/X10</f>
        <v>0.44</v>
      </c>
      <c r="Z10" s="11">
        <v>0.58148271233660354</v>
      </c>
      <c r="AA10" s="11">
        <v>0.166810504595512</v>
      </c>
      <c r="AB10" s="10">
        <v>0</v>
      </c>
      <c r="AC10" s="9" t="s">
        <v>34</v>
      </c>
      <c r="AD10" s="9" t="s">
        <v>35</v>
      </c>
    </row>
    <row r="11" spans="1:30" x14ac:dyDescent="0.25">
      <c r="A11" s="9" t="s">
        <v>55</v>
      </c>
      <c r="B11" s="10" t="s">
        <v>605</v>
      </c>
      <c r="C11" s="10">
        <v>2</v>
      </c>
      <c r="D11" s="10">
        <v>1994</v>
      </c>
      <c r="E11" s="9" t="s">
        <v>38</v>
      </c>
      <c r="F11" s="9" t="s">
        <v>29</v>
      </c>
      <c r="G11" s="1">
        <v>25</v>
      </c>
      <c r="H11" s="1" t="s">
        <v>31</v>
      </c>
      <c r="I11" s="9" t="s">
        <v>39</v>
      </c>
      <c r="J11" s="1">
        <v>0</v>
      </c>
      <c r="K11" s="10">
        <v>40</v>
      </c>
      <c r="L11" s="3">
        <v>0.439</v>
      </c>
      <c r="M11" s="11">
        <v>1.671024061130769E-2</v>
      </c>
      <c r="N11">
        <v>834</v>
      </c>
      <c r="O11" s="11">
        <v>0.4709914006823358</v>
      </c>
      <c r="P11" s="11">
        <v>2.7027027027027029E-2</v>
      </c>
      <c r="Q11" s="11">
        <v>0.44389403962128149</v>
      </c>
      <c r="R11" s="11">
        <v>1.6531837968938611E-2</v>
      </c>
      <c r="S11" s="9" t="s">
        <v>40</v>
      </c>
      <c r="T11" s="9" t="s">
        <v>50</v>
      </c>
      <c r="U11" s="9" t="s">
        <v>276</v>
      </c>
      <c r="V11" s="9" t="s">
        <v>357</v>
      </c>
      <c r="W11" s="1" t="s">
        <v>31</v>
      </c>
      <c r="X11" s="1" t="s">
        <v>31</v>
      </c>
      <c r="Y11" s="3" t="s">
        <v>31</v>
      </c>
      <c r="Z11" s="11" t="s">
        <v>31</v>
      </c>
      <c r="AA11" s="11" t="s">
        <v>31</v>
      </c>
      <c r="AB11" s="10">
        <v>0</v>
      </c>
      <c r="AC11" s="9" t="s">
        <v>41</v>
      </c>
      <c r="AD11" s="9" t="s">
        <v>35</v>
      </c>
    </row>
    <row r="12" spans="1:30" x14ac:dyDescent="0.25">
      <c r="A12" s="9" t="s">
        <v>58</v>
      </c>
      <c r="B12" s="10" t="s">
        <v>606</v>
      </c>
      <c r="C12" s="10">
        <v>2</v>
      </c>
      <c r="D12" s="10">
        <v>1995</v>
      </c>
      <c r="E12" s="9" t="s">
        <v>38</v>
      </c>
      <c r="F12" s="9" t="s">
        <v>29</v>
      </c>
      <c r="G12" s="1">
        <v>22.5</v>
      </c>
      <c r="H12" s="1">
        <v>5</v>
      </c>
      <c r="I12" s="9" t="s">
        <v>43</v>
      </c>
      <c r="J12" s="1">
        <v>1</v>
      </c>
      <c r="K12" s="10">
        <v>40</v>
      </c>
      <c r="L12" s="3">
        <v>0.21</v>
      </c>
      <c r="M12" s="11">
        <v>2.3429354102564099E-2</v>
      </c>
      <c r="N12">
        <v>114</v>
      </c>
      <c r="O12" s="11">
        <v>0.21317134656485981</v>
      </c>
      <c r="P12" s="11">
        <v>2.7027027027027029E-2</v>
      </c>
      <c r="Q12" s="11">
        <v>0.2127989653500712</v>
      </c>
      <c r="R12" s="11">
        <v>2.3371379153233531E-2</v>
      </c>
      <c r="S12" s="9" t="s">
        <v>40</v>
      </c>
      <c r="T12" s="9" t="s">
        <v>50</v>
      </c>
      <c r="U12" s="9" t="s">
        <v>276</v>
      </c>
      <c r="V12" s="9" t="s">
        <v>278</v>
      </c>
      <c r="W12" s="1">
        <v>8.5</v>
      </c>
      <c r="X12" s="1">
        <v>15</v>
      </c>
      <c r="Y12" s="3">
        <f>W12/X12</f>
        <v>0.56666666666666665</v>
      </c>
      <c r="Z12" s="11">
        <v>0.35443347873347458</v>
      </c>
      <c r="AA12" s="11">
        <v>0.244645437331515</v>
      </c>
      <c r="AB12" s="10">
        <v>0</v>
      </c>
      <c r="AC12" s="9" t="s">
        <v>41</v>
      </c>
      <c r="AD12" s="9" t="s">
        <v>35</v>
      </c>
    </row>
    <row r="13" spans="1:30" x14ac:dyDescent="0.25">
      <c r="A13" s="9" t="s">
        <v>856</v>
      </c>
      <c r="B13" s="10" t="s">
        <v>607</v>
      </c>
      <c r="C13" s="10">
        <v>2</v>
      </c>
      <c r="D13" s="10">
        <v>1997</v>
      </c>
      <c r="E13" s="9" t="s">
        <v>28</v>
      </c>
      <c r="F13" s="9" t="s">
        <v>29</v>
      </c>
      <c r="G13" s="1" t="s">
        <v>31</v>
      </c>
      <c r="H13" s="1" t="s">
        <v>31</v>
      </c>
      <c r="I13" s="9" t="s">
        <v>31</v>
      </c>
      <c r="J13" s="1" t="s">
        <v>31</v>
      </c>
      <c r="K13" s="10">
        <v>22</v>
      </c>
      <c r="L13" s="3">
        <v>0.56799999999999995</v>
      </c>
      <c r="M13" s="11">
        <v>2.1849440256E-2</v>
      </c>
      <c r="N13">
        <v>6</v>
      </c>
      <c r="O13" s="11">
        <v>0.64456530633312137</v>
      </c>
      <c r="P13" s="11">
        <v>5.2631578947368418E-2</v>
      </c>
      <c r="Q13" s="11">
        <v>0.57837917481682</v>
      </c>
      <c r="R13" s="11">
        <v>2.108858776756466E-2</v>
      </c>
      <c r="S13" s="9" t="s">
        <v>40</v>
      </c>
      <c r="T13" s="9" t="s">
        <v>50</v>
      </c>
      <c r="U13" s="9" t="s">
        <v>276</v>
      </c>
      <c r="V13" s="9" t="s">
        <v>278</v>
      </c>
      <c r="W13" s="1" t="s">
        <v>31</v>
      </c>
      <c r="X13" s="1" t="s">
        <v>31</v>
      </c>
      <c r="Y13" s="3" t="s">
        <v>31</v>
      </c>
      <c r="Z13" s="11" t="s">
        <v>31</v>
      </c>
      <c r="AA13" s="11" t="s">
        <v>31</v>
      </c>
      <c r="AB13" s="10">
        <v>3</v>
      </c>
      <c r="AC13" s="9" t="s">
        <v>34</v>
      </c>
      <c r="AD13" s="9" t="s">
        <v>35</v>
      </c>
    </row>
    <row r="14" spans="1:30" x14ac:dyDescent="0.25">
      <c r="A14" s="9" t="s">
        <v>510</v>
      </c>
      <c r="B14" s="10" t="s">
        <v>608</v>
      </c>
      <c r="C14" s="10">
        <v>2</v>
      </c>
      <c r="D14" s="10">
        <v>1997</v>
      </c>
      <c r="E14" s="9" t="s">
        <v>28</v>
      </c>
      <c r="F14" s="9" t="s">
        <v>29</v>
      </c>
      <c r="G14" s="1">
        <v>70.2</v>
      </c>
      <c r="H14" s="1">
        <v>7.1</v>
      </c>
      <c r="I14" s="9" t="s">
        <v>30</v>
      </c>
      <c r="J14" s="1">
        <v>0.38</v>
      </c>
      <c r="K14" s="10">
        <v>60</v>
      </c>
      <c r="L14" s="3">
        <v>0.36499999999999999</v>
      </c>
      <c r="M14" s="11">
        <v>1.273387967161017E-2</v>
      </c>
      <c r="N14">
        <v>21</v>
      </c>
      <c r="O14" s="11">
        <v>0.38264235436318422</v>
      </c>
      <c r="P14" s="11">
        <v>1.754385964912281E-2</v>
      </c>
      <c r="Q14" s="11">
        <v>0.36782164720622368</v>
      </c>
      <c r="R14" s="11">
        <v>1.2673196673310081E-2</v>
      </c>
      <c r="S14" s="9" t="s">
        <v>40</v>
      </c>
      <c r="T14" s="9" t="s">
        <v>50</v>
      </c>
      <c r="U14" s="9" t="s">
        <v>276</v>
      </c>
      <c r="V14" s="9" t="s">
        <v>278</v>
      </c>
      <c r="W14" s="1">
        <v>11.6</v>
      </c>
      <c r="X14" s="1">
        <v>15</v>
      </c>
      <c r="Y14" s="3">
        <f>W14/X14</f>
        <v>0.77333333333333332</v>
      </c>
      <c r="Z14" s="11">
        <v>0.45217234974362341</v>
      </c>
      <c r="AA14" s="11">
        <v>0.138971440786576</v>
      </c>
      <c r="AB14" s="10">
        <v>3</v>
      </c>
      <c r="AC14" s="9" t="s">
        <v>34</v>
      </c>
      <c r="AD14" s="9" t="s">
        <v>35</v>
      </c>
    </row>
    <row r="15" spans="1:30" x14ac:dyDescent="0.25">
      <c r="A15" s="9" t="s">
        <v>511</v>
      </c>
      <c r="B15" s="10" t="s">
        <v>609</v>
      </c>
      <c r="C15" s="10">
        <v>2</v>
      </c>
      <c r="D15" s="10">
        <v>1997</v>
      </c>
      <c r="E15" s="9" t="s">
        <v>38</v>
      </c>
      <c r="F15" s="9" t="s">
        <v>29</v>
      </c>
      <c r="G15" s="1">
        <v>24.8</v>
      </c>
      <c r="H15" s="1">
        <v>4.5</v>
      </c>
      <c r="I15" s="9" t="s">
        <v>30</v>
      </c>
      <c r="J15" s="1">
        <v>0.53</v>
      </c>
      <c r="K15" s="10">
        <v>62</v>
      </c>
      <c r="L15" s="3">
        <v>0.27</v>
      </c>
      <c r="M15" s="11">
        <v>1.409040016393443E-2</v>
      </c>
      <c r="N15">
        <v>4</v>
      </c>
      <c r="O15" s="11">
        <v>0.27686382265510012</v>
      </c>
      <c r="P15" s="11">
        <v>1.6949152542372881E-2</v>
      </c>
      <c r="Q15" s="11">
        <v>0.27216080428614658</v>
      </c>
      <c r="R15" s="11">
        <v>1.405481280057448E-2</v>
      </c>
      <c r="S15" s="9" t="s">
        <v>40</v>
      </c>
      <c r="T15" s="9" t="s">
        <v>50</v>
      </c>
      <c r="U15" s="9" t="s">
        <v>276</v>
      </c>
      <c r="V15" s="9" t="s">
        <v>359</v>
      </c>
      <c r="W15" s="1" t="s">
        <v>31</v>
      </c>
      <c r="X15" s="1" t="s">
        <v>31</v>
      </c>
      <c r="Y15" s="3" t="s">
        <v>31</v>
      </c>
      <c r="Z15" s="11" t="s">
        <v>31</v>
      </c>
      <c r="AA15" s="11" t="s">
        <v>31</v>
      </c>
      <c r="AB15" s="10">
        <v>0</v>
      </c>
      <c r="AC15" s="9" t="s">
        <v>41</v>
      </c>
      <c r="AD15" s="9" t="s">
        <v>35</v>
      </c>
    </row>
    <row r="16" spans="1:30" x14ac:dyDescent="0.25">
      <c r="A16" s="9" t="s">
        <v>512</v>
      </c>
      <c r="B16" s="10" t="s">
        <v>610</v>
      </c>
      <c r="C16" s="10">
        <v>2</v>
      </c>
      <c r="D16" s="10">
        <v>1998</v>
      </c>
      <c r="E16" s="9" t="s">
        <v>38</v>
      </c>
      <c r="F16" s="9" t="s">
        <v>29</v>
      </c>
      <c r="G16" s="1">
        <v>27</v>
      </c>
      <c r="H16" s="1">
        <v>10</v>
      </c>
      <c r="I16" s="9" t="s">
        <v>30</v>
      </c>
      <c r="J16" s="1">
        <v>0.53</v>
      </c>
      <c r="K16" s="10">
        <v>90</v>
      </c>
      <c r="L16" s="3">
        <v>0.16</v>
      </c>
      <c r="M16" s="11">
        <v>1.066803775280899E-2</v>
      </c>
      <c r="N16">
        <v>152</v>
      </c>
      <c r="O16" s="11">
        <v>0.16138669613152551</v>
      </c>
      <c r="P16" s="11">
        <v>1.149425287356322E-2</v>
      </c>
      <c r="Q16" s="11">
        <v>0.1609084149807978</v>
      </c>
      <c r="R16" s="11">
        <v>1.066165544586159E-2</v>
      </c>
      <c r="S16" s="9" t="s">
        <v>40</v>
      </c>
      <c r="T16" s="9" t="s">
        <v>50</v>
      </c>
      <c r="U16" s="9" t="s">
        <v>276</v>
      </c>
      <c r="V16" s="9" t="s">
        <v>278</v>
      </c>
      <c r="W16" s="1">
        <v>13</v>
      </c>
      <c r="X16" s="1">
        <v>15</v>
      </c>
      <c r="Y16" s="3">
        <f>W16/X16</f>
        <v>0.8666666666666667</v>
      </c>
      <c r="Z16" s="11">
        <v>0.18383729999993151</v>
      </c>
      <c r="AA16" s="11">
        <v>0.119985765819465</v>
      </c>
      <c r="AB16" s="10">
        <v>1</v>
      </c>
      <c r="AC16" s="9" t="s">
        <v>41</v>
      </c>
      <c r="AD16" s="9" t="s">
        <v>35</v>
      </c>
    </row>
    <row r="17" spans="1:30" x14ac:dyDescent="0.25">
      <c r="A17" s="9" t="s">
        <v>513</v>
      </c>
      <c r="B17" s="10" t="s">
        <v>611</v>
      </c>
      <c r="C17" s="10">
        <v>2</v>
      </c>
      <c r="D17" s="10">
        <v>1999</v>
      </c>
      <c r="E17" s="9" t="s">
        <v>38</v>
      </c>
      <c r="F17" s="9" t="s">
        <v>29</v>
      </c>
      <c r="G17" s="1">
        <v>25</v>
      </c>
      <c r="H17" s="1">
        <v>5.3</v>
      </c>
      <c r="I17" s="9" t="s">
        <v>39</v>
      </c>
      <c r="J17" s="1">
        <v>0</v>
      </c>
      <c r="K17" s="10">
        <v>40</v>
      </c>
      <c r="L17" s="3">
        <v>0.4</v>
      </c>
      <c r="M17" s="11">
        <v>1.8092307692307689E-2</v>
      </c>
      <c r="N17">
        <v>4069</v>
      </c>
      <c r="O17" s="11">
        <v>0.42364893019360178</v>
      </c>
      <c r="P17" s="11">
        <v>2.7027027027027029E-2</v>
      </c>
      <c r="Q17" s="11">
        <v>0.40464975908000661</v>
      </c>
      <c r="R17" s="11">
        <v>1.7931497436933879E-2</v>
      </c>
      <c r="S17" s="9" t="s">
        <v>40</v>
      </c>
      <c r="T17" s="9" t="s">
        <v>46</v>
      </c>
      <c r="U17" s="9" t="s">
        <v>276</v>
      </c>
      <c r="V17" s="9" t="s">
        <v>360</v>
      </c>
      <c r="W17" s="1" t="s">
        <v>31</v>
      </c>
      <c r="X17" s="1" t="s">
        <v>31</v>
      </c>
      <c r="Y17" s="3" t="s">
        <v>31</v>
      </c>
      <c r="Z17" s="11" t="s">
        <v>31</v>
      </c>
      <c r="AA17" s="11" t="s">
        <v>31</v>
      </c>
      <c r="AB17" s="10">
        <v>0</v>
      </c>
      <c r="AC17" s="9" t="s">
        <v>41</v>
      </c>
      <c r="AD17" s="9" t="s">
        <v>35</v>
      </c>
    </row>
    <row r="18" spans="1:30" x14ac:dyDescent="0.25">
      <c r="A18" s="9" t="s">
        <v>513</v>
      </c>
      <c r="B18" s="10" t="s">
        <v>612</v>
      </c>
      <c r="C18" s="10">
        <v>2</v>
      </c>
      <c r="D18" s="10">
        <v>1999</v>
      </c>
      <c r="E18" s="9" t="s">
        <v>38</v>
      </c>
      <c r="F18" s="9" t="s">
        <v>29</v>
      </c>
      <c r="G18" s="1">
        <v>27</v>
      </c>
      <c r="H18" s="1">
        <v>5.7</v>
      </c>
      <c r="I18" s="9" t="s">
        <v>43</v>
      </c>
      <c r="J18" s="1">
        <v>1</v>
      </c>
      <c r="K18" s="10">
        <v>40</v>
      </c>
      <c r="L18" s="3">
        <v>0</v>
      </c>
      <c r="M18" s="11">
        <v>2.564102564102564E-2</v>
      </c>
      <c r="N18">
        <v>4069</v>
      </c>
      <c r="O18" s="11">
        <v>0</v>
      </c>
      <c r="P18" s="11">
        <v>2.7027027027027029E-2</v>
      </c>
      <c r="Q18" s="11">
        <v>0</v>
      </c>
      <c r="R18" s="11">
        <v>2.564102564102564E-2</v>
      </c>
      <c r="S18" s="9" t="s">
        <v>40</v>
      </c>
      <c r="T18" s="9" t="s">
        <v>46</v>
      </c>
      <c r="U18" s="9" t="s">
        <v>276</v>
      </c>
      <c r="V18" s="9" t="s">
        <v>360</v>
      </c>
      <c r="W18" s="1" t="s">
        <v>31</v>
      </c>
      <c r="X18" s="1" t="s">
        <v>31</v>
      </c>
      <c r="Y18" s="3" t="s">
        <v>31</v>
      </c>
      <c r="Z18" s="11" t="s">
        <v>31</v>
      </c>
      <c r="AA18" s="11" t="s">
        <v>31</v>
      </c>
      <c r="AB18" s="10">
        <v>0</v>
      </c>
      <c r="AC18" s="9" t="s">
        <v>41</v>
      </c>
      <c r="AD18" s="9" t="s">
        <v>63</v>
      </c>
    </row>
    <row r="19" spans="1:30" x14ac:dyDescent="0.25">
      <c r="A19" s="9" t="s">
        <v>850</v>
      </c>
      <c r="B19" s="10" t="s">
        <v>613</v>
      </c>
      <c r="C19" s="10">
        <v>2</v>
      </c>
      <c r="D19" s="10">
        <v>1999</v>
      </c>
      <c r="E19" s="9" t="s">
        <v>38</v>
      </c>
      <c r="F19" s="9" t="s">
        <v>29</v>
      </c>
      <c r="G19" s="1">
        <v>42</v>
      </c>
      <c r="H19" s="1">
        <v>10</v>
      </c>
      <c r="I19" s="9" t="s">
        <v>43</v>
      </c>
      <c r="J19" s="1">
        <v>1</v>
      </c>
      <c r="K19" s="10">
        <v>33</v>
      </c>
      <c r="L19" s="3">
        <v>0</v>
      </c>
      <c r="M19" s="11">
        <v>3.125E-2</v>
      </c>
      <c r="N19" t="s">
        <v>63</v>
      </c>
      <c r="O19" s="11">
        <v>0</v>
      </c>
      <c r="P19" s="11">
        <v>3.3333333333333333E-2</v>
      </c>
      <c r="Q19" s="11">
        <v>0</v>
      </c>
      <c r="R19" s="11">
        <v>3.125E-2</v>
      </c>
      <c r="S19" s="9" t="s">
        <v>40</v>
      </c>
      <c r="T19" s="9" t="s">
        <v>50</v>
      </c>
      <c r="U19" s="9" t="s">
        <v>276</v>
      </c>
      <c r="V19" s="9" t="s">
        <v>278</v>
      </c>
      <c r="W19" s="1">
        <v>12</v>
      </c>
      <c r="X19" s="1">
        <v>15</v>
      </c>
      <c r="Y19" s="3">
        <f t="shared" ref="Y19:Y27" si="0">W19/X19</f>
        <v>0.8</v>
      </c>
      <c r="Z19" s="11">
        <v>0</v>
      </c>
      <c r="AA19" s="11" t="s">
        <v>31</v>
      </c>
      <c r="AB19" s="10">
        <v>0</v>
      </c>
      <c r="AC19" s="9" t="s">
        <v>34</v>
      </c>
      <c r="AD19" s="9" t="s">
        <v>63</v>
      </c>
    </row>
    <row r="20" spans="1:30" x14ac:dyDescent="0.25">
      <c r="A20" s="9" t="s">
        <v>850</v>
      </c>
      <c r="B20" s="10" t="s">
        <v>614</v>
      </c>
      <c r="C20" s="10">
        <v>2</v>
      </c>
      <c r="D20" s="10">
        <v>1999</v>
      </c>
      <c r="E20" s="9" t="s">
        <v>28</v>
      </c>
      <c r="F20" s="9" t="s">
        <v>29</v>
      </c>
      <c r="G20" s="1">
        <v>43</v>
      </c>
      <c r="H20" s="1">
        <v>10</v>
      </c>
      <c r="I20" s="9" t="s">
        <v>43</v>
      </c>
      <c r="J20" s="1">
        <v>1</v>
      </c>
      <c r="K20" s="10">
        <v>37</v>
      </c>
      <c r="L20" s="3">
        <v>0</v>
      </c>
      <c r="M20" s="11">
        <v>2.777777777777778E-2</v>
      </c>
      <c r="N20" t="s">
        <v>63</v>
      </c>
      <c r="O20" s="11">
        <v>0</v>
      </c>
      <c r="P20" s="11">
        <v>2.9411764705882349E-2</v>
      </c>
      <c r="Q20" s="11">
        <v>0</v>
      </c>
      <c r="R20" s="11">
        <v>2.777777777777778E-2</v>
      </c>
      <c r="S20" s="9" t="s">
        <v>40</v>
      </c>
      <c r="T20" s="9" t="s">
        <v>50</v>
      </c>
      <c r="U20" s="9" t="s">
        <v>276</v>
      </c>
      <c r="V20" s="9" t="s">
        <v>278</v>
      </c>
      <c r="W20" s="1">
        <v>14</v>
      </c>
      <c r="X20" s="1">
        <v>15</v>
      </c>
      <c r="Y20" s="3">
        <f t="shared" si="0"/>
        <v>0.93333333333333335</v>
      </c>
      <c r="Z20" s="11">
        <v>0</v>
      </c>
      <c r="AA20" s="11" t="s">
        <v>31</v>
      </c>
      <c r="AB20" s="10">
        <v>0</v>
      </c>
      <c r="AC20" s="9" t="s">
        <v>34</v>
      </c>
      <c r="AD20" s="9" t="s">
        <v>63</v>
      </c>
    </row>
    <row r="21" spans="1:30" x14ac:dyDescent="0.25">
      <c r="A21" s="9" t="s">
        <v>862</v>
      </c>
      <c r="B21" s="10" t="s">
        <v>615</v>
      </c>
      <c r="C21" s="10">
        <v>2</v>
      </c>
      <c r="D21" s="10">
        <v>1999</v>
      </c>
      <c r="E21" s="9" t="s">
        <v>28</v>
      </c>
      <c r="F21" s="9" t="s">
        <v>29</v>
      </c>
      <c r="G21" s="1">
        <v>21.63</v>
      </c>
      <c r="H21" s="1">
        <v>2.34</v>
      </c>
      <c r="I21" s="9" t="s">
        <v>43</v>
      </c>
      <c r="J21" s="1">
        <v>1</v>
      </c>
      <c r="K21" s="10">
        <v>45</v>
      </c>
      <c r="L21" s="3">
        <v>0.31</v>
      </c>
      <c r="M21" s="11">
        <v>1.8568982045454541E-2</v>
      </c>
      <c r="N21">
        <v>630</v>
      </c>
      <c r="O21" s="11">
        <v>0.32054540930194608</v>
      </c>
      <c r="P21" s="11">
        <v>2.3809523809523812E-2</v>
      </c>
      <c r="Q21" s="11">
        <v>0.31341886668416358</v>
      </c>
      <c r="R21" s="11">
        <v>1.848151439106931E-2</v>
      </c>
      <c r="S21" s="9" t="s">
        <v>40</v>
      </c>
      <c r="T21" s="9" t="s">
        <v>50</v>
      </c>
      <c r="U21" s="9" t="s">
        <v>276</v>
      </c>
      <c r="V21" s="9" t="s">
        <v>284</v>
      </c>
      <c r="W21" s="1">
        <v>12.069000000000001</v>
      </c>
      <c r="X21" s="1">
        <v>15</v>
      </c>
      <c r="Y21" s="3">
        <f t="shared" si="0"/>
        <v>0.80460000000000009</v>
      </c>
      <c r="Z21" s="11">
        <v>0.37558025530044548</v>
      </c>
      <c r="AA21" s="11" t="s">
        <v>31</v>
      </c>
      <c r="AB21" s="10">
        <v>0</v>
      </c>
      <c r="AC21" s="9" t="s">
        <v>34</v>
      </c>
      <c r="AD21" s="9" t="s">
        <v>35</v>
      </c>
    </row>
    <row r="22" spans="1:30" x14ac:dyDescent="0.25">
      <c r="A22" s="9" t="s">
        <v>862</v>
      </c>
      <c r="B22" s="10" t="s">
        <v>616</v>
      </c>
      <c r="C22" s="10">
        <v>2</v>
      </c>
      <c r="D22" s="10">
        <v>1999</v>
      </c>
      <c r="E22" s="9" t="s">
        <v>38</v>
      </c>
      <c r="F22" s="9" t="s">
        <v>29</v>
      </c>
      <c r="G22" s="1">
        <v>21.5</v>
      </c>
      <c r="H22" s="1">
        <v>1.4</v>
      </c>
      <c r="I22" s="9" t="s">
        <v>39</v>
      </c>
      <c r="J22" s="1">
        <v>0</v>
      </c>
      <c r="K22" s="10">
        <v>13</v>
      </c>
      <c r="L22" s="3">
        <v>0</v>
      </c>
      <c r="M22" s="11">
        <v>8.3333333333333329E-2</v>
      </c>
      <c r="N22" t="s">
        <v>63</v>
      </c>
      <c r="O22" s="11">
        <v>0</v>
      </c>
      <c r="P22" s="11">
        <v>0.1</v>
      </c>
      <c r="Q22" s="11">
        <v>0</v>
      </c>
      <c r="R22" s="11">
        <v>8.3333333333333329E-2</v>
      </c>
      <c r="S22" s="9" t="s">
        <v>40</v>
      </c>
      <c r="T22" s="9" t="s">
        <v>50</v>
      </c>
      <c r="U22" s="9" t="s">
        <v>276</v>
      </c>
      <c r="V22" s="9" t="s">
        <v>284</v>
      </c>
      <c r="W22" s="1">
        <v>9.4</v>
      </c>
      <c r="X22" s="1">
        <v>15</v>
      </c>
      <c r="Y22" s="3">
        <f t="shared" si="0"/>
        <v>0.62666666666666671</v>
      </c>
      <c r="Z22" s="11">
        <v>0</v>
      </c>
      <c r="AA22" s="11" t="s">
        <v>31</v>
      </c>
      <c r="AB22" s="10">
        <v>0</v>
      </c>
      <c r="AC22" s="9" t="s">
        <v>34</v>
      </c>
      <c r="AD22" s="9" t="s">
        <v>63</v>
      </c>
    </row>
    <row r="23" spans="1:30" x14ac:dyDescent="0.25">
      <c r="A23" s="9" t="s">
        <v>862</v>
      </c>
      <c r="B23" s="10" t="s">
        <v>617</v>
      </c>
      <c r="C23" s="10">
        <v>2</v>
      </c>
      <c r="D23" s="10">
        <v>1999</v>
      </c>
      <c r="E23" s="9" t="s">
        <v>38</v>
      </c>
      <c r="F23" s="9" t="s">
        <v>29</v>
      </c>
      <c r="G23" s="1">
        <v>21.5</v>
      </c>
      <c r="H23" s="1">
        <v>1.3</v>
      </c>
      <c r="I23" s="9" t="s">
        <v>43</v>
      </c>
      <c r="J23" s="1">
        <v>1</v>
      </c>
      <c r="K23" s="10">
        <v>25</v>
      </c>
      <c r="L23" s="3">
        <v>0</v>
      </c>
      <c r="M23" s="11">
        <v>4.1666666666666657E-2</v>
      </c>
      <c r="N23" t="s">
        <v>63</v>
      </c>
      <c r="O23" s="11">
        <v>0</v>
      </c>
      <c r="P23" s="11">
        <v>4.5454545454545463E-2</v>
      </c>
      <c r="Q23" s="11">
        <v>0</v>
      </c>
      <c r="R23" s="11">
        <v>4.1666666666666657E-2</v>
      </c>
      <c r="S23" s="9" t="s">
        <v>40</v>
      </c>
      <c r="T23" s="9" t="s">
        <v>50</v>
      </c>
      <c r="U23" s="9" t="s">
        <v>276</v>
      </c>
      <c r="V23" s="9" t="s">
        <v>284</v>
      </c>
      <c r="W23" s="1">
        <v>8.9</v>
      </c>
      <c r="X23" s="1">
        <v>15</v>
      </c>
      <c r="Y23" s="3">
        <f t="shared" si="0"/>
        <v>0.59333333333333338</v>
      </c>
      <c r="Z23" s="11">
        <v>0</v>
      </c>
      <c r="AA23" s="11" t="s">
        <v>31</v>
      </c>
      <c r="AB23" s="10">
        <v>0</v>
      </c>
      <c r="AC23" s="9" t="s">
        <v>34</v>
      </c>
      <c r="AD23" s="9" t="s">
        <v>63</v>
      </c>
    </row>
    <row r="24" spans="1:30" x14ac:dyDescent="0.25">
      <c r="A24" s="9" t="s">
        <v>862</v>
      </c>
      <c r="B24" s="10" t="s">
        <v>618</v>
      </c>
      <c r="C24" s="10">
        <v>2</v>
      </c>
      <c r="D24" s="10">
        <v>1999</v>
      </c>
      <c r="E24" s="9" t="s">
        <v>28</v>
      </c>
      <c r="F24" s="9" t="s">
        <v>29</v>
      </c>
      <c r="G24" s="1">
        <v>21.6</v>
      </c>
      <c r="H24" s="1">
        <v>3.1</v>
      </c>
      <c r="I24" s="9" t="s">
        <v>39</v>
      </c>
      <c r="J24" s="1">
        <v>0</v>
      </c>
      <c r="K24" s="10">
        <v>11</v>
      </c>
      <c r="L24" s="3">
        <v>0</v>
      </c>
      <c r="M24" s="11">
        <v>0.1</v>
      </c>
      <c r="N24" t="s">
        <v>63</v>
      </c>
      <c r="O24" s="11">
        <v>0</v>
      </c>
      <c r="P24" s="11">
        <v>0.125</v>
      </c>
      <c r="Q24" s="11">
        <v>0</v>
      </c>
      <c r="R24" s="11">
        <v>0.1</v>
      </c>
      <c r="S24" s="9" t="s">
        <v>40</v>
      </c>
      <c r="T24" s="9" t="s">
        <v>50</v>
      </c>
      <c r="U24" s="9" t="s">
        <v>276</v>
      </c>
      <c r="V24" s="9" t="s">
        <v>284</v>
      </c>
      <c r="W24" s="1">
        <v>9.4</v>
      </c>
      <c r="X24" s="1">
        <v>15</v>
      </c>
      <c r="Y24" s="3">
        <f t="shared" si="0"/>
        <v>0.62666666666666671</v>
      </c>
      <c r="Z24" s="11">
        <v>0</v>
      </c>
      <c r="AA24" s="11" t="s">
        <v>31</v>
      </c>
      <c r="AB24" s="10">
        <v>0</v>
      </c>
      <c r="AC24" s="9" t="s">
        <v>34</v>
      </c>
      <c r="AD24" s="9" t="s">
        <v>63</v>
      </c>
    </row>
    <row r="25" spans="1:30" x14ac:dyDescent="0.25">
      <c r="A25" s="9" t="s">
        <v>862</v>
      </c>
      <c r="B25" s="10" t="s">
        <v>619</v>
      </c>
      <c r="C25" s="10">
        <v>2</v>
      </c>
      <c r="D25" s="10">
        <v>1999</v>
      </c>
      <c r="E25" s="9" t="s">
        <v>28</v>
      </c>
      <c r="F25" s="9" t="s">
        <v>29</v>
      </c>
      <c r="G25" s="1">
        <v>21.8</v>
      </c>
      <c r="H25" s="1">
        <v>3.2</v>
      </c>
      <c r="I25" s="9" t="s">
        <v>43</v>
      </c>
      <c r="J25" s="1">
        <v>1</v>
      </c>
      <c r="K25" s="10">
        <v>10</v>
      </c>
      <c r="L25" s="3">
        <v>0</v>
      </c>
      <c r="M25" s="11">
        <v>0.1111111111111111</v>
      </c>
      <c r="N25" t="s">
        <v>63</v>
      </c>
      <c r="O25" s="11">
        <v>0</v>
      </c>
      <c r="P25" s="11">
        <v>0.1428571428571429</v>
      </c>
      <c r="Q25" s="11">
        <v>0</v>
      </c>
      <c r="R25" s="11">
        <v>0.1111111111111111</v>
      </c>
      <c r="S25" s="9" t="s">
        <v>40</v>
      </c>
      <c r="T25" s="9" t="s">
        <v>50</v>
      </c>
      <c r="U25" s="9" t="s">
        <v>276</v>
      </c>
      <c r="V25" s="9" t="s">
        <v>284</v>
      </c>
      <c r="W25" s="1">
        <v>11.4</v>
      </c>
      <c r="X25" s="1">
        <v>15</v>
      </c>
      <c r="Y25" s="3">
        <f t="shared" si="0"/>
        <v>0.76</v>
      </c>
      <c r="Z25" s="11">
        <v>0</v>
      </c>
      <c r="AA25" s="11" t="s">
        <v>31</v>
      </c>
      <c r="AB25" s="10">
        <v>0</v>
      </c>
      <c r="AC25" s="9" t="s">
        <v>34</v>
      </c>
      <c r="AD25" s="9" t="s">
        <v>63</v>
      </c>
    </row>
    <row r="26" spans="1:30" x14ac:dyDescent="0.25">
      <c r="A26" s="9" t="s">
        <v>862</v>
      </c>
      <c r="B26" s="10" t="s">
        <v>620</v>
      </c>
      <c r="C26" s="10">
        <v>2</v>
      </c>
      <c r="D26" s="10">
        <v>1999</v>
      </c>
      <c r="E26" s="9" t="s">
        <v>28</v>
      </c>
      <c r="F26" s="9" t="s">
        <v>29</v>
      </c>
      <c r="G26" s="1">
        <v>21.8</v>
      </c>
      <c r="H26" s="1">
        <v>4.2</v>
      </c>
      <c r="I26" s="9" t="s">
        <v>43</v>
      </c>
      <c r="J26" s="1">
        <v>1</v>
      </c>
      <c r="K26" s="10">
        <v>10</v>
      </c>
      <c r="L26" s="3">
        <v>0</v>
      </c>
      <c r="M26" s="11">
        <v>0.1111111111111111</v>
      </c>
      <c r="N26" t="s">
        <v>63</v>
      </c>
      <c r="O26" s="11">
        <v>0</v>
      </c>
      <c r="P26" s="11">
        <v>0.1428571428571429</v>
      </c>
      <c r="Q26" s="11">
        <v>0</v>
      </c>
      <c r="R26" s="11">
        <v>0.1111111111111111</v>
      </c>
      <c r="S26" s="9" t="s">
        <v>40</v>
      </c>
      <c r="T26" s="9" t="s">
        <v>50</v>
      </c>
      <c r="U26" s="9" t="s">
        <v>276</v>
      </c>
      <c r="V26" s="9" t="s">
        <v>284</v>
      </c>
      <c r="W26" s="1">
        <v>18.600000000000001</v>
      </c>
      <c r="X26" s="1">
        <v>15</v>
      </c>
      <c r="Y26" s="3">
        <f t="shared" si="0"/>
        <v>1.24</v>
      </c>
      <c r="Z26" s="11">
        <v>0</v>
      </c>
      <c r="AA26" s="11" t="s">
        <v>31</v>
      </c>
      <c r="AB26" s="10">
        <v>0</v>
      </c>
      <c r="AC26" s="9" t="s">
        <v>34</v>
      </c>
      <c r="AD26" s="9" t="s">
        <v>63</v>
      </c>
    </row>
    <row r="27" spans="1:30" x14ac:dyDescent="0.25">
      <c r="A27" s="9" t="s">
        <v>862</v>
      </c>
      <c r="B27" s="10" t="s">
        <v>621</v>
      </c>
      <c r="C27" s="10">
        <v>2</v>
      </c>
      <c r="D27" s="10">
        <v>1999</v>
      </c>
      <c r="E27" s="9" t="s">
        <v>28</v>
      </c>
      <c r="F27" s="9" t="s">
        <v>29</v>
      </c>
      <c r="G27" s="1">
        <v>21.55</v>
      </c>
      <c r="H27" s="1">
        <v>2.2200000000000002</v>
      </c>
      <c r="I27" s="9" t="s">
        <v>39</v>
      </c>
      <c r="J27" s="1">
        <v>0</v>
      </c>
      <c r="K27" s="10">
        <v>24</v>
      </c>
      <c r="L27" s="3">
        <v>0.53</v>
      </c>
      <c r="M27" s="11">
        <v>2.2482817826086951E-2</v>
      </c>
      <c r="N27">
        <v>630</v>
      </c>
      <c r="O27" s="11">
        <v>0.59014515984118854</v>
      </c>
      <c r="P27" s="11">
        <v>4.7619047619047623E-2</v>
      </c>
      <c r="Q27" s="11">
        <v>0.53932640115708419</v>
      </c>
      <c r="R27" s="11">
        <v>2.1863528215329699E-2</v>
      </c>
      <c r="S27" s="9" t="s">
        <v>40</v>
      </c>
      <c r="T27" s="9" t="s">
        <v>50</v>
      </c>
      <c r="U27" s="9" t="s">
        <v>276</v>
      </c>
      <c r="V27" s="9" t="s">
        <v>284</v>
      </c>
      <c r="W27" s="1">
        <v>9.4</v>
      </c>
      <c r="X27" s="1">
        <v>15</v>
      </c>
      <c r="Y27" s="3">
        <f t="shared" si="0"/>
        <v>0.62666666666666671</v>
      </c>
      <c r="Z27" s="11">
        <v>0.7061655861422258</v>
      </c>
      <c r="AA27" s="11" t="s">
        <v>31</v>
      </c>
      <c r="AB27" s="10">
        <v>0</v>
      </c>
      <c r="AC27" s="9" t="s">
        <v>34</v>
      </c>
      <c r="AD27" s="9" t="s">
        <v>35</v>
      </c>
    </row>
    <row r="28" spans="1:30" x14ac:dyDescent="0.25">
      <c r="A28" s="9" t="s">
        <v>943</v>
      </c>
      <c r="B28" s="10" t="s">
        <v>622</v>
      </c>
      <c r="C28" s="10">
        <v>2</v>
      </c>
      <c r="D28" s="10">
        <v>2000</v>
      </c>
      <c r="E28" s="9" t="s">
        <v>38</v>
      </c>
      <c r="F28" s="9" t="s">
        <v>54</v>
      </c>
      <c r="G28" s="1">
        <v>7.75</v>
      </c>
      <c r="H28" s="1" t="s">
        <v>31</v>
      </c>
      <c r="I28" s="9" t="s">
        <v>30</v>
      </c>
      <c r="J28" s="1">
        <v>0.73</v>
      </c>
      <c r="K28" s="10">
        <v>11</v>
      </c>
      <c r="L28" s="3">
        <v>-3.6999999999999998E-2</v>
      </c>
      <c r="M28" s="11">
        <v>9.9726387416100001E-2</v>
      </c>
      <c r="N28" t="s">
        <v>63</v>
      </c>
      <c r="O28" s="11">
        <v>-3.7016898215700873E-2</v>
      </c>
      <c r="P28" s="11">
        <v>0.125</v>
      </c>
      <c r="Q28" s="11">
        <v>-3.9724668911170553E-2</v>
      </c>
      <c r="R28" s="11">
        <v>9.9684639159945257E-2</v>
      </c>
      <c r="S28" s="9" t="s">
        <v>40</v>
      </c>
      <c r="T28" s="9" t="s">
        <v>31</v>
      </c>
      <c r="U28" s="9" t="s">
        <v>276</v>
      </c>
      <c r="V28" s="9" t="s">
        <v>286</v>
      </c>
      <c r="W28" s="1" t="s">
        <v>31</v>
      </c>
      <c r="X28" s="1" t="s">
        <v>31</v>
      </c>
      <c r="Y28" s="3" t="s">
        <v>31</v>
      </c>
      <c r="Z28" s="11" t="s">
        <v>31</v>
      </c>
      <c r="AA28" s="11" t="s">
        <v>31</v>
      </c>
      <c r="AB28" s="10">
        <v>0</v>
      </c>
      <c r="AC28" s="9" t="s">
        <v>34</v>
      </c>
      <c r="AD28" s="9" t="s">
        <v>63</v>
      </c>
    </row>
    <row r="29" spans="1:30" x14ac:dyDescent="0.25">
      <c r="A29" s="9" t="s">
        <v>943</v>
      </c>
      <c r="B29" s="10" t="s">
        <v>623</v>
      </c>
      <c r="C29" s="10">
        <v>2</v>
      </c>
      <c r="D29" s="10">
        <v>2000</v>
      </c>
      <c r="E29" s="9" t="s">
        <v>38</v>
      </c>
      <c r="F29" s="9" t="s">
        <v>54</v>
      </c>
      <c r="G29" s="1">
        <v>7.75</v>
      </c>
      <c r="H29" s="1" t="s">
        <v>31</v>
      </c>
      <c r="I29" s="9" t="s">
        <v>30</v>
      </c>
      <c r="J29" s="1">
        <v>0.38</v>
      </c>
      <c r="K29" s="10">
        <v>8</v>
      </c>
      <c r="L29" s="3">
        <v>0.57099999999999995</v>
      </c>
      <c r="M29" s="11">
        <v>6.4888676240142856E-2</v>
      </c>
      <c r="N29" t="s">
        <v>63</v>
      </c>
      <c r="O29" s="11">
        <v>0.64900535966380202</v>
      </c>
      <c r="P29" s="11">
        <v>0.2</v>
      </c>
      <c r="Q29" s="11">
        <v>0.61185451588498296</v>
      </c>
      <c r="R29" s="11">
        <v>5.5916852322872579E-2</v>
      </c>
      <c r="S29" s="9" t="s">
        <v>40</v>
      </c>
      <c r="T29" s="9" t="s">
        <v>31</v>
      </c>
      <c r="U29" s="9" t="s">
        <v>276</v>
      </c>
      <c r="V29" s="9" t="s">
        <v>286</v>
      </c>
      <c r="W29" s="1" t="s">
        <v>31</v>
      </c>
      <c r="X29" s="1" t="s">
        <v>31</v>
      </c>
      <c r="Y29" s="3" t="s">
        <v>31</v>
      </c>
      <c r="Z29" s="11" t="s">
        <v>31</v>
      </c>
      <c r="AA29" s="11" t="s">
        <v>31</v>
      </c>
      <c r="AB29" s="10">
        <v>0</v>
      </c>
      <c r="AC29" s="9" t="s">
        <v>34</v>
      </c>
      <c r="AD29" s="9" t="s">
        <v>63</v>
      </c>
    </row>
    <row r="30" spans="1:30" x14ac:dyDescent="0.25">
      <c r="A30" s="9" t="s">
        <v>517</v>
      </c>
      <c r="B30" s="10" t="s">
        <v>624</v>
      </c>
      <c r="C30" s="10">
        <v>2</v>
      </c>
      <c r="D30" s="10">
        <v>2000</v>
      </c>
      <c r="E30" s="9" t="s">
        <v>38</v>
      </c>
      <c r="F30" s="9" t="s">
        <v>29</v>
      </c>
      <c r="G30" s="1">
        <v>23.2</v>
      </c>
      <c r="H30" s="1">
        <v>5.0999999999999996</v>
      </c>
      <c r="I30" s="9" t="s">
        <v>39</v>
      </c>
      <c r="J30" s="1">
        <v>0</v>
      </c>
      <c r="K30" s="10">
        <v>36</v>
      </c>
      <c r="L30" s="3">
        <v>0.12</v>
      </c>
      <c r="M30" s="11">
        <v>2.7754496E-2</v>
      </c>
      <c r="N30">
        <v>4934</v>
      </c>
      <c r="O30" s="11">
        <v>0.1205810284084441</v>
      </c>
      <c r="P30" s="11">
        <v>3.03030303030303E-2</v>
      </c>
      <c r="Q30" s="11">
        <v>0.1218601957242859</v>
      </c>
      <c r="R30" s="11">
        <v>2.7729163004084411E-2</v>
      </c>
      <c r="S30" s="9" t="s">
        <v>40</v>
      </c>
      <c r="T30" s="9" t="s">
        <v>50</v>
      </c>
      <c r="U30" s="9" t="s">
        <v>276</v>
      </c>
      <c r="V30" s="9" t="s">
        <v>361</v>
      </c>
      <c r="W30" s="1" t="s">
        <v>31</v>
      </c>
      <c r="X30" s="1" t="s">
        <v>31</v>
      </c>
      <c r="Y30" s="3" t="s">
        <v>31</v>
      </c>
      <c r="Z30" s="11" t="s">
        <v>31</v>
      </c>
      <c r="AA30" s="11" t="s">
        <v>31</v>
      </c>
      <c r="AB30" s="10">
        <v>2</v>
      </c>
      <c r="AC30" s="9" t="s">
        <v>41</v>
      </c>
      <c r="AD30" s="9" t="s">
        <v>35</v>
      </c>
    </row>
    <row r="31" spans="1:30" x14ac:dyDescent="0.25">
      <c r="A31" s="9" t="s">
        <v>94</v>
      </c>
      <c r="B31" s="10" t="s">
        <v>625</v>
      </c>
      <c r="C31" s="10">
        <v>2</v>
      </c>
      <c r="D31" s="10">
        <v>2000</v>
      </c>
      <c r="E31" s="9" t="s">
        <v>38</v>
      </c>
      <c r="F31" s="9" t="s">
        <v>29</v>
      </c>
      <c r="G31" s="1">
        <v>24.97</v>
      </c>
      <c r="H31" s="1">
        <v>4.47</v>
      </c>
      <c r="I31" s="9" t="s">
        <v>43</v>
      </c>
      <c r="J31" s="1">
        <v>1</v>
      </c>
      <c r="K31" s="10">
        <v>68</v>
      </c>
      <c r="L31" s="3">
        <v>0.32900000000000001</v>
      </c>
      <c r="M31" s="11">
        <v>1.1869165881805969E-2</v>
      </c>
      <c r="N31">
        <v>1106</v>
      </c>
      <c r="O31" s="11">
        <v>0.34170646087078171</v>
      </c>
      <c r="P31" s="11">
        <v>1.5384615384615391E-2</v>
      </c>
      <c r="Q31" s="11">
        <v>0.33129199926012581</v>
      </c>
      <c r="R31" s="11">
        <v>1.1828914153844201E-2</v>
      </c>
      <c r="S31" s="9" t="s">
        <v>40</v>
      </c>
      <c r="T31" s="9" t="s">
        <v>50</v>
      </c>
      <c r="U31" s="9" t="s">
        <v>276</v>
      </c>
      <c r="V31" s="9" t="s">
        <v>357</v>
      </c>
      <c r="W31" s="1">
        <v>11.25</v>
      </c>
      <c r="X31" s="1">
        <v>15</v>
      </c>
      <c r="Y31" s="3">
        <f>W31/X31</f>
        <v>0.75</v>
      </c>
      <c r="Z31" s="11">
        <v>0.42129125836142062</v>
      </c>
      <c r="AA31" s="11">
        <v>0.13723444213150199</v>
      </c>
      <c r="AB31" s="10">
        <v>0</v>
      </c>
      <c r="AC31" s="9" t="s">
        <v>41</v>
      </c>
      <c r="AD31" s="9" t="s">
        <v>35</v>
      </c>
    </row>
    <row r="32" spans="1:30" x14ac:dyDescent="0.25">
      <c r="A32" s="9" t="s">
        <v>851</v>
      </c>
      <c r="B32" s="10" t="s">
        <v>626</v>
      </c>
      <c r="C32" s="10">
        <v>2</v>
      </c>
      <c r="D32" s="10">
        <v>2001</v>
      </c>
      <c r="E32" s="9" t="s">
        <v>38</v>
      </c>
      <c r="F32" s="9" t="s">
        <v>29</v>
      </c>
      <c r="G32" s="1">
        <v>74.849999999999994</v>
      </c>
      <c r="H32" s="1">
        <v>4.95</v>
      </c>
      <c r="I32" s="9" t="s">
        <v>30</v>
      </c>
      <c r="J32" s="1">
        <v>0.38</v>
      </c>
      <c r="K32" s="10">
        <v>319</v>
      </c>
      <c r="L32" s="3">
        <v>-6.0999999999999999E-2</v>
      </c>
      <c r="M32" s="11">
        <v>3.1212951127075469E-3</v>
      </c>
      <c r="N32">
        <v>482</v>
      </c>
      <c r="O32" s="11">
        <v>-6.1075829702860088E-2</v>
      </c>
      <c r="P32" s="11">
        <v>3.164556962025316E-3</v>
      </c>
      <c r="Q32" s="11">
        <v>-6.1096538964485463E-2</v>
      </c>
      <c r="R32" s="11">
        <v>3.1212212564542701E-3</v>
      </c>
      <c r="S32" s="9" t="s">
        <v>40</v>
      </c>
      <c r="T32" s="9" t="s">
        <v>50</v>
      </c>
      <c r="U32" s="9" t="s">
        <v>276</v>
      </c>
      <c r="V32" s="9" t="s">
        <v>362</v>
      </c>
      <c r="W32" s="1">
        <v>9.4</v>
      </c>
      <c r="X32" s="1" t="s">
        <v>31</v>
      </c>
      <c r="Y32" s="3" t="s">
        <v>31</v>
      </c>
      <c r="Z32" s="11" t="s">
        <v>31</v>
      </c>
      <c r="AA32" s="11" t="s">
        <v>31</v>
      </c>
      <c r="AB32" s="10">
        <v>5</v>
      </c>
      <c r="AC32" s="9" t="s">
        <v>34</v>
      </c>
      <c r="AD32" s="9" t="s">
        <v>35</v>
      </c>
    </row>
    <row r="33" spans="1:30" x14ac:dyDescent="0.25">
      <c r="A33" s="9" t="s">
        <v>518</v>
      </c>
      <c r="B33" s="10" t="s">
        <v>627</v>
      </c>
      <c r="C33" s="10">
        <v>2</v>
      </c>
      <c r="D33" s="10">
        <v>2002</v>
      </c>
      <c r="E33" s="9" t="s">
        <v>38</v>
      </c>
      <c r="F33" s="9" t="s">
        <v>29</v>
      </c>
      <c r="G33" s="1">
        <v>18.899999999999999</v>
      </c>
      <c r="H33" s="1">
        <v>10</v>
      </c>
      <c r="I33" s="9" t="s">
        <v>30</v>
      </c>
      <c r="J33" s="1">
        <v>0.92</v>
      </c>
      <c r="K33" s="10">
        <v>83</v>
      </c>
      <c r="L33" s="3">
        <v>-0.01</v>
      </c>
      <c r="M33" s="11">
        <v>1.2192683048780489E-2</v>
      </c>
      <c r="N33" s="4">
        <v>179</v>
      </c>
      <c r="O33" s="11">
        <v>-1.000033335333477E-2</v>
      </c>
      <c r="P33" s="11">
        <v>1.2500000000000001E-2</v>
      </c>
      <c r="Q33" s="11">
        <v>-1.006348361555846E-2</v>
      </c>
      <c r="R33" s="11">
        <v>1.2192651985992699E-2</v>
      </c>
      <c r="S33" s="9" t="s">
        <v>40</v>
      </c>
      <c r="T33" s="9" t="s">
        <v>50</v>
      </c>
      <c r="U33" s="9" t="s">
        <v>276</v>
      </c>
      <c r="V33" s="9" t="s">
        <v>289</v>
      </c>
      <c r="W33" s="1">
        <v>11.8</v>
      </c>
      <c r="X33" s="1" t="s">
        <v>31</v>
      </c>
      <c r="Y33" s="3" t="s">
        <v>31</v>
      </c>
      <c r="Z33" s="11" t="s">
        <v>31</v>
      </c>
      <c r="AA33" s="11" t="s">
        <v>31</v>
      </c>
      <c r="AB33" s="10">
        <v>0</v>
      </c>
      <c r="AC33" s="9" t="s">
        <v>34</v>
      </c>
      <c r="AD33" s="9" t="s">
        <v>35</v>
      </c>
    </row>
    <row r="34" spans="1:30" x14ac:dyDescent="0.25">
      <c r="A34" s="9" t="s">
        <v>518</v>
      </c>
      <c r="B34" s="10" t="s">
        <v>628</v>
      </c>
      <c r="C34" s="10">
        <v>2</v>
      </c>
      <c r="D34" s="10">
        <v>2002</v>
      </c>
      <c r="E34" s="9" t="s">
        <v>28</v>
      </c>
      <c r="F34" s="9" t="s">
        <v>29</v>
      </c>
      <c r="G34" s="1">
        <v>18.8</v>
      </c>
      <c r="H34" s="1">
        <v>10</v>
      </c>
      <c r="I34" s="9" t="s">
        <v>30</v>
      </c>
      <c r="J34" s="1">
        <v>0.87</v>
      </c>
      <c r="K34" s="10">
        <v>67</v>
      </c>
      <c r="L34" s="3">
        <v>0.08</v>
      </c>
      <c r="M34" s="11">
        <v>1.4958196363636361E-2</v>
      </c>
      <c r="N34">
        <v>179</v>
      </c>
      <c r="O34" s="11">
        <v>8.0171325037589738E-2</v>
      </c>
      <c r="P34" s="11">
        <v>1.5625E-2</v>
      </c>
      <c r="Q34" s="11">
        <v>8.0633190846162869E-2</v>
      </c>
      <c r="R34" s="11">
        <v>1.4955134080604849E-2</v>
      </c>
      <c r="S34" s="9" t="s">
        <v>40</v>
      </c>
      <c r="T34" s="9" t="s">
        <v>50</v>
      </c>
      <c r="U34" s="9" t="s">
        <v>276</v>
      </c>
      <c r="V34" s="9" t="s">
        <v>289</v>
      </c>
      <c r="W34" s="1">
        <v>15.8</v>
      </c>
      <c r="X34" s="1" t="s">
        <v>31</v>
      </c>
      <c r="Y34" s="3" t="s">
        <v>31</v>
      </c>
      <c r="Z34" s="11" t="s">
        <v>31</v>
      </c>
      <c r="AA34" s="11" t="s">
        <v>31</v>
      </c>
      <c r="AB34" s="10">
        <v>0</v>
      </c>
      <c r="AC34" s="9" t="s">
        <v>34</v>
      </c>
      <c r="AD34" s="9" t="s">
        <v>35</v>
      </c>
    </row>
    <row r="35" spans="1:30" x14ac:dyDescent="0.25">
      <c r="A35" s="9" t="s">
        <v>863</v>
      </c>
      <c r="B35" s="10" t="s">
        <v>629</v>
      </c>
      <c r="C35" s="10">
        <v>2</v>
      </c>
      <c r="D35" s="10">
        <v>2002</v>
      </c>
      <c r="E35" s="9" t="s">
        <v>38</v>
      </c>
      <c r="F35" s="9" t="s">
        <v>29</v>
      </c>
      <c r="G35" s="1">
        <v>67.8</v>
      </c>
      <c r="H35" s="1" t="s">
        <v>31</v>
      </c>
      <c r="I35" s="9" t="s">
        <v>43</v>
      </c>
      <c r="J35" s="1">
        <v>1</v>
      </c>
      <c r="K35" s="10">
        <v>97</v>
      </c>
      <c r="L35" s="3">
        <v>0.30399999999999999</v>
      </c>
      <c r="M35" s="11">
        <v>8.580299135999999E-3</v>
      </c>
      <c r="N35">
        <v>172</v>
      </c>
      <c r="O35" s="11">
        <v>0.31392104107608942</v>
      </c>
      <c r="P35" s="11">
        <v>1.063829787234043E-2</v>
      </c>
      <c r="Q35" s="11">
        <v>0.3054839420739191</v>
      </c>
      <c r="R35" s="11">
        <v>8.5632065268741366E-3</v>
      </c>
      <c r="S35" s="9" t="s">
        <v>40</v>
      </c>
      <c r="T35" s="9" t="s">
        <v>46</v>
      </c>
      <c r="U35" s="9" t="s">
        <v>276</v>
      </c>
      <c r="V35" s="9" t="s">
        <v>288</v>
      </c>
      <c r="W35" s="1" t="s">
        <v>31</v>
      </c>
      <c r="X35" s="1" t="s">
        <v>31</v>
      </c>
      <c r="Y35" s="3" t="s">
        <v>31</v>
      </c>
      <c r="Z35" s="11" t="s">
        <v>31</v>
      </c>
      <c r="AA35" s="11" t="s">
        <v>31</v>
      </c>
      <c r="AB35" s="10">
        <v>0</v>
      </c>
      <c r="AC35" s="9" t="s">
        <v>41</v>
      </c>
      <c r="AD35" s="9" t="s">
        <v>35</v>
      </c>
    </row>
    <row r="36" spans="1:30" x14ac:dyDescent="0.25">
      <c r="A36" s="9" t="s">
        <v>136</v>
      </c>
      <c r="B36" s="10" t="s">
        <v>630</v>
      </c>
      <c r="C36" s="10">
        <v>2</v>
      </c>
      <c r="D36" s="10">
        <v>2003</v>
      </c>
      <c r="E36" s="9" t="s">
        <v>38</v>
      </c>
      <c r="F36" s="9" t="s">
        <v>54</v>
      </c>
      <c r="G36" s="1">
        <v>16.399999999999999</v>
      </c>
      <c r="H36" s="1">
        <v>1.7</v>
      </c>
      <c r="I36" s="9" t="s">
        <v>30</v>
      </c>
      <c r="J36" s="1">
        <v>0.6</v>
      </c>
      <c r="K36" s="10">
        <v>22</v>
      </c>
      <c r="L36" s="3">
        <v>-8.6999999999999994E-2</v>
      </c>
      <c r="M36" s="11">
        <v>4.6900918560047612E-2</v>
      </c>
      <c r="N36" t="s">
        <v>63</v>
      </c>
      <c r="O36" s="11">
        <v>-8.7220503263120447E-2</v>
      </c>
      <c r="P36" s="11">
        <v>5.2631578947368418E-2</v>
      </c>
      <c r="Q36" s="11">
        <v>-8.9428139101209614E-2</v>
      </c>
      <c r="R36" s="11">
        <v>4.6860436864457157E-2</v>
      </c>
      <c r="S36" s="9" t="s">
        <v>40</v>
      </c>
      <c r="T36" s="9" t="s">
        <v>50</v>
      </c>
      <c r="U36" s="9" t="s">
        <v>276</v>
      </c>
      <c r="V36" s="9" t="s">
        <v>363</v>
      </c>
      <c r="W36" s="1" t="s">
        <v>31</v>
      </c>
      <c r="X36" s="1" t="s">
        <v>31</v>
      </c>
      <c r="Y36" s="3" t="s">
        <v>31</v>
      </c>
      <c r="Z36" s="11" t="s">
        <v>31</v>
      </c>
      <c r="AA36" s="11" t="s">
        <v>31</v>
      </c>
      <c r="AB36" s="10">
        <v>0</v>
      </c>
      <c r="AC36" s="9" t="s">
        <v>34</v>
      </c>
      <c r="AD36" s="9" t="s">
        <v>63</v>
      </c>
    </row>
    <row r="37" spans="1:30" x14ac:dyDescent="0.25">
      <c r="A37" s="9" t="s">
        <v>136</v>
      </c>
      <c r="B37" s="10" t="s">
        <v>631</v>
      </c>
      <c r="C37" s="10">
        <v>2</v>
      </c>
      <c r="D37" s="10">
        <v>2003</v>
      </c>
      <c r="E37" s="9" t="s">
        <v>28</v>
      </c>
      <c r="F37" s="9" t="s">
        <v>54</v>
      </c>
      <c r="G37" s="1">
        <v>16.8</v>
      </c>
      <c r="H37" s="1">
        <v>1.4</v>
      </c>
      <c r="I37" s="9" t="s">
        <v>30</v>
      </c>
      <c r="J37" s="1">
        <v>0.67</v>
      </c>
      <c r="K37" s="10">
        <v>32</v>
      </c>
      <c r="L37" s="3">
        <v>-0.27900000000000003</v>
      </c>
      <c r="M37" s="11">
        <v>2.743152326712903E-2</v>
      </c>
      <c r="N37" t="s">
        <v>63</v>
      </c>
      <c r="O37" s="11">
        <v>-0.28659733214694683</v>
      </c>
      <c r="P37" s="11">
        <v>3.4482758620689662E-2</v>
      </c>
      <c r="Q37" s="11">
        <v>-0.28360370344984559</v>
      </c>
      <c r="R37" s="11">
        <v>2.7277646267418999E-2</v>
      </c>
      <c r="S37" s="9" t="s">
        <v>40</v>
      </c>
      <c r="T37" s="9" t="s">
        <v>50</v>
      </c>
      <c r="U37" s="9" t="s">
        <v>276</v>
      </c>
      <c r="V37" s="9" t="s">
        <v>363</v>
      </c>
      <c r="W37" s="1" t="s">
        <v>31</v>
      </c>
      <c r="X37" s="1" t="s">
        <v>31</v>
      </c>
      <c r="Y37" s="3" t="s">
        <v>31</v>
      </c>
      <c r="Z37" s="11" t="s">
        <v>31</v>
      </c>
      <c r="AA37" s="11" t="s">
        <v>31</v>
      </c>
      <c r="AB37" s="10">
        <v>0</v>
      </c>
      <c r="AC37" s="9" t="s">
        <v>34</v>
      </c>
      <c r="AD37" s="9" t="s">
        <v>63</v>
      </c>
    </row>
    <row r="38" spans="1:30" x14ac:dyDescent="0.25">
      <c r="A38" s="9" t="s">
        <v>521</v>
      </c>
      <c r="B38" s="10" t="s">
        <v>632</v>
      </c>
      <c r="C38" s="10">
        <v>2</v>
      </c>
      <c r="D38" s="10">
        <v>2003</v>
      </c>
      <c r="E38" s="9" t="s">
        <v>28</v>
      </c>
      <c r="F38" s="9" t="s">
        <v>29</v>
      </c>
      <c r="G38" s="1">
        <v>26.16</v>
      </c>
      <c r="H38" s="1">
        <v>8.8000000000000007</v>
      </c>
      <c r="I38" s="9" t="s">
        <v>30</v>
      </c>
      <c r="J38" s="1">
        <v>0.52</v>
      </c>
      <c r="K38" s="10">
        <v>25</v>
      </c>
      <c r="L38" s="3">
        <v>0.56999999999999995</v>
      </c>
      <c r="M38" s="11">
        <v>1.899000041666667E-2</v>
      </c>
      <c r="N38">
        <v>157</v>
      </c>
      <c r="O38" s="11">
        <v>0.64752284482737277</v>
      </c>
      <c r="P38" s="11">
        <v>4.5454545454545463E-2</v>
      </c>
      <c r="Q38" s="11">
        <v>0.57893583769421109</v>
      </c>
      <c r="R38" s="11">
        <v>1.841680463535712E-2</v>
      </c>
      <c r="S38" s="9" t="s">
        <v>40</v>
      </c>
      <c r="T38" s="9" t="s">
        <v>46</v>
      </c>
      <c r="U38" s="9" t="s">
        <v>276</v>
      </c>
      <c r="V38" s="9" t="s">
        <v>291</v>
      </c>
      <c r="W38" s="1">
        <v>11.225</v>
      </c>
      <c r="X38" s="1">
        <v>15</v>
      </c>
      <c r="Y38" s="3">
        <f>W38/X38</f>
        <v>0.74833333333333329</v>
      </c>
      <c r="Z38" s="11">
        <v>0.67984546568394699</v>
      </c>
      <c r="AA38" s="11">
        <v>0.16278574301341461</v>
      </c>
      <c r="AB38" s="10">
        <v>0</v>
      </c>
      <c r="AC38" s="9" t="s">
        <v>41</v>
      </c>
      <c r="AD38" s="9" t="s">
        <v>35</v>
      </c>
    </row>
    <row r="39" spans="1:30" x14ac:dyDescent="0.25">
      <c r="A39" s="9" t="s">
        <v>522</v>
      </c>
      <c r="B39" s="10" t="s">
        <v>633</v>
      </c>
      <c r="C39" s="10">
        <v>2</v>
      </c>
      <c r="D39" s="10">
        <v>2003</v>
      </c>
      <c r="E39" s="9" t="s">
        <v>38</v>
      </c>
      <c r="F39" s="9" t="s">
        <v>54</v>
      </c>
      <c r="G39" s="1">
        <v>14.6</v>
      </c>
      <c r="H39" s="1">
        <v>1.5</v>
      </c>
      <c r="I39" s="9" t="s">
        <v>39</v>
      </c>
      <c r="J39" s="1">
        <v>0</v>
      </c>
      <c r="K39" s="10">
        <v>24</v>
      </c>
      <c r="L39" s="3">
        <v>0.17</v>
      </c>
      <c r="M39" s="11">
        <v>4.1001530869565213E-2</v>
      </c>
      <c r="N39">
        <v>10</v>
      </c>
      <c r="O39" s="11">
        <v>0.1716666635005791</v>
      </c>
      <c r="P39" s="11">
        <v>4.7619047619047623E-2</v>
      </c>
      <c r="Q39" s="11">
        <v>0.17416239850844531</v>
      </c>
      <c r="R39" s="11">
        <v>4.0880651345146797E-2</v>
      </c>
      <c r="S39" s="9" t="s">
        <v>40</v>
      </c>
      <c r="T39" s="9" t="s">
        <v>50</v>
      </c>
      <c r="U39" s="9" t="s">
        <v>276</v>
      </c>
      <c r="V39" s="9" t="s">
        <v>292</v>
      </c>
      <c r="W39" s="1" t="s">
        <v>31</v>
      </c>
      <c r="X39" s="1" t="s">
        <v>31</v>
      </c>
      <c r="Y39" s="3" t="s">
        <v>31</v>
      </c>
      <c r="Z39" s="11" t="s">
        <v>31</v>
      </c>
      <c r="AA39" s="11" t="s">
        <v>31</v>
      </c>
      <c r="AB39" s="10">
        <v>0</v>
      </c>
      <c r="AC39" s="9" t="s">
        <v>41</v>
      </c>
      <c r="AD39" s="9" t="s">
        <v>35</v>
      </c>
    </row>
    <row r="40" spans="1:30" x14ac:dyDescent="0.25">
      <c r="A40" s="9" t="s">
        <v>522</v>
      </c>
      <c r="B40" s="10" t="s">
        <v>634</v>
      </c>
      <c r="C40" s="10">
        <v>2</v>
      </c>
      <c r="D40" s="10">
        <v>2003</v>
      </c>
      <c r="E40" s="9" t="s">
        <v>38</v>
      </c>
      <c r="F40" s="9" t="s">
        <v>54</v>
      </c>
      <c r="G40" s="1">
        <v>14.5</v>
      </c>
      <c r="H40" s="1">
        <v>1.6</v>
      </c>
      <c r="I40" s="9" t="s">
        <v>43</v>
      </c>
      <c r="J40" s="1">
        <v>1</v>
      </c>
      <c r="K40" s="10">
        <v>13</v>
      </c>
      <c r="L40" s="3">
        <v>0.19</v>
      </c>
      <c r="M40" s="11">
        <v>7.7425267499999992E-2</v>
      </c>
      <c r="N40">
        <v>10</v>
      </c>
      <c r="O40" s="11">
        <v>0.1923371692195453</v>
      </c>
      <c r="P40" s="11">
        <v>0.1</v>
      </c>
      <c r="Q40" s="11">
        <v>0.20032182474331031</v>
      </c>
      <c r="R40" s="11">
        <v>7.677938802821356E-2</v>
      </c>
      <c r="S40" s="9" t="s">
        <v>40</v>
      </c>
      <c r="T40" s="9" t="s">
        <v>50</v>
      </c>
      <c r="U40" s="9" t="s">
        <v>276</v>
      </c>
      <c r="V40" s="9" t="s">
        <v>292</v>
      </c>
      <c r="W40" s="1" t="s">
        <v>31</v>
      </c>
      <c r="X40" s="1" t="s">
        <v>31</v>
      </c>
      <c r="Y40" s="3" t="s">
        <v>31</v>
      </c>
      <c r="Z40" s="11" t="s">
        <v>31</v>
      </c>
      <c r="AA40" s="11" t="s">
        <v>31</v>
      </c>
      <c r="AB40" s="10">
        <v>0</v>
      </c>
      <c r="AC40" s="9" t="s">
        <v>41</v>
      </c>
      <c r="AD40" s="9" t="s">
        <v>35</v>
      </c>
    </row>
    <row r="41" spans="1:30" x14ac:dyDescent="0.25">
      <c r="A41" s="9" t="s">
        <v>148</v>
      </c>
      <c r="B41" s="10" t="s">
        <v>635</v>
      </c>
      <c r="C41" s="10">
        <v>2</v>
      </c>
      <c r="D41" s="10">
        <v>2004</v>
      </c>
      <c r="E41" s="9" t="s">
        <v>38</v>
      </c>
      <c r="F41" s="9" t="s">
        <v>54</v>
      </c>
      <c r="G41" s="1">
        <v>15.6</v>
      </c>
      <c r="H41" s="1" t="s">
        <v>31</v>
      </c>
      <c r="I41" s="9" t="s">
        <v>39</v>
      </c>
      <c r="J41" s="1">
        <v>0</v>
      </c>
      <c r="K41" s="10">
        <v>38</v>
      </c>
      <c r="L41" s="3">
        <v>0.19700000000000001</v>
      </c>
      <c r="M41" s="11">
        <v>2.4969949688675681E-2</v>
      </c>
      <c r="N41" t="s">
        <v>63</v>
      </c>
      <c r="O41" s="11">
        <v>0.1996094958056058</v>
      </c>
      <c r="P41" s="11">
        <v>2.8571428571428571E-2</v>
      </c>
      <c r="Q41" s="11">
        <v>0.1997971645105398</v>
      </c>
      <c r="R41" s="11">
        <v>2.4912316357807999E-2</v>
      </c>
      <c r="S41" s="9" t="s">
        <v>40</v>
      </c>
      <c r="T41" s="9" t="s">
        <v>31</v>
      </c>
      <c r="U41" s="9" t="s">
        <v>276</v>
      </c>
      <c r="V41" s="9" t="s">
        <v>293</v>
      </c>
      <c r="W41" s="1" t="s">
        <v>31</v>
      </c>
      <c r="X41" s="1" t="s">
        <v>31</v>
      </c>
      <c r="Y41" s="3" t="s">
        <v>31</v>
      </c>
      <c r="Z41" s="11" t="s">
        <v>31</v>
      </c>
      <c r="AA41" s="11" t="s">
        <v>31</v>
      </c>
      <c r="AB41" s="10">
        <v>0</v>
      </c>
      <c r="AC41" s="9" t="s">
        <v>34</v>
      </c>
      <c r="AD41" s="9" t="s">
        <v>63</v>
      </c>
    </row>
    <row r="42" spans="1:30" x14ac:dyDescent="0.25">
      <c r="A42" s="9" t="s">
        <v>142</v>
      </c>
      <c r="B42" s="10" t="s">
        <v>636</v>
      </c>
      <c r="C42" s="10">
        <v>2</v>
      </c>
      <c r="D42" s="10">
        <v>2004</v>
      </c>
      <c r="E42" s="9" t="s">
        <v>38</v>
      </c>
      <c r="F42" s="9" t="s">
        <v>54</v>
      </c>
      <c r="G42" s="1">
        <v>18</v>
      </c>
      <c r="H42" s="1">
        <v>0.9</v>
      </c>
      <c r="I42" s="9" t="s">
        <v>39</v>
      </c>
      <c r="J42" s="1">
        <v>0</v>
      </c>
      <c r="K42" s="10">
        <v>49</v>
      </c>
      <c r="L42" s="3">
        <v>0.33100000000000002</v>
      </c>
      <c r="M42" s="11">
        <v>1.6518366931687501E-2</v>
      </c>
      <c r="N42">
        <v>471</v>
      </c>
      <c r="O42" s="11">
        <v>0.34395087913344158</v>
      </c>
      <c r="P42" s="11">
        <v>2.1739130434782612E-2</v>
      </c>
      <c r="Q42" s="11">
        <v>0.33427412052319921</v>
      </c>
      <c r="R42" s="11">
        <v>1.643765147403986E-2</v>
      </c>
      <c r="S42" s="9" t="s">
        <v>40</v>
      </c>
      <c r="T42" s="9" t="s">
        <v>50</v>
      </c>
      <c r="U42" s="9" t="s">
        <v>276</v>
      </c>
      <c r="V42" s="9" t="s">
        <v>278</v>
      </c>
      <c r="W42" s="1">
        <v>18</v>
      </c>
      <c r="X42" s="1">
        <v>15</v>
      </c>
      <c r="Y42" s="3">
        <f>W42/X42</f>
        <v>1.2</v>
      </c>
      <c r="Z42" s="11">
        <v>0.28056962059160651</v>
      </c>
      <c r="AA42" s="11">
        <v>0.120866328700385</v>
      </c>
      <c r="AB42" s="10">
        <v>0</v>
      </c>
      <c r="AC42" s="9" t="s">
        <v>41</v>
      </c>
      <c r="AD42" s="9" t="s">
        <v>35</v>
      </c>
    </row>
    <row r="43" spans="1:30" x14ac:dyDescent="0.25">
      <c r="A43" s="9" t="s">
        <v>142</v>
      </c>
      <c r="B43" s="10" t="s">
        <v>637</v>
      </c>
      <c r="C43" s="10">
        <v>2</v>
      </c>
      <c r="D43" s="10">
        <v>2004</v>
      </c>
      <c r="E43" s="9" t="s">
        <v>38</v>
      </c>
      <c r="F43" s="9" t="s">
        <v>54</v>
      </c>
      <c r="G43" s="1">
        <v>18</v>
      </c>
      <c r="H43" s="1">
        <v>0.9</v>
      </c>
      <c r="I43" s="9" t="s">
        <v>43</v>
      </c>
      <c r="J43" s="1">
        <v>1</v>
      </c>
      <c r="K43" s="10">
        <v>47</v>
      </c>
      <c r="L43" s="3">
        <v>0.55200000000000005</v>
      </c>
      <c r="M43" s="11">
        <v>1.050948973078261E-2</v>
      </c>
      <c r="N43">
        <v>471</v>
      </c>
      <c r="O43" s="11">
        <v>0.62125323416408951</v>
      </c>
      <c r="P43" s="11">
        <v>2.2727272727272731E-2</v>
      </c>
      <c r="Q43" s="11">
        <v>0.55641560610119034</v>
      </c>
      <c r="R43" s="11">
        <v>1.0362053706033729E-2</v>
      </c>
      <c r="S43" s="9" t="s">
        <v>40</v>
      </c>
      <c r="T43" s="9" t="s">
        <v>50</v>
      </c>
      <c r="U43" s="9" t="s">
        <v>276</v>
      </c>
      <c r="V43" s="9" t="s">
        <v>278</v>
      </c>
      <c r="W43" s="1">
        <v>19.5</v>
      </c>
      <c r="X43" s="1">
        <v>15</v>
      </c>
      <c r="Y43" s="3">
        <f>W43/X43</f>
        <v>1.3</v>
      </c>
      <c r="Z43" s="11">
        <v>0.45377888243851189</v>
      </c>
      <c r="AA43" s="11">
        <v>0.11673005818686299</v>
      </c>
      <c r="AB43" s="10">
        <v>0</v>
      </c>
      <c r="AC43" s="9" t="s">
        <v>41</v>
      </c>
      <c r="AD43" s="9" t="s">
        <v>35</v>
      </c>
    </row>
    <row r="44" spans="1:30" x14ac:dyDescent="0.25">
      <c r="A44" s="9" t="s">
        <v>157</v>
      </c>
      <c r="B44" s="10" t="s">
        <v>638</v>
      </c>
      <c r="C44" s="10">
        <v>2</v>
      </c>
      <c r="D44" s="10">
        <v>2004</v>
      </c>
      <c r="E44" s="9" t="s">
        <v>38</v>
      </c>
      <c r="F44" s="9" t="s">
        <v>29</v>
      </c>
      <c r="G44" s="1">
        <v>43.62</v>
      </c>
      <c r="H44" s="1">
        <v>4.3099999999999996</v>
      </c>
      <c r="I44" s="9" t="s">
        <v>30</v>
      </c>
      <c r="J44" s="1">
        <v>0.47</v>
      </c>
      <c r="K44" s="10">
        <v>17</v>
      </c>
      <c r="L44" s="3">
        <v>0.19</v>
      </c>
      <c r="M44" s="11">
        <v>5.8068950624999997E-2</v>
      </c>
      <c r="N44" t="s">
        <v>63</v>
      </c>
      <c r="O44" s="11">
        <v>0.1923371692195453</v>
      </c>
      <c r="P44" s="11">
        <v>7.1428571428571425E-2</v>
      </c>
      <c r="Q44" s="11">
        <v>0.19712148534719759</v>
      </c>
      <c r="R44" s="11">
        <v>5.7737256071952223E-2</v>
      </c>
      <c r="S44" s="9" t="s">
        <v>40</v>
      </c>
      <c r="T44" s="9" t="s">
        <v>50</v>
      </c>
      <c r="U44" s="9" t="s">
        <v>276</v>
      </c>
      <c r="V44" s="9" t="s">
        <v>365</v>
      </c>
      <c r="W44" s="1" t="s">
        <v>31</v>
      </c>
      <c r="X44" s="1" t="s">
        <v>31</v>
      </c>
      <c r="Y44" s="3" t="s">
        <v>31</v>
      </c>
      <c r="Z44" s="11" t="s">
        <v>31</v>
      </c>
      <c r="AA44" s="11" t="s">
        <v>31</v>
      </c>
      <c r="AB44" s="10">
        <v>0</v>
      </c>
      <c r="AC44" s="9" t="s">
        <v>34</v>
      </c>
      <c r="AD44" s="9" t="s">
        <v>63</v>
      </c>
    </row>
    <row r="45" spans="1:30" x14ac:dyDescent="0.25">
      <c r="A45" s="9" t="s">
        <v>157</v>
      </c>
      <c r="B45" s="10" t="s">
        <v>639</v>
      </c>
      <c r="C45" s="10">
        <v>2</v>
      </c>
      <c r="D45" s="10">
        <v>2004</v>
      </c>
      <c r="E45" s="9" t="s">
        <v>28</v>
      </c>
      <c r="F45" s="9" t="s">
        <v>29</v>
      </c>
      <c r="G45" s="1">
        <v>30.3</v>
      </c>
      <c r="H45" s="1">
        <v>9.1</v>
      </c>
      <c r="I45" s="9" t="s">
        <v>30</v>
      </c>
      <c r="J45" s="1">
        <v>0.87</v>
      </c>
      <c r="K45" s="10">
        <v>15</v>
      </c>
      <c r="L45" s="3">
        <v>0.3</v>
      </c>
      <c r="M45" s="11">
        <v>5.9150000000000001E-2</v>
      </c>
      <c r="N45" t="s">
        <v>63</v>
      </c>
      <c r="O45" s="11">
        <v>0.30951960420311181</v>
      </c>
      <c r="P45" s="11">
        <v>8.3333333333333329E-2</v>
      </c>
      <c r="Q45" s="11">
        <v>0.31240436369494651</v>
      </c>
      <c r="R45" s="11">
        <v>5.8166578661228437E-2</v>
      </c>
      <c r="S45" s="9" t="s">
        <v>40</v>
      </c>
      <c r="T45" s="9" t="s">
        <v>50</v>
      </c>
      <c r="U45" s="9" t="s">
        <v>276</v>
      </c>
      <c r="V45" s="9" t="s">
        <v>365</v>
      </c>
      <c r="W45" s="1" t="s">
        <v>31</v>
      </c>
      <c r="X45" s="1" t="s">
        <v>31</v>
      </c>
      <c r="Y45" s="3" t="s">
        <v>31</v>
      </c>
      <c r="Z45" s="11" t="s">
        <v>31</v>
      </c>
      <c r="AA45" s="11" t="s">
        <v>31</v>
      </c>
      <c r="AB45" s="10">
        <v>0</v>
      </c>
      <c r="AC45" s="9" t="s">
        <v>34</v>
      </c>
      <c r="AD45" s="9" t="s">
        <v>63</v>
      </c>
    </row>
    <row r="46" spans="1:30" x14ac:dyDescent="0.25">
      <c r="A46" s="9" t="s">
        <v>524</v>
      </c>
      <c r="B46" s="10" t="s">
        <v>640</v>
      </c>
      <c r="C46" s="10">
        <v>2</v>
      </c>
      <c r="D46" s="10">
        <v>2004</v>
      </c>
      <c r="E46" s="9" t="s">
        <v>28</v>
      </c>
      <c r="F46" s="9" t="s">
        <v>29</v>
      </c>
      <c r="G46" s="1">
        <v>42.23</v>
      </c>
      <c r="H46" s="1">
        <v>12.94</v>
      </c>
      <c r="I46" s="9" t="s">
        <v>30</v>
      </c>
      <c r="J46" s="1">
        <v>0.5</v>
      </c>
      <c r="K46" s="10">
        <v>201</v>
      </c>
      <c r="L46" s="3">
        <v>0.28000000000000003</v>
      </c>
      <c r="M46" s="11">
        <v>4.2467327999999999E-3</v>
      </c>
      <c r="N46">
        <v>72</v>
      </c>
      <c r="O46" s="11">
        <v>0.28768207245178101</v>
      </c>
      <c r="P46" s="11">
        <v>5.0505050505050509E-3</v>
      </c>
      <c r="Q46" s="11">
        <v>0.28065518072246393</v>
      </c>
      <c r="R46" s="11">
        <v>4.2433481570803948E-3</v>
      </c>
      <c r="S46" s="9" t="s">
        <v>40</v>
      </c>
      <c r="T46" s="9" t="s">
        <v>50</v>
      </c>
      <c r="U46" s="9" t="s">
        <v>276</v>
      </c>
      <c r="V46" s="9" t="s">
        <v>278</v>
      </c>
      <c r="W46" s="1" t="s">
        <v>31</v>
      </c>
      <c r="X46" s="1" t="s">
        <v>31</v>
      </c>
      <c r="Y46" s="3" t="s">
        <v>31</v>
      </c>
      <c r="Z46" s="11" t="s">
        <v>31</v>
      </c>
      <c r="AA46" s="11" t="s">
        <v>31</v>
      </c>
      <c r="AB46" s="10">
        <v>4</v>
      </c>
      <c r="AC46" s="9" t="s">
        <v>34</v>
      </c>
      <c r="AD46" s="9" t="s">
        <v>35</v>
      </c>
    </row>
    <row r="47" spans="1:30" x14ac:dyDescent="0.25">
      <c r="A47" s="9" t="s">
        <v>525</v>
      </c>
      <c r="B47" s="10" t="s">
        <v>641</v>
      </c>
      <c r="C47" s="10">
        <v>2</v>
      </c>
      <c r="D47" s="10">
        <v>2004</v>
      </c>
      <c r="E47" s="9" t="s">
        <v>38</v>
      </c>
      <c r="F47" s="9" t="s">
        <v>54</v>
      </c>
      <c r="G47" s="1">
        <v>15.5</v>
      </c>
      <c r="H47" s="1">
        <v>1.6</v>
      </c>
      <c r="I47" s="9" t="s">
        <v>43</v>
      </c>
      <c r="J47" s="1">
        <v>1</v>
      </c>
      <c r="K47" s="10">
        <v>16</v>
      </c>
      <c r="L47" s="3">
        <v>0.20200000000000001</v>
      </c>
      <c r="M47" s="11">
        <v>6.1337131094399991E-2</v>
      </c>
      <c r="N47" t="s">
        <v>63</v>
      </c>
      <c r="O47" s="11">
        <v>0.204816758822672</v>
      </c>
      <c r="P47" s="11">
        <v>7.6923076923076927E-2</v>
      </c>
      <c r="Q47" s="11">
        <v>0.21015956625750801</v>
      </c>
      <c r="R47" s="11">
        <v>6.0907776075590177E-2</v>
      </c>
      <c r="S47" s="9" t="s">
        <v>40</v>
      </c>
      <c r="T47" s="9" t="s">
        <v>50</v>
      </c>
      <c r="U47" s="9" t="s">
        <v>276</v>
      </c>
      <c r="V47" s="9" t="s">
        <v>364</v>
      </c>
      <c r="W47" s="1">
        <v>21.1</v>
      </c>
      <c r="X47" s="1">
        <v>15</v>
      </c>
      <c r="Y47" s="3">
        <f t="shared" ref="Y47:Y52" si="1">W47/X47</f>
        <v>1.4066666666666667</v>
      </c>
      <c r="Z47" s="11">
        <v>0.1450733287810449</v>
      </c>
      <c r="AA47" s="11">
        <v>0.19176552636087399</v>
      </c>
      <c r="AB47" s="10">
        <v>0</v>
      </c>
      <c r="AC47" s="9" t="s">
        <v>34</v>
      </c>
      <c r="AD47" s="9" t="s">
        <v>63</v>
      </c>
    </row>
    <row r="48" spans="1:30" x14ac:dyDescent="0.25">
      <c r="A48" s="9" t="s">
        <v>525</v>
      </c>
      <c r="B48" s="10" t="s">
        <v>642</v>
      </c>
      <c r="C48" s="10">
        <v>2</v>
      </c>
      <c r="D48" s="10">
        <v>2004</v>
      </c>
      <c r="E48" s="9" t="s">
        <v>28</v>
      </c>
      <c r="F48" s="9" t="s">
        <v>54</v>
      </c>
      <c r="G48" s="1">
        <v>15.4</v>
      </c>
      <c r="H48" s="1">
        <v>2.2400000000000002</v>
      </c>
      <c r="I48" s="9" t="s">
        <v>43</v>
      </c>
      <c r="J48" s="1">
        <v>1</v>
      </c>
      <c r="K48" s="10">
        <v>16</v>
      </c>
      <c r="L48" s="3">
        <v>-0.16600000000000001</v>
      </c>
      <c r="M48" s="11">
        <v>6.304315554239999E-2</v>
      </c>
      <c r="N48" t="s">
        <v>63</v>
      </c>
      <c r="O48" s="11">
        <v>-0.1675504822758454</v>
      </c>
      <c r="P48" s="11">
        <v>7.6923076923076927E-2</v>
      </c>
      <c r="Q48" s="11">
        <v>-0.1728178879900685</v>
      </c>
      <c r="R48" s="11">
        <v>6.2743995631723989E-2</v>
      </c>
      <c r="S48" s="9" t="s">
        <v>40</v>
      </c>
      <c r="T48" s="9" t="s">
        <v>50</v>
      </c>
      <c r="U48" s="9" t="s">
        <v>276</v>
      </c>
      <c r="V48" s="9" t="s">
        <v>364</v>
      </c>
      <c r="W48" s="1">
        <v>23.4</v>
      </c>
      <c r="X48" s="1">
        <v>15</v>
      </c>
      <c r="Y48" s="3">
        <f t="shared" si="1"/>
        <v>1.5599999999999998</v>
      </c>
      <c r="Z48" s="11">
        <v>-0.107284586844076</v>
      </c>
      <c r="AA48" s="11">
        <v>0.17269447802230101</v>
      </c>
      <c r="AB48" s="10">
        <v>0</v>
      </c>
      <c r="AC48" s="9" t="s">
        <v>34</v>
      </c>
      <c r="AD48" s="9" t="s">
        <v>63</v>
      </c>
    </row>
    <row r="49" spans="1:30" x14ac:dyDescent="0.25">
      <c r="A49" s="9" t="s">
        <v>864</v>
      </c>
      <c r="B49" s="10" t="s">
        <v>643</v>
      </c>
      <c r="C49" s="10">
        <v>2</v>
      </c>
      <c r="D49" s="10">
        <v>2005</v>
      </c>
      <c r="E49" s="9" t="s">
        <v>28</v>
      </c>
      <c r="F49" s="9" t="s">
        <v>29</v>
      </c>
      <c r="G49" s="1">
        <v>40.49</v>
      </c>
      <c r="H49" s="1">
        <v>11.67</v>
      </c>
      <c r="I49" s="9" t="s">
        <v>30</v>
      </c>
      <c r="J49" s="1">
        <v>0.6</v>
      </c>
      <c r="K49" s="10">
        <v>44</v>
      </c>
      <c r="L49" s="3">
        <v>0.156</v>
      </c>
      <c r="M49" s="11">
        <v>2.213768002083721E-2</v>
      </c>
      <c r="N49" t="s">
        <v>63</v>
      </c>
      <c r="O49" s="11">
        <v>0.15728427731818281</v>
      </c>
      <c r="P49" s="11">
        <v>2.4390243902439029E-2</v>
      </c>
      <c r="Q49" s="11">
        <v>0.15791152851422521</v>
      </c>
      <c r="R49" s="11">
        <v>2.2110458254790289E-2</v>
      </c>
      <c r="S49" s="9" t="s">
        <v>40</v>
      </c>
      <c r="T49" s="9" t="s">
        <v>50</v>
      </c>
      <c r="U49" s="9" t="s">
        <v>276</v>
      </c>
      <c r="V49" s="9" t="s">
        <v>366</v>
      </c>
      <c r="W49" s="1">
        <v>16.46</v>
      </c>
      <c r="X49" s="1">
        <v>15</v>
      </c>
      <c r="Y49" s="3">
        <f t="shared" si="1"/>
        <v>1.0973333333333335</v>
      </c>
      <c r="Z49" s="11">
        <v>0.142456992439707</v>
      </c>
      <c r="AA49" s="11">
        <v>0.13932926696928699</v>
      </c>
      <c r="AB49" s="10">
        <v>0</v>
      </c>
      <c r="AC49" s="9" t="s">
        <v>34</v>
      </c>
      <c r="AD49" s="9" t="s">
        <v>63</v>
      </c>
    </row>
    <row r="50" spans="1:30" x14ac:dyDescent="0.25">
      <c r="A50" s="9" t="s">
        <v>864</v>
      </c>
      <c r="B50" s="10" t="s">
        <v>644</v>
      </c>
      <c r="C50" s="10">
        <v>2</v>
      </c>
      <c r="D50" s="10">
        <v>2005</v>
      </c>
      <c r="E50" s="9" t="s">
        <v>38</v>
      </c>
      <c r="F50" s="9" t="s">
        <v>29</v>
      </c>
      <c r="G50" s="1">
        <v>33.72</v>
      </c>
      <c r="H50" s="1">
        <v>12.37</v>
      </c>
      <c r="I50" s="9" t="s">
        <v>30</v>
      </c>
      <c r="J50" s="1">
        <v>0.57999999999999996</v>
      </c>
      <c r="K50" s="10">
        <v>43</v>
      </c>
      <c r="L50" s="3">
        <v>0.23799999999999999</v>
      </c>
      <c r="M50" s="11">
        <v>2.1188584350857138E-2</v>
      </c>
      <c r="N50" t="s">
        <v>63</v>
      </c>
      <c r="O50" s="11">
        <v>0.2426529487789475</v>
      </c>
      <c r="P50" s="11">
        <v>2.5000000000000001E-2</v>
      </c>
      <c r="Q50" s="11">
        <v>0.2408867244427646</v>
      </c>
      <c r="R50" s="11">
        <v>2.1126529445182191E-2</v>
      </c>
      <c r="S50" s="9" t="s">
        <v>40</v>
      </c>
      <c r="T50" s="9" t="s">
        <v>50</v>
      </c>
      <c r="U50" s="9" t="s">
        <v>276</v>
      </c>
      <c r="V50" s="9" t="s">
        <v>366</v>
      </c>
      <c r="W50" s="1">
        <v>17.55</v>
      </c>
      <c r="X50" s="1">
        <v>15</v>
      </c>
      <c r="Y50" s="3">
        <f t="shared" si="1"/>
        <v>1.1700000000000002</v>
      </c>
      <c r="Z50" s="11">
        <v>0.20498938006079151</v>
      </c>
      <c r="AA50" s="11">
        <v>0.13267874142331501</v>
      </c>
      <c r="AB50" s="10">
        <v>0</v>
      </c>
      <c r="AC50" s="9" t="s">
        <v>34</v>
      </c>
      <c r="AD50" s="9" t="s">
        <v>63</v>
      </c>
    </row>
    <row r="51" spans="1:30" x14ac:dyDescent="0.25">
      <c r="A51" s="9" t="s">
        <v>176</v>
      </c>
      <c r="B51" s="10" t="s">
        <v>645</v>
      </c>
      <c r="C51" s="10">
        <v>2</v>
      </c>
      <c r="D51" s="10">
        <v>2006</v>
      </c>
      <c r="E51" s="9" t="s">
        <v>38</v>
      </c>
      <c r="F51" s="9" t="s">
        <v>29</v>
      </c>
      <c r="G51" s="1">
        <v>21.41</v>
      </c>
      <c r="H51" s="1">
        <v>10.91</v>
      </c>
      <c r="I51" s="9" t="s">
        <v>43</v>
      </c>
      <c r="J51" s="1">
        <v>1</v>
      </c>
      <c r="K51" s="10">
        <v>23</v>
      </c>
      <c r="L51" s="3">
        <v>0.55000000000000004</v>
      </c>
      <c r="M51" s="11">
        <v>2.2113920454545459E-2</v>
      </c>
      <c r="N51" t="s">
        <v>63</v>
      </c>
      <c r="O51" s="11">
        <v>0.61838131357446358</v>
      </c>
      <c r="P51" s="11">
        <v>0.05</v>
      </c>
      <c r="Q51" s="11">
        <v>0.55984400814928836</v>
      </c>
      <c r="R51" s="11">
        <v>2.142658182711784E-2</v>
      </c>
      <c r="S51" s="9" t="s">
        <v>40</v>
      </c>
      <c r="T51" s="9" t="s">
        <v>31</v>
      </c>
      <c r="U51" s="9" t="s">
        <v>276</v>
      </c>
      <c r="V51" s="9" t="s">
        <v>367</v>
      </c>
      <c r="W51" s="1">
        <v>13.18</v>
      </c>
      <c r="X51" s="1">
        <v>15</v>
      </c>
      <c r="Y51" s="3">
        <f t="shared" si="1"/>
        <v>0.8786666666666666</v>
      </c>
      <c r="Z51" s="11">
        <v>0.59973930547364718</v>
      </c>
      <c r="AA51" s="11">
        <v>0.182426019297657</v>
      </c>
      <c r="AB51" s="10">
        <v>0</v>
      </c>
      <c r="AC51" s="9" t="s">
        <v>41</v>
      </c>
      <c r="AD51" s="9" t="s">
        <v>63</v>
      </c>
    </row>
    <row r="52" spans="1:30" x14ac:dyDescent="0.25">
      <c r="A52" s="9" t="s">
        <v>176</v>
      </c>
      <c r="B52" s="10" t="s">
        <v>646</v>
      </c>
      <c r="C52" s="10">
        <v>2</v>
      </c>
      <c r="D52" s="10">
        <v>2006</v>
      </c>
      <c r="E52" s="9" t="s">
        <v>28</v>
      </c>
      <c r="F52" s="9" t="s">
        <v>29</v>
      </c>
      <c r="G52" s="1">
        <v>20.79</v>
      </c>
      <c r="H52" s="1">
        <v>10.58</v>
      </c>
      <c r="I52" s="9" t="s">
        <v>43</v>
      </c>
      <c r="J52" s="1">
        <v>1</v>
      </c>
      <c r="K52" s="10">
        <v>24</v>
      </c>
      <c r="L52" s="3">
        <v>0.28000000000000003</v>
      </c>
      <c r="M52" s="11">
        <v>3.6928111304347817E-2</v>
      </c>
      <c r="N52" t="s">
        <v>63</v>
      </c>
      <c r="O52" s="11">
        <v>0.28768207245178101</v>
      </c>
      <c r="P52" s="11">
        <v>4.7619047619047623E-2</v>
      </c>
      <c r="Q52" s="11">
        <v>0.28646678242653217</v>
      </c>
      <c r="R52" s="11">
        <v>3.6635127686433407E-2</v>
      </c>
      <c r="S52" s="9" t="s">
        <v>40</v>
      </c>
      <c r="T52" s="9" t="s">
        <v>31</v>
      </c>
      <c r="U52" s="9" t="s">
        <v>276</v>
      </c>
      <c r="V52" s="9" t="s">
        <v>368</v>
      </c>
      <c r="W52" s="1">
        <v>20.98</v>
      </c>
      <c r="X52" s="1">
        <v>15</v>
      </c>
      <c r="Y52" s="3">
        <f t="shared" si="1"/>
        <v>1.3986666666666667</v>
      </c>
      <c r="Z52" s="11">
        <v>0.20414058268238991</v>
      </c>
      <c r="AA52" s="11">
        <v>0.15507047503767099</v>
      </c>
      <c r="AB52" s="10">
        <v>0</v>
      </c>
      <c r="AC52" s="9" t="s">
        <v>41</v>
      </c>
      <c r="AD52" s="9" t="s">
        <v>63</v>
      </c>
    </row>
    <row r="53" spans="1:30" x14ac:dyDescent="0.25">
      <c r="A53" s="9" t="s">
        <v>529</v>
      </c>
      <c r="B53" s="10" t="s">
        <v>647</v>
      </c>
      <c r="C53" s="10">
        <v>2</v>
      </c>
      <c r="D53" s="10">
        <v>2006</v>
      </c>
      <c r="E53" s="9" t="s">
        <v>28</v>
      </c>
      <c r="F53" s="9" t="s">
        <v>54</v>
      </c>
      <c r="G53" s="1">
        <v>10.16</v>
      </c>
      <c r="H53" s="1">
        <v>1.92</v>
      </c>
      <c r="I53" s="9" t="s">
        <v>43</v>
      </c>
      <c r="J53" s="1">
        <v>1</v>
      </c>
      <c r="K53" s="10">
        <v>38</v>
      </c>
      <c r="L53" s="3">
        <v>8.2000000000000003E-2</v>
      </c>
      <c r="M53" s="11">
        <v>2.6664789518270272E-2</v>
      </c>
      <c r="N53" t="s">
        <v>63</v>
      </c>
      <c r="O53" s="11">
        <v>8.2184534392968162E-2</v>
      </c>
      <c r="P53" s="11">
        <v>2.8571428571428571E-2</v>
      </c>
      <c r="Q53" s="11">
        <v>8.3205878177495946E-2</v>
      </c>
      <c r="R53" s="11">
        <v>2.6654094449274589E-2</v>
      </c>
      <c r="S53" s="9" t="s">
        <v>40</v>
      </c>
      <c r="T53" s="9" t="s">
        <v>46</v>
      </c>
      <c r="U53" s="9" t="s">
        <v>276</v>
      </c>
      <c r="V53" s="9" t="s">
        <v>286</v>
      </c>
      <c r="W53" s="1">
        <v>18.04</v>
      </c>
      <c r="X53" s="1">
        <v>15</v>
      </c>
      <c r="Y53" s="3">
        <f t="shared" ref="Y53:Y61" si="2">W53/X53</f>
        <v>1.2026666666666666</v>
      </c>
      <c r="Z53" s="11">
        <v>6.8252675291936599E-2</v>
      </c>
      <c r="AA53" s="11">
        <v>0.13843935928245599</v>
      </c>
      <c r="AB53" s="10">
        <v>0</v>
      </c>
      <c r="AC53" s="9" t="s">
        <v>41</v>
      </c>
      <c r="AD53" s="9" t="s">
        <v>63</v>
      </c>
    </row>
    <row r="54" spans="1:30" x14ac:dyDescent="0.25">
      <c r="A54" s="9" t="s">
        <v>529</v>
      </c>
      <c r="B54" s="10" t="s">
        <v>648</v>
      </c>
      <c r="C54" s="10">
        <v>2</v>
      </c>
      <c r="D54" s="10">
        <v>2006</v>
      </c>
      <c r="E54" s="9" t="s">
        <v>38</v>
      </c>
      <c r="F54" s="9" t="s">
        <v>54</v>
      </c>
      <c r="G54" s="1">
        <v>10.77</v>
      </c>
      <c r="H54" s="1">
        <v>1.48</v>
      </c>
      <c r="I54" s="9" t="s">
        <v>43</v>
      </c>
      <c r="J54" s="1">
        <v>1</v>
      </c>
      <c r="K54" s="10">
        <v>13</v>
      </c>
      <c r="L54" s="3">
        <v>-0.14499999999999999</v>
      </c>
      <c r="M54" s="11">
        <v>7.9866004218750009E-2</v>
      </c>
      <c r="N54" t="s">
        <v>63</v>
      </c>
      <c r="O54" s="11">
        <v>-0.1460292235257899</v>
      </c>
      <c r="P54" s="11">
        <v>0.1</v>
      </c>
      <c r="Q54" s="11">
        <v>-0.1530381985414653</v>
      </c>
      <c r="R54" s="11">
        <v>7.9475595692034245E-2</v>
      </c>
      <c r="S54" s="9" t="s">
        <v>40</v>
      </c>
      <c r="T54" s="9" t="s">
        <v>46</v>
      </c>
      <c r="U54" s="9" t="s">
        <v>276</v>
      </c>
      <c r="V54" s="9" t="s">
        <v>286</v>
      </c>
      <c r="W54" s="1">
        <v>12.34</v>
      </c>
      <c r="X54" s="1">
        <v>15</v>
      </c>
      <c r="Y54" s="3">
        <f t="shared" si="2"/>
        <v>0.82266666666666666</v>
      </c>
      <c r="Z54" s="11">
        <v>-0.1753777750011675</v>
      </c>
      <c r="AA54" s="11">
        <v>0.35651656897200101</v>
      </c>
      <c r="AB54" s="10">
        <v>0</v>
      </c>
      <c r="AC54" s="9" t="s">
        <v>41</v>
      </c>
      <c r="AD54" s="9" t="s">
        <v>63</v>
      </c>
    </row>
    <row r="55" spans="1:30" x14ac:dyDescent="0.25">
      <c r="A55" s="9" t="s">
        <v>529</v>
      </c>
      <c r="B55" s="10" t="s">
        <v>649</v>
      </c>
      <c r="C55" s="10">
        <v>2</v>
      </c>
      <c r="D55" s="10">
        <v>2006</v>
      </c>
      <c r="E55" s="9" t="s">
        <v>28</v>
      </c>
      <c r="F55" s="9" t="s">
        <v>54</v>
      </c>
      <c r="G55" s="1">
        <v>10.08</v>
      </c>
      <c r="H55" s="1">
        <v>1.31</v>
      </c>
      <c r="I55" s="9" t="s">
        <v>43</v>
      </c>
      <c r="J55" s="1">
        <v>1</v>
      </c>
      <c r="K55" s="10">
        <v>12</v>
      </c>
      <c r="L55" s="3">
        <v>0.23200000000000001</v>
      </c>
      <c r="M55" s="11">
        <v>8.1386274816000012E-2</v>
      </c>
      <c r="N55" t="s">
        <v>63</v>
      </c>
      <c r="O55" s="11">
        <v>0.2363022054728964</v>
      </c>
      <c r="P55" s="11">
        <v>0.1111111111111111</v>
      </c>
      <c r="Q55" s="11">
        <v>0.24584643755187821</v>
      </c>
      <c r="R55" s="11">
        <v>8.0252009891228257E-2</v>
      </c>
      <c r="S55" s="9" t="s">
        <v>40</v>
      </c>
      <c r="T55" s="9" t="s">
        <v>46</v>
      </c>
      <c r="U55" s="9" t="s">
        <v>276</v>
      </c>
      <c r="V55" s="9" t="s">
        <v>286</v>
      </c>
      <c r="W55" s="1">
        <v>12.48</v>
      </c>
      <c r="X55" s="1">
        <v>15</v>
      </c>
      <c r="Y55" s="3">
        <f t="shared" si="2"/>
        <v>0.83200000000000007</v>
      </c>
      <c r="Z55" s="11">
        <v>0.27556831147017352</v>
      </c>
      <c r="AA55" s="11">
        <v>0.35729288987018198</v>
      </c>
      <c r="AB55" s="10">
        <v>0</v>
      </c>
      <c r="AC55" s="9" t="s">
        <v>41</v>
      </c>
      <c r="AD55" s="9" t="s">
        <v>63</v>
      </c>
    </row>
    <row r="56" spans="1:30" x14ac:dyDescent="0.25">
      <c r="A56" s="9" t="s">
        <v>852</v>
      </c>
      <c r="B56" s="10" t="s">
        <v>650</v>
      </c>
      <c r="C56" s="10">
        <v>2</v>
      </c>
      <c r="D56" s="10">
        <v>2007</v>
      </c>
      <c r="E56" s="9" t="s">
        <v>38</v>
      </c>
      <c r="F56" s="9" t="s">
        <v>29</v>
      </c>
      <c r="G56" s="1" t="s">
        <v>31</v>
      </c>
      <c r="H56" s="1" t="s">
        <v>31</v>
      </c>
      <c r="I56" s="9" t="s">
        <v>31</v>
      </c>
      <c r="J56" s="1" t="s">
        <v>31</v>
      </c>
      <c r="K56" s="10">
        <v>16</v>
      </c>
      <c r="L56" s="3">
        <v>-0.43766025924379798</v>
      </c>
      <c r="M56" s="11">
        <v>4.3573137172364267E-2</v>
      </c>
      <c r="N56">
        <v>1100</v>
      </c>
      <c r="O56" s="11">
        <v>-0.46933303149292538</v>
      </c>
      <c r="P56" s="11">
        <v>7.6923076923076927E-2</v>
      </c>
      <c r="Q56" s="11">
        <v>-0.45209998854752909</v>
      </c>
      <c r="R56" s="11">
        <v>4.2199218087783701E-2</v>
      </c>
      <c r="S56" s="9" t="s">
        <v>40</v>
      </c>
      <c r="T56" s="9" t="s">
        <v>31</v>
      </c>
      <c r="U56" s="9" t="s">
        <v>276</v>
      </c>
      <c r="V56" s="9" t="s">
        <v>277</v>
      </c>
      <c r="W56" s="1">
        <v>11</v>
      </c>
      <c r="X56" s="1">
        <v>15</v>
      </c>
      <c r="Y56" s="3">
        <f t="shared" si="2"/>
        <v>0.73333333333333328</v>
      </c>
      <c r="Z56" s="11">
        <v>-0.55301990905873011</v>
      </c>
      <c r="AA56" s="11">
        <v>-0.26072066606876099</v>
      </c>
      <c r="AB56" s="10">
        <v>0</v>
      </c>
      <c r="AC56" s="9" t="s">
        <v>34</v>
      </c>
      <c r="AD56" s="9" t="s">
        <v>35</v>
      </c>
    </row>
    <row r="57" spans="1:30" x14ac:dyDescent="0.25">
      <c r="A57" s="9" t="s">
        <v>852</v>
      </c>
      <c r="B57" s="10" t="s">
        <v>651</v>
      </c>
      <c r="C57" s="10">
        <v>2</v>
      </c>
      <c r="D57" s="10">
        <v>2007</v>
      </c>
      <c r="E57" s="9" t="s">
        <v>28</v>
      </c>
      <c r="F57" s="9" t="s">
        <v>29</v>
      </c>
      <c r="G57" s="1">
        <v>29.2</v>
      </c>
      <c r="H57" s="1">
        <v>9.1999999999999993</v>
      </c>
      <c r="I57" s="9" t="s">
        <v>30</v>
      </c>
      <c r="J57" s="1">
        <v>0.45</v>
      </c>
      <c r="K57" s="10">
        <v>39</v>
      </c>
      <c r="L57" s="3">
        <v>-2.0796384291294101E-2</v>
      </c>
      <c r="M57" s="11">
        <v>2.6293031785475561E-2</v>
      </c>
      <c r="N57" s="4">
        <v>1100</v>
      </c>
      <c r="O57" s="11">
        <v>-2.079938314282094E-2</v>
      </c>
      <c r="P57" s="11">
        <v>2.777777777777778E-2</v>
      </c>
      <c r="Q57" s="11">
        <v>-2.1095428522549489E-2</v>
      </c>
      <c r="R57" s="11">
        <v>2.629237273239798E-2</v>
      </c>
      <c r="S57" s="9" t="s">
        <v>40</v>
      </c>
      <c r="T57" s="9" t="s">
        <v>31</v>
      </c>
      <c r="U57" s="9" t="s">
        <v>276</v>
      </c>
      <c r="V57" s="9" t="s">
        <v>277</v>
      </c>
      <c r="W57" s="1">
        <v>7.4</v>
      </c>
      <c r="X57" s="1">
        <v>15</v>
      </c>
      <c r="Y57" s="3">
        <f t="shared" si="2"/>
        <v>0.49333333333333335</v>
      </c>
      <c r="Z57" s="11">
        <v>-4.2126522131625779E-2</v>
      </c>
      <c r="AA57" s="11">
        <v>0.31970345154829699</v>
      </c>
      <c r="AB57" s="10">
        <v>0</v>
      </c>
      <c r="AC57" s="9" t="s">
        <v>34</v>
      </c>
      <c r="AD57" s="9" t="s">
        <v>35</v>
      </c>
    </row>
    <row r="58" spans="1:30" x14ac:dyDescent="0.25">
      <c r="A58" s="9" t="s">
        <v>531</v>
      </c>
      <c r="B58" s="10" t="s">
        <v>652</v>
      </c>
      <c r="C58" s="10">
        <v>2</v>
      </c>
      <c r="D58" s="10">
        <v>2007</v>
      </c>
      <c r="E58" s="9" t="s">
        <v>38</v>
      </c>
      <c r="F58" s="9" t="s">
        <v>54</v>
      </c>
      <c r="G58" s="1">
        <v>10.5</v>
      </c>
      <c r="H58" s="1">
        <v>1.92</v>
      </c>
      <c r="I58" s="9" t="s">
        <v>31</v>
      </c>
      <c r="J58" s="1" t="s">
        <v>31</v>
      </c>
      <c r="K58" s="10">
        <v>20</v>
      </c>
      <c r="L58" s="3">
        <v>-0.2</v>
      </c>
      <c r="M58" s="11">
        <v>4.8505263157894739E-2</v>
      </c>
      <c r="N58" t="s">
        <v>63</v>
      </c>
      <c r="O58" s="11">
        <v>-0.20273255405408211</v>
      </c>
      <c r="P58" s="11">
        <v>5.8823529411764712E-2</v>
      </c>
      <c r="Q58" s="11">
        <v>-0.20605190001628321</v>
      </c>
      <c r="R58" s="11">
        <v>4.8257255714888543E-2</v>
      </c>
      <c r="S58" s="9" t="s">
        <v>40</v>
      </c>
      <c r="T58" s="9" t="s">
        <v>31</v>
      </c>
      <c r="U58" s="9" t="s">
        <v>276</v>
      </c>
      <c r="V58" s="9" t="s">
        <v>370</v>
      </c>
      <c r="W58" s="1">
        <v>11</v>
      </c>
      <c r="X58" s="1">
        <v>15</v>
      </c>
      <c r="Y58" s="3">
        <f t="shared" si="2"/>
        <v>0.73333333333333328</v>
      </c>
      <c r="Z58" s="11">
        <v>-0.26815659196446789</v>
      </c>
      <c r="AA58" s="11">
        <v>0.29920115376257</v>
      </c>
      <c r="AB58" s="10">
        <v>0</v>
      </c>
      <c r="AC58" s="9" t="s">
        <v>34</v>
      </c>
      <c r="AD58" s="9" t="s">
        <v>63</v>
      </c>
    </row>
    <row r="59" spans="1:30" x14ac:dyDescent="0.25">
      <c r="A59" s="9" t="s">
        <v>531</v>
      </c>
      <c r="B59" s="10" t="s">
        <v>653</v>
      </c>
      <c r="C59" s="10">
        <v>2</v>
      </c>
      <c r="D59" s="10">
        <v>2007</v>
      </c>
      <c r="E59" s="9" t="s">
        <v>28</v>
      </c>
      <c r="F59" s="9" t="s">
        <v>54</v>
      </c>
      <c r="G59" s="1">
        <v>10.75</v>
      </c>
      <c r="H59" s="1">
        <v>2.33</v>
      </c>
      <c r="I59" s="9" t="s">
        <v>31</v>
      </c>
      <c r="J59" s="1" t="s">
        <v>31</v>
      </c>
      <c r="K59" s="10">
        <v>21</v>
      </c>
      <c r="L59" s="3">
        <v>0.3</v>
      </c>
      <c r="M59" s="11">
        <v>4.1404999999999997E-2</v>
      </c>
      <c r="N59" t="s">
        <v>63</v>
      </c>
      <c r="O59" s="11">
        <v>0.30951960420311181</v>
      </c>
      <c r="P59" s="11">
        <v>5.5555555555555552E-2</v>
      </c>
      <c r="Q59" s="11">
        <v>0.30803647454890942</v>
      </c>
      <c r="R59" s="11">
        <v>4.096152514090385E-2</v>
      </c>
      <c r="S59" s="9" t="s">
        <v>40</v>
      </c>
      <c r="T59" s="9" t="s">
        <v>31</v>
      </c>
      <c r="U59" s="9" t="s">
        <v>276</v>
      </c>
      <c r="V59" s="9" t="s">
        <v>370</v>
      </c>
      <c r="W59" s="1">
        <v>14</v>
      </c>
      <c r="X59" s="1">
        <v>15</v>
      </c>
      <c r="Y59" s="3">
        <f t="shared" si="2"/>
        <v>0.93333333333333335</v>
      </c>
      <c r="Z59" s="11">
        <v>0.31930958700902368</v>
      </c>
      <c r="AA59" s="11">
        <v>0.22970150418864099</v>
      </c>
      <c r="AB59" s="10">
        <v>0</v>
      </c>
      <c r="AC59" s="9" t="s">
        <v>34</v>
      </c>
      <c r="AD59" s="9" t="s">
        <v>63</v>
      </c>
    </row>
    <row r="60" spans="1:30" x14ac:dyDescent="0.25">
      <c r="A60" s="9" t="s">
        <v>534</v>
      </c>
      <c r="B60" s="10" t="s">
        <v>654</v>
      </c>
      <c r="C60" s="10">
        <v>2</v>
      </c>
      <c r="D60" s="10">
        <v>2007</v>
      </c>
      <c r="E60" s="9" t="s">
        <v>38</v>
      </c>
      <c r="F60" s="9" t="s">
        <v>29</v>
      </c>
      <c r="G60" s="1">
        <v>40.799999999999997</v>
      </c>
      <c r="H60" s="1">
        <v>9.4</v>
      </c>
      <c r="I60" s="9" t="s">
        <v>30</v>
      </c>
      <c r="J60" s="1">
        <v>0.9</v>
      </c>
      <c r="K60" s="10">
        <v>44</v>
      </c>
      <c r="L60" s="3">
        <v>0.39800000000000002</v>
      </c>
      <c r="M60" s="11">
        <v>1.6471716912000001E-2</v>
      </c>
      <c r="N60" t="s">
        <v>63</v>
      </c>
      <c r="O60" s="11">
        <v>0.42127023874246738</v>
      </c>
      <c r="P60" s="11">
        <v>2.4390243902439029E-2</v>
      </c>
      <c r="Q60" s="11">
        <v>0.40217388860505499</v>
      </c>
      <c r="R60" s="11">
        <v>1.6341241752352478E-2</v>
      </c>
      <c r="S60" s="9" t="s">
        <v>40</v>
      </c>
      <c r="T60" s="9" t="s">
        <v>46</v>
      </c>
      <c r="U60" s="9" t="s">
        <v>276</v>
      </c>
      <c r="V60" s="9" t="s">
        <v>296</v>
      </c>
      <c r="W60" s="1">
        <v>14.8</v>
      </c>
      <c r="X60" s="1">
        <v>15</v>
      </c>
      <c r="Y60" s="3">
        <f t="shared" si="2"/>
        <v>0.98666666666666669</v>
      </c>
      <c r="Z60" s="11">
        <v>0.40251187459320742</v>
      </c>
      <c r="AA60" s="11">
        <v>0.14243466618867201</v>
      </c>
      <c r="AB60" s="10">
        <v>0</v>
      </c>
      <c r="AC60" s="9" t="s">
        <v>34</v>
      </c>
      <c r="AD60" s="9" t="s">
        <v>63</v>
      </c>
    </row>
    <row r="61" spans="1:30" x14ac:dyDescent="0.25">
      <c r="A61" s="9" t="s">
        <v>534</v>
      </c>
      <c r="B61" s="10" t="s">
        <v>655</v>
      </c>
      <c r="C61" s="10">
        <v>2</v>
      </c>
      <c r="D61" s="10">
        <v>2007</v>
      </c>
      <c r="E61" s="9" t="s">
        <v>28</v>
      </c>
      <c r="F61" s="9" t="s">
        <v>29</v>
      </c>
      <c r="G61" s="1">
        <v>40.6</v>
      </c>
      <c r="H61" s="1">
        <v>10.4</v>
      </c>
      <c r="I61" s="9" t="s">
        <v>30</v>
      </c>
      <c r="J61" s="1">
        <v>0.9</v>
      </c>
      <c r="K61" s="10">
        <v>44</v>
      </c>
      <c r="L61" s="3">
        <v>0.26400000000000001</v>
      </c>
      <c r="M61" s="11">
        <v>2.0127105405023261E-2</v>
      </c>
      <c r="N61" t="s">
        <v>63</v>
      </c>
      <c r="O61" s="11">
        <v>0.27040322798896332</v>
      </c>
      <c r="P61" s="11">
        <v>2.4390243902439029E-2</v>
      </c>
      <c r="Q61" s="11">
        <v>0.26707627540925671</v>
      </c>
      <c r="R61" s="11">
        <v>2.005647575793796E-2</v>
      </c>
      <c r="S61" s="9" t="s">
        <v>40</v>
      </c>
      <c r="T61" s="9" t="s">
        <v>46</v>
      </c>
      <c r="U61" s="9" t="s">
        <v>276</v>
      </c>
      <c r="V61" s="9" t="s">
        <v>296</v>
      </c>
      <c r="W61" s="1">
        <v>13.7</v>
      </c>
      <c r="X61" s="1">
        <v>15</v>
      </c>
      <c r="Y61" s="3">
        <f t="shared" si="2"/>
        <v>0.91333333333333333</v>
      </c>
      <c r="Z61" s="11">
        <v>0.28706932928879442</v>
      </c>
      <c r="AA61" s="11">
        <v>0.159591206242131</v>
      </c>
      <c r="AB61" s="10">
        <v>0</v>
      </c>
      <c r="AC61" s="9" t="s">
        <v>34</v>
      </c>
      <c r="AD61" s="9" t="s">
        <v>63</v>
      </c>
    </row>
    <row r="62" spans="1:30" x14ac:dyDescent="0.25">
      <c r="A62" s="9" t="s">
        <v>858</v>
      </c>
      <c r="B62" s="10" t="s">
        <v>656</v>
      </c>
      <c r="C62" s="10">
        <v>2</v>
      </c>
      <c r="D62" s="10">
        <v>2007</v>
      </c>
      <c r="E62" s="9" t="s">
        <v>38</v>
      </c>
      <c r="F62" s="9" t="s">
        <v>29</v>
      </c>
      <c r="G62" s="1">
        <v>34.32</v>
      </c>
      <c r="H62" s="1" t="s">
        <v>31</v>
      </c>
      <c r="I62" s="9" t="s">
        <v>39</v>
      </c>
      <c r="J62" s="1">
        <v>0</v>
      </c>
      <c r="K62" s="10">
        <v>22</v>
      </c>
      <c r="L62" s="3">
        <v>0.53600000000000003</v>
      </c>
      <c r="M62" s="11">
        <v>2.4187951981714289E-2</v>
      </c>
      <c r="N62" t="s">
        <v>63</v>
      </c>
      <c r="O62" s="11">
        <v>0.5985261807406812</v>
      </c>
      <c r="P62" s="11">
        <v>5.2631578947368418E-2</v>
      </c>
      <c r="Q62" s="11">
        <v>0.54635091840472938</v>
      </c>
      <c r="R62" s="11">
        <v>2.3433485503045779E-2</v>
      </c>
      <c r="S62" s="9" t="s">
        <v>40</v>
      </c>
      <c r="T62" s="9" t="s">
        <v>46</v>
      </c>
      <c r="U62" s="9" t="s">
        <v>276</v>
      </c>
      <c r="V62" s="9" t="s">
        <v>359</v>
      </c>
      <c r="W62" s="1" t="s">
        <v>31</v>
      </c>
      <c r="X62" s="1" t="s">
        <v>31</v>
      </c>
      <c r="Y62" s="3" t="s">
        <v>31</v>
      </c>
      <c r="Z62" s="11" t="s">
        <v>31</v>
      </c>
      <c r="AA62" s="11" t="s">
        <v>31</v>
      </c>
      <c r="AB62" s="10">
        <v>0</v>
      </c>
      <c r="AC62" s="9" t="s">
        <v>34</v>
      </c>
      <c r="AD62" s="9" t="s">
        <v>63</v>
      </c>
    </row>
    <row r="63" spans="1:30" x14ac:dyDescent="0.25">
      <c r="A63" s="9" t="s">
        <v>858</v>
      </c>
      <c r="B63" s="10" t="s">
        <v>657</v>
      </c>
      <c r="C63" s="10">
        <v>2</v>
      </c>
      <c r="D63" s="10">
        <v>2007</v>
      </c>
      <c r="E63" s="9" t="s">
        <v>38</v>
      </c>
      <c r="F63" s="9" t="s">
        <v>29</v>
      </c>
      <c r="G63" s="1">
        <v>37.770000000000003</v>
      </c>
      <c r="H63" s="1" t="s">
        <v>31</v>
      </c>
      <c r="I63" s="9" t="s">
        <v>43</v>
      </c>
      <c r="J63" s="1">
        <v>1</v>
      </c>
      <c r="K63" s="10">
        <v>35</v>
      </c>
      <c r="L63" s="3">
        <v>0.376</v>
      </c>
      <c r="M63" s="11">
        <v>2.16833874522353E-2</v>
      </c>
      <c r="N63" t="s">
        <v>63</v>
      </c>
      <c r="O63" s="11">
        <v>0.39539282506193058</v>
      </c>
      <c r="P63" s="11">
        <v>3.125E-2</v>
      </c>
      <c r="Q63" s="11">
        <v>0.38119193777070348</v>
      </c>
      <c r="R63" s="11">
        <v>2.148528301996119E-2</v>
      </c>
      <c r="S63" s="9" t="s">
        <v>40</v>
      </c>
      <c r="T63" s="9" t="s">
        <v>46</v>
      </c>
      <c r="U63" s="9" t="s">
        <v>276</v>
      </c>
      <c r="V63" s="9" t="s">
        <v>359</v>
      </c>
      <c r="W63" s="1" t="s">
        <v>31</v>
      </c>
      <c r="X63" s="1" t="s">
        <v>31</v>
      </c>
      <c r="Y63" s="3" t="s">
        <v>31</v>
      </c>
      <c r="Z63" s="11" t="s">
        <v>31</v>
      </c>
      <c r="AA63" s="11" t="s">
        <v>31</v>
      </c>
      <c r="AB63" s="10">
        <v>0</v>
      </c>
      <c r="AC63" s="9" t="s">
        <v>34</v>
      </c>
      <c r="AD63" s="9" t="s">
        <v>63</v>
      </c>
    </row>
    <row r="64" spans="1:30" x14ac:dyDescent="0.25">
      <c r="A64" s="9" t="s">
        <v>858</v>
      </c>
      <c r="B64" s="10" t="s">
        <v>658</v>
      </c>
      <c r="C64" s="10">
        <v>2</v>
      </c>
      <c r="D64" s="10">
        <v>2007</v>
      </c>
      <c r="E64" s="9" t="s">
        <v>28</v>
      </c>
      <c r="F64" s="9" t="s">
        <v>29</v>
      </c>
      <c r="G64" s="1">
        <v>40.9</v>
      </c>
      <c r="H64" s="1" t="s">
        <v>31</v>
      </c>
      <c r="I64" s="9" t="s">
        <v>39</v>
      </c>
      <c r="J64" s="1">
        <v>0</v>
      </c>
      <c r="K64" s="10">
        <v>68</v>
      </c>
      <c r="L64" s="3">
        <v>0.433</v>
      </c>
      <c r="M64" s="11">
        <v>9.8533451510597007E-3</v>
      </c>
      <c r="N64" t="s">
        <v>63</v>
      </c>
      <c r="O64" s="11">
        <v>0.46358306205020988</v>
      </c>
      <c r="P64" s="11">
        <v>1.5384615384615391E-2</v>
      </c>
      <c r="Q64" s="11">
        <v>0.43574066619837259</v>
      </c>
      <c r="R64" s="11">
        <v>9.7956825860999429E-3</v>
      </c>
      <c r="S64" s="9" t="s">
        <v>40</v>
      </c>
      <c r="T64" s="9" t="s">
        <v>46</v>
      </c>
      <c r="U64" s="9" t="s">
        <v>276</v>
      </c>
      <c r="V64" s="9" t="s">
        <v>359</v>
      </c>
      <c r="W64" s="1" t="s">
        <v>31</v>
      </c>
      <c r="X64" s="1" t="s">
        <v>31</v>
      </c>
      <c r="Y64" s="3" t="s">
        <v>31</v>
      </c>
      <c r="Z64" s="11" t="s">
        <v>31</v>
      </c>
      <c r="AA64" s="11" t="s">
        <v>31</v>
      </c>
      <c r="AB64" s="10">
        <v>0</v>
      </c>
      <c r="AC64" s="9" t="s">
        <v>34</v>
      </c>
      <c r="AD64" s="9" t="s">
        <v>63</v>
      </c>
    </row>
    <row r="65" spans="1:30" x14ac:dyDescent="0.25">
      <c r="A65" s="9" t="s">
        <v>858</v>
      </c>
      <c r="B65" s="10" t="s">
        <v>659</v>
      </c>
      <c r="C65" s="10">
        <v>2</v>
      </c>
      <c r="D65" s="10">
        <v>2007</v>
      </c>
      <c r="E65" s="9" t="s">
        <v>28</v>
      </c>
      <c r="F65" s="9" t="s">
        <v>29</v>
      </c>
      <c r="G65" s="1">
        <v>39.659999999999997</v>
      </c>
      <c r="H65" s="1" t="s">
        <v>31</v>
      </c>
      <c r="I65" s="9" t="s">
        <v>43</v>
      </c>
      <c r="J65" s="1">
        <v>1</v>
      </c>
      <c r="K65" s="10">
        <v>202</v>
      </c>
      <c r="L65" s="3">
        <v>0.28299999999999997</v>
      </c>
      <c r="M65" s="11">
        <v>4.2101305866716421E-3</v>
      </c>
      <c r="N65" t="s">
        <v>63</v>
      </c>
      <c r="O65" s="11">
        <v>0.29094026200800788</v>
      </c>
      <c r="P65" s="11">
        <v>5.0251256281407036E-3</v>
      </c>
      <c r="Q65" s="11">
        <v>0.28365763471232741</v>
      </c>
      <c r="R65" s="11">
        <v>4.2067202500491408E-3</v>
      </c>
      <c r="S65" s="9" t="s">
        <v>40</v>
      </c>
      <c r="T65" s="9" t="s">
        <v>46</v>
      </c>
      <c r="U65" s="9" t="s">
        <v>276</v>
      </c>
      <c r="V65" s="9" t="s">
        <v>359</v>
      </c>
      <c r="W65" s="1" t="s">
        <v>31</v>
      </c>
      <c r="X65" s="1" t="s">
        <v>31</v>
      </c>
      <c r="Y65" s="3" t="s">
        <v>31</v>
      </c>
      <c r="Z65" s="11" t="s">
        <v>31</v>
      </c>
      <c r="AA65" s="11" t="s">
        <v>31</v>
      </c>
      <c r="AB65" s="10">
        <v>0</v>
      </c>
      <c r="AC65" s="9" t="s">
        <v>34</v>
      </c>
      <c r="AD65" s="9" t="s">
        <v>63</v>
      </c>
    </row>
    <row r="66" spans="1:30" x14ac:dyDescent="0.25">
      <c r="A66" s="9" t="s">
        <v>537</v>
      </c>
      <c r="B66" s="10" t="s">
        <v>660</v>
      </c>
      <c r="C66" s="10">
        <v>2</v>
      </c>
      <c r="D66" s="10">
        <v>2007</v>
      </c>
      <c r="E66" s="9" t="s">
        <v>38</v>
      </c>
      <c r="F66" s="9" t="s">
        <v>54</v>
      </c>
      <c r="G66" s="1">
        <v>13.1</v>
      </c>
      <c r="H66" s="1">
        <v>3.1</v>
      </c>
      <c r="I66" s="9" t="s">
        <v>43</v>
      </c>
      <c r="J66" s="1">
        <v>1</v>
      </c>
      <c r="K66" s="10">
        <v>22</v>
      </c>
      <c r="L66" s="3">
        <v>0.38</v>
      </c>
      <c r="M66" s="11">
        <v>3.4859588571428582E-2</v>
      </c>
      <c r="N66">
        <v>489</v>
      </c>
      <c r="O66" s="11">
        <v>0.40005965005605648</v>
      </c>
      <c r="P66" s="11">
        <v>5.2631578947368418E-2</v>
      </c>
      <c r="Q66" s="11">
        <v>0.38897396362192138</v>
      </c>
      <c r="R66" s="11">
        <v>3.4299544118912367E-2</v>
      </c>
      <c r="S66" s="9" t="s">
        <v>40</v>
      </c>
      <c r="T66" s="9" t="s">
        <v>50</v>
      </c>
      <c r="U66" s="9" t="s">
        <v>276</v>
      </c>
      <c r="V66" s="9" t="s">
        <v>369</v>
      </c>
      <c r="W66" s="1">
        <v>14</v>
      </c>
      <c r="X66" s="1">
        <v>15</v>
      </c>
      <c r="Y66" s="3">
        <f>W66/X66</f>
        <v>0.93333333333333335</v>
      </c>
      <c r="Z66" s="11">
        <v>0.40286196729986118</v>
      </c>
      <c r="AA66" s="11">
        <v>0.21473511339847501</v>
      </c>
      <c r="AB66" s="10">
        <v>2</v>
      </c>
      <c r="AC66" s="9" t="s">
        <v>41</v>
      </c>
      <c r="AD66" s="9" t="s">
        <v>35</v>
      </c>
    </row>
    <row r="67" spans="1:30" x14ac:dyDescent="0.25">
      <c r="A67" s="9" t="s">
        <v>538</v>
      </c>
      <c r="B67" s="10" t="s">
        <v>661</v>
      </c>
      <c r="C67" s="10">
        <v>2</v>
      </c>
      <c r="D67" s="10">
        <v>2008</v>
      </c>
      <c r="E67" s="9" t="s">
        <v>38</v>
      </c>
      <c r="F67" s="9" t="s">
        <v>29</v>
      </c>
      <c r="G67" s="1">
        <v>31.5</v>
      </c>
      <c r="H67" s="1">
        <v>11.1</v>
      </c>
      <c r="I67" s="9" t="s">
        <v>30</v>
      </c>
      <c r="J67" s="1">
        <v>0.56000000000000005</v>
      </c>
      <c r="K67" s="10">
        <v>27</v>
      </c>
      <c r="L67" s="3">
        <v>-0.29299999999999998</v>
      </c>
      <c r="M67" s="11">
        <v>3.2141232723115393E-2</v>
      </c>
      <c r="N67" t="s">
        <v>63</v>
      </c>
      <c r="O67" s="11">
        <v>-0.30184485643764231</v>
      </c>
      <c r="P67" s="11">
        <v>4.1666666666666657E-2</v>
      </c>
      <c r="Q67" s="11">
        <v>-0.29883129671523317</v>
      </c>
      <c r="R67" s="11">
        <v>3.1899008765650827E-2</v>
      </c>
      <c r="S67" s="9" t="s">
        <v>40</v>
      </c>
      <c r="T67" s="9" t="s">
        <v>31</v>
      </c>
      <c r="U67" s="9" t="s">
        <v>276</v>
      </c>
      <c r="V67" s="9" t="s">
        <v>278</v>
      </c>
      <c r="W67" s="1">
        <v>17.399999999999999</v>
      </c>
      <c r="X67" s="1">
        <v>15</v>
      </c>
      <c r="Y67" s="3">
        <f>W67/X67</f>
        <v>1.1599999999999999</v>
      </c>
      <c r="Z67" s="11">
        <v>-0.2554177823114912</v>
      </c>
      <c r="AA67" s="11">
        <v>0.17021333657398999</v>
      </c>
      <c r="AB67" s="10">
        <v>3</v>
      </c>
      <c r="AC67" s="9" t="s">
        <v>41</v>
      </c>
      <c r="AD67" s="9" t="s">
        <v>63</v>
      </c>
    </row>
    <row r="68" spans="1:30" x14ac:dyDescent="0.25">
      <c r="A68" s="9" t="s">
        <v>865</v>
      </c>
      <c r="B68" s="10" t="s">
        <v>662</v>
      </c>
      <c r="C68" s="10">
        <v>2</v>
      </c>
      <c r="D68" s="10">
        <v>2008</v>
      </c>
      <c r="E68" s="9" t="s">
        <v>38</v>
      </c>
      <c r="F68" s="9" t="s">
        <v>29</v>
      </c>
      <c r="G68" s="1">
        <v>32.450000000000003</v>
      </c>
      <c r="H68" s="1">
        <v>12.88</v>
      </c>
      <c r="I68" s="9" t="s">
        <v>30</v>
      </c>
      <c r="J68" s="1">
        <v>0.51</v>
      </c>
      <c r="K68" s="10">
        <v>37</v>
      </c>
      <c r="L68" s="3">
        <v>-0.13</v>
      </c>
      <c r="M68" s="11">
        <v>2.6846822499999999E-2</v>
      </c>
      <c r="N68" t="s">
        <v>63</v>
      </c>
      <c r="O68" s="11">
        <v>-0.13073985002887839</v>
      </c>
      <c r="P68" s="11">
        <v>2.9411764705882349E-2</v>
      </c>
      <c r="Q68" s="11">
        <v>-0.1319484595071922</v>
      </c>
      <c r="R68" s="11">
        <v>2.681895360986283E-2</v>
      </c>
      <c r="S68" s="9" t="s">
        <v>40</v>
      </c>
      <c r="T68" s="9" t="s">
        <v>50</v>
      </c>
      <c r="U68" s="9" t="s">
        <v>276</v>
      </c>
      <c r="V68" s="9" t="s">
        <v>373</v>
      </c>
      <c r="W68" s="1" t="s">
        <v>31</v>
      </c>
      <c r="X68" s="1" t="s">
        <v>31</v>
      </c>
      <c r="Y68" s="3" t="s">
        <v>31</v>
      </c>
      <c r="Z68" s="11" t="s">
        <v>31</v>
      </c>
      <c r="AA68" s="11" t="s">
        <v>31</v>
      </c>
      <c r="AB68" s="10">
        <v>0</v>
      </c>
      <c r="AC68" s="9" t="s">
        <v>34</v>
      </c>
      <c r="AD68" s="9" t="s">
        <v>63</v>
      </c>
    </row>
    <row r="69" spans="1:30" x14ac:dyDescent="0.25">
      <c r="A69" s="9" t="s">
        <v>865</v>
      </c>
      <c r="B69" s="10" t="s">
        <v>663</v>
      </c>
      <c r="C69" s="10">
        <v>2</v>
      </c>
      <c r="D69" s="10">
        <v>2008</v>
      </c>
      <c r="E69" s="9" t="s">
        <v>28</v>
      </c>
      <c r="F69" s="9" t="s">
        <v>29</v>
      </c>
      <c r="G69" s="1">
        <v>34.520000000000003</v>
      </c>
      <c r="H69" s="1">
        <v>10.34</v>
      </c>
      <c r="I69" s="9" t="s">
        <v>30</v>
      </c>
      <c r="J69" s="1">
        <v>0.68</v>
      </c>
      <c r="K69" s="10">
        <v>44</v>
      </c>
      <c r="L69" s="3">
        <v>0.15</v>
      </c>
      <c r="M69" s="11">
        <v>2.2221075581395348E-2</v>
      </c>
      <c r="N69" t="s">
        <v>63</v>
      </c>
      <c r="O69" s="11">
        <v>0.15114043593646681</v>
      </c>
      <c r="P69" s="11">
        <v>2.4390243902439029E-2</v>
      </c>
      <c r="Q69" s="11">
        <v>0.1518416667516731</v>
      </c>
      <c r="R69" s="11">
        <v>2.2195809084211291E-2</v>
      </c>
      <c r="S69" s="9" t="s">
        <v>40</v>
      </c>
      <c r="T69" s="9" t="s">
        <v>50</v>
      </c>
      <c r="U69" s="9" t="s">
        <v>276</v>
      </c>
      <c r="V69" s="9" t="s">
        <v>373</v>
      </c>
      <c r="W69" s="1" t="s">
        <v>31</v>
      </c>
      <c r="X69" s="1" t="s">
        <v>31</v>
      </c>
      <c r="Y69" s="3" t="s">
        <v>31</v>
      </c>
      <c r="Z69" s="11" t="s">
        <v>31</v>
      </c>
      <c r="AA69" s="11" t="s">
        <v>31</v>
      </c>
      <c r="AB69" s="10">
        <v>0</v>
      </c>
      <c r="AC69" s="9" t="s">
        <v>34</v>
      </c>
      <c r="AD69" s="9" t="s">
        <v>63</v>
      </c>
    </row>
    <row r="70" spans="1:30" x14ac:dyDescent="0.25">
      <c r="A70" s="9" t="s">
        <v>203</v>
      </c>
      <c r="B70" s="10" t="s">
        <v>664</v>
      </c>
      <c r="C70" s="10">
        <v>2</v>
      </c>
      <c r="D70" s="10">
        <v>2008</v>
      </c>
      <c r="E70" s="9" t="s">
        <v>38</v>
      </c>
      <c r="F70" s="9" t="s">
        <v>29</v>
      </c>
      <c r="G70" s="1">
        <v>51.11</v>
      </c>
      <c r="H70" s="1" t="s">
        <v>31</v>
      </c>
      <c r="I70" s="9" t="s">
        <v>30</v>
      </c>
      <c r="J70" s="1">
        <v>0.43</v>
      </c>
      <c r="K70" s="10">
        <v>55</v>
      </c>
      <c r="L70" s="3">
        <v>0.13300000000000001</v>
      </c>
      <c r="M70" s="11">
        <v>1.7869164828166671E-2</v>
      </c>
      <c r="N70" t="s">
        <v>63</v>
      </c>
      <c r="O70" s="11">
        <v>0.13379264212373229</v>
      </c>
      <c r="P70" s="11">
        <v>1.9230769230769228E-2</v>
      </c>
      <c r="Q70" s="11">
        <v>0.13428602743927481</v>
      </c>
      <c r="R70" s="11">
        <v>1.7856661208867291E-2</v>
      </c>
      <c r="S70" s="9" t="s">
        <v>40</v>
      </c>
      <c r="T70" s="9" t="s">
        <v>31</v>
      </c>
      <c r="U70" s="9" t="s">
        <v>276</v>
      </c>
      <c r="V70" s="9" t="s">
        <v>372</v>
      </c>
      <c r="W70" s="1" t="s">
        <v>31</v>
      </c>
      <c r="X70" s="1" t="s">
        <v>31</v>
      </c>
      <c r="Y70" s="3" t="s">
        <v>31</v>
      </c>
      <c r="Z70" s="11" t="s">
        <v>31</v>
      </c>
      <c r="AA70" s="11" t="s">
        <v>31</v>
      </c>
      <c r="AB70" s="10">
        <v>0</v>
      </c>
      <c r="AC70" s="9" t="s">
        <v>41</v>
      </c>
      <c r="AD70" s="9" t="s">
        <v>63</v>
      </c>
    </row>
    <row r="71" spans="1:30" x14ac:dyDescent="0.25">
      <c r="A71" s="9" t="s">
        <v>203</v>
      </c>
      <c r="B71" s="10" t="s">
        <v>665</v>
      </c>
      <c r="C71" s="10">
        <v>2</v>
      </c>
      <c r="D71" s="10">
        <v>2008</v>
      </c>
      <c r="E71" s="9" t="s">
        <v>28</v>
      </c>
      <c r="F71" s="9" t="s">
        <v>29</v>
      </c>
      <c r="G71" s="1">
        <v>59.75</v>
      </c>
      <c r="H71" s="1" t="s">
        <v>31</v>
      </c>
      <c r="I71" s="9" t="s">
        <v>30</v>
      </c>
      <c r="J71" s="1">
        <v>0.25</v>
      </c>
      <c r="K71" s="10">
        <v>31</v>
      </c>
      <c r="L71" s="3">
        <v>0.152</v>
      </c>
      <c r="M71" s="11">
        <v>3.18108598272E-2</v>
      </c>
      <c r="N71" t="s">
        <v>63</v>
      </c>
      <c r="O71" s="11">
        <v>0.1531871027319667</v>
      </c>
      <c r="P71" s="11">
        <v>3.5714285714285712E-2</v>
      </c>
      <c r="Q71" s="11">
        <v>0.15476899739167499</v>
      </c>
      <c r="R71" s="11">
        <v>3.1755562743430707E-2</v>
      </c>
      <c r="S71" s="9" t="s">
        <v>40</v>
      </c>
      <c r="T71" s="9" t="s">
        <v>31</v>
      </c>
      <c r="U71" s="9" t="s">
        <v>276</v>
      </c>
      <c r="V71" s="9" t="s">
        <v>372</v>
      </c>
      <c r="W71" s="1" t="s">
        <v>31</v>
      </c>
      <c r="X71" s="1" t="s">
        <v>31</v>
      </c>
      <c r="Y71" s="3" t="s">
        <v>31</v>
      </c>
      <c r="Z71" s="11" t="s">
        <v>31</v>
      </c>
      <c r="AA71" s="11" t="s">
        <v>31</v>
      </c>
      <c r="AB71" s="10">
        <v>0</v>
      </c>
      <c r="AC71" s="9" t="s">
        <v>41</v>
      </c>
      <c r="AD71" s="9" t="s">
        <v>63</v>
      </c>
    </row>
    <row r="72" spans="1:30" x14ac:dyDescent="0.25">
      <c r="A72" s="9" t="s">
        <v>853</v>
      </c>
      <c r="B72" s="10" t="s">
        <v>666</v>
      </c>
      <c r="C72" s="10">
        <v>2</v>
      </c>
      <c r="D72" s="10">
        <v>2009</v>
      </c>
      <c r="E72" s="9" t="s">
        <v>38</v>
      </c>
      <c r="F72" s="9" t="s">
        <v>54</v>
      </c>
      <c r="G72" s="1">
        <v>14.6</v>
      </c>
      <c r="H72" s="1">
        <v>3.2</v>
      </c>
      <c r="I72" s="9" t="s">
        <v>30</v>
      </c>
      <c r="J72" s="1">
        <v>0.11</v>
      </c>
      <c r="K72" s="10">
        <v>9</v>
      </c>
      <c r="L72" s="3">
        <v>0.42599999999999999</v>
      </c>
      <c r="M72" s="11">
        <v>8.3747692322000009E-2</v>
      </c>
      <c r="N72" t="s">
        <v>63</v>
      </c>
      <c r="O72" s="11">
        <v>0.45499960232733738</v>
      </c>
      <c r="P72" s="11">
        <v>0.16666666666666671</v>
      </c>
      <c r="Q72" s="11">
        <v>0.45875342799938579</v>
      </c>
      <c r="R72" s="11">
        <v>7.7922721073902149E-2</v>
      </c>
      <c r="S72" s="9" t="s">
        <v>40</v>
      </c>
      <c r="T72" s="9" t="s">
        <v>31</v>
      </c>
      <c r="U72" s="9" t="s">
        <v>276</v>
      </c>
      <c r="V72" s="9" t="s">
        <v>356</v>
      </c>
      <c r="W72" s="1" t="s">
        <v>31</v>
      </c>
      <c r="X72" s="1" t="s">
        <v>31</v>
      </c>
      <c r="Y72" s="3" t="s">
        <v>31</v>
      </c>
      <c r="Z72" s="11" t="s">
        <v>31</v>
      </c>
      <c r="AA72" s="11" t="s">
        <v>31</v>
      </c>
      <c r="AB72" s="10">
        <v>0</v>
      </c>
      <c r="AC72" s="9" t="s">
        <v>34</v>
      </c>
      <c r="AD72" s="9" t="s">
        <v>63</v>
      </c>
    </row>
    <row r="73" spans="1:30" x14ac:dyDescent="0.25">
      <c r="A73" s="9" t="s">
        <v>853</v>
      </c>
      <c r="B73" s="10" t="s">
        <v>667</v>
      </c>
      <c r="C73" s="10">
        <v>2</v>
      </c>
      <c r="D73" s="10">
        <v>2009</v>
      </c>
      <c r="E73" s="9" t="s">
        <v>28</v>
      </c>
      <c r="F73" s="9" t="s">
        <v>54</v>
      </c>
      <c r="G73" s="1">
        <v>14.5</v>
      </c>
      <c r="H73" s="1">
        <v>1.5</v>
      </c>
      <c r="I73" s="9" t="s">
        <v>30</v>
      </c>
      <c r="J73" s="1">
        <v>0.08</v>
      </c>
      <c r="K73" s="10">
        <v>12</v>
      </c>
      <c r="L73" s="3">
        <v>0.112</v>
      </c>
      <c r="M73" s="11">
        <v>8.8642668357818186E-2</v>
      </c>
      <c r="N73" t="s">
        <v>63</v>
      </c>
      <c r="O73" s="11">
        <v>0.1124718659091789</v>
      </c>
      <c r="P73" s="11">
        <v>0.1111111111111111</v>
      </c>
      <c r="Q73" s="11">
        <v>0.11908057439597421</v>
      </c>
      <c r="R73" s="11">
        <v>8.8349155563508364E-2</v>
      </c>
      <c r="S73" s="9" t="s">
        <v>40</v>
      </c>
      <c r="T73" s="9" t="s">
        <v>31</v>
      </c>
      <c r="U73" s="9" t="s">
        <v>276</v>
      </c>
      <c r="V73" s="9" t="s">
        <v>356</v>
      </c>
      <c r="W73" s="1" t="s">
        <v>31</v>
      </c>
      <c r="X73" s="1" t="s">
        <v>31</v>
      </c>
      <c r="Y73" s="3" t="s">
        <v>31</v>
      </c>
      <c r="Z73" s="11" t="s">
        <v>31</v>
      </c>
      <c r="AA73" s="11" t="s">
        <v>31</v>
      </c>
      <c r="AB73" s="10">
        <v>0</v>
      </c>
      <c r="AC73" s="9" t="s">
        <v>34</v>
      </c>
      <c r="AD73" s="9" t="s">
        <v>63</v>
      </c>
    </row>
    <row r="74" spans="1:30" x14ac:dyDescent="0.25">
      <c r="A74" s="9" t="s">
        <v>540</v>
      </c>
      <c r="B74" s="10" t="s">
        <v>668</v>
      </c>
      <c r="C74" s="10">
        <v>2</v>
      </c>
      <c r="D74" s="10">
        <v>2009</v>
      </c>
      <c r="E74" s="9" t="s">
        <v>28</v>
      </c>
      <c r="F74" s="9" t="s">
        <v>54</v>
      </c>
      <c r="G74" s="1">
        <v>9.25</v>
      </c>
      <c r="H74" s="1" t="s">
        <v>31</v>
      </c>
      <c r="I74" s="9" t="s">
        <v>31</v>
      </c>
      <c r="J74" s="1" t="s">
        <v>31</v>
      </c>
      <c r="K74" s="10">
        <v>5</v>
      </c>
      <c r="L74" s="3">
        <v>0.83999999999999897</v>
      </c>
      <c r="M74" s="11">
        <v>2.1667840000000261E-2</v>
      </c>
      <c r="N74">
        <v>279</v>
      </c>
      <c r="O74" s="11">
        <v>1.221173517684599</v>
      </c>
      <c r="P74" s="11">
        <v>0.5</v>
      </c>
      <c r="Q74" s="11">
        <v>0.8878788869643951</v>
      </c>
      <c r="R74" s="11">
        <v>1.1201161747532939E-2</v>
      </c>
      <c r="S74" s="9" t="s">
        <v>40</v>
      </c>
      <c r="T74" s="9" t="s">
        <v>50</v>
      </c>
      <c r="U74" s="9" t="s">
        <v>276</v>
      </c>
      <c r="V74" s="9" t="s">
        <v>374</v>
      </c>
      <c r="W74" s="1" t="s">
        <v>31</v>
      </c>
      <c r="X74" s="1" t="s">
        <v>31</v>
      </c>
      <c r="Y74" s="3" t="s">
        <v>31</v>
      </c>
      <c r="Z74" s="11" t="s">
        <v>31</v>
      </c>
      <c r="AA74" s="11" t="s">
        <v>31</v>
      </c>
      <c r="AB74" s="10">
        <v>0</v>
      </c>
      <c r="AC74" s="9" t="s">
        <v>34</v>
      </c>
      <c r="AD74" s="9" t="s">
        <v>35</v>
      </c>
    </row>
    <row r="75" spans="1:30" x14ac:dyDescent="0.25">
      <c r="A75" s="9" t="s">
        <v>540</v>
      </c>
      <c r="B75" s="10" t="s">
        <v>669</v>
      </c>
      <c r="C75" s="10">
        <v>2</v>
      </c>
      <c r="D75" s="10">
        <v>2009</v>
      </c>
      <c r="E75" s="9" t="s">
        <v>28</v>
      </c>
      <c r="F75" s="9" t="s">
        <v>54</v>
      </c>
      <c r="G75" s="1">
        <v>16.53</v>
      </c>
      <c r="H75" s="1" t="s">
        <v>31</v>
      </c>
      <c r="I75" s="9" t="s">
        <v>31</v>
      </c>
      <c r="J75" s="1" t="s">
        <v>31</v>
      </c>
      <c r="K75" s="10">
        <v>6</v>
      </c>
      <c r="L75" s="3">
        <v>0.76</v>
      </c>
      <c r="M75" s="11">
        <v>3.5684352000000003E-2</v>
      </c>
      <c r="N75">
        <v>279</v>
      </c>
      <c r="O75" s="11">
        <v>0.99621508234510314</v>
      </c>
      <c r="P75" s="11">
        <v>0.33333333333333331</v>
      </c>
      <c r="Q75" s="11">
        <v>0.80839400255246185</v>
      </c>
      <c r="R75" s="11">
        <v>2.4012330338066431E-2</v>
      </c>
      <c r="S75" s="9" t="s">
        <v>40</v>
      </c>
      <c r="T75" s="9" t="s">
        <v>50</v>
      </c>
      <c r="U75" s="9" t="s">
        <v>276</v>
      </c>
      <c r="V75" s="9" t="s">
        <v>374</v>
      </c>
      <c r="W75" s="1" t="s">
        <v>31</v>
      </c>
      <c r="X75" s="1" t="s">
        <v>31</v>
      </c>
      <c r="Y75" s="3" t="s">
        <v>31</v>
      </c>
      <c r="Z75" s="11" t="s">
        <v>31</v>
      </c>
      <c r="AA75" s="11" t="s">
        <v>31</v>
      </c>
      <c r="AB75" s="10">
        <v>0</v>
      </c>
      <c r="AC75" s="9" t="s">
        <v>34</v>
      </c>
      <c r="AD75" s="9" t="s">
        <v>35</v>
      </c>
    </row>
    <row r="76" spans="1:30" x14ac:dyDescent="0.25">
      <c r="A76" s="9" t="s">
        <v>540</v>
      </c>
      <c r="B76" s="10" t="s">
        <v>670</v>
      </c>
      <c r="C76" s="10">
        <v>2</v>
      </c>
      <c r="D76" s="10">
        <v>2009</v>
      </c>
      <c r="E76" s="9" t="s">
        <v>38</v>
      </c>
      <c r="F76" s="9" t="s">
        <v>54</v>
      </c>
      <c r="G76" s="1">
        <v>12.08</v>
      </c>
      <c r="H76" s="1">
        <v>6.85</v>
      </c>
      <c r="I76" s="9" t="s">
        <v>31</v>
      </c>
      <c r="J76" s="1" t="s">
        <v>31</v>
      </c>
      <c r="K76" s="10">
        <v>11</v>
      </c>
      <c r="L76" s="3">
        <v>-0.65</v>
      </c>
      <c r="M76" s="11">
        <v>3.3350624999999988E-2</v>
      </c>
      <c r="N76">
        <v>279</v>
      </c>
      <c r="O76" s="11">
        <v>-0.7752987062055835</v>
      </c>
      <c r="P76" s="11">
        <v>0.125</v>
      </c>
      <c r="Q76" s="11">
        <v>-0.6739244302426366</v>
      </c>
      <c r="R76" s="11">
        <v>2.9792587197970521E-2</v>
      </c>
      <c r="S76" s="9" t="s">
        <v>40</v>
      </c>
      <c r="T76" s="9" t="s">
        <v>50</v>
      </c>
      <c r="U76" s="9" t="s">
        <v>276</v>
      </c>
      <c r="V76" s="9" t="s">
        <v>374</v>
      </c>
      <c r="W76" s="1" t="s">
        <v>31</v>
      </c>
      <c r="X76" s="1" t="s">
        <v>31</v>
      </c>
      <c r="Y76" s="3" t="s">
        <v>31</v>
      </c>
      <c r="Z76" s="11" t="s">
        <v>31</v>
      </c>
      <c r="AA76" s="11" t="s">
        <v>31</v>
      </c>
      <c r="AB76" s="10">
        <v>0</v>
      </c>
      <c r="AC76" s="9" t="s">
        <v>34</v>
      </c>
      <c r="AD76" s="9" t="s">
        <v>35</v>
      </c>
    </row>
    <row r="77" spans="1:30" x14ac:dyDescent="0.25">
      <c r="A77" s="9" t="s">
        <v>541</v>
      </c>
      <c r="B77" s="10" t="s">
        <v>671</v>
      </c>
      <c r="C77" s="10">
        <v>2</v>
      </c>
      <c r="D77" s="10">
        <v>2009</v>
      </c>
      <c r="E77" s="9" t="s">
        <v>38</v>
      </c>
      <c r="F77" s="9" t="s">
        <v>54</v>
      </c>
      <c r="G77" s="1">
        <v>10.5</v>
      </c>
      <c r="H77" s="1">
        <v>1.27</v>
      </c>
      <c r="I77" s="9" t="s">
        <v>30</v>
      </c>
      <c r="J77" s="1">
        <v>0.53</v>
      </c>
      <c r="K77" s="10">
        <v>66</v>
      </c>
      <c r="L77" s="3">
        <v>0.35299999999999998</v>
      </c>
      <c r="M77" s="11">
        <v>1.1789375428938461E-2</v>
      </c>
      <c r="N77" t="s">
        <v>63</v>
      </c>
      <c r="O77" s="11">
        <v>0.36886666683494368</v>
      </c>
      <c r="P77" s="11">
        <v>1.5873015873015869E-2</v>
      </c>
      <c r="Q77" s="11">
        <v>0.35549040351908312</v>
      </c>
      <c r="R77" s="11">
        <v>1.174189829326042E-2</v>
      </c>
      <c r="S77" s="9" t="s">
        <v>40</v>
      </c>
      <c r="T77" s="9" t="s">
        <v>50</v>
      </c>
      <c r="U77" s="9" t="s">
        <v>276</v>
      </c>
      <c r="V77" s="9" t="s">
        <v>370</v>
      </c>
      <c r="W77" s="1">
        <v>14.7</v>
      </c>
      <c r="X77" s="1">
        <v>15</v>
      </c>
      <c r="Y77" s="3">
        <f>W77/X77</f>
        <v>0.98</v>
      </c>
      <c r="Z77" s="11">
        <v>0.35928227153711251</v>
      </c>
      <c r="AA77" s="11">
        <v>0.11836033993977101</v>
      </c>
      <c r="AB77" s="10">
        <v>0</v>
      </c>
      <c r="AC77" s="9" t="s">
        <v>34</v>
      </c>
      <c r="AD77" s="9" t="s">
        <v>63</v>
      </c>
    </row>
    <row r="78" spans="1:30" x14ac:dyDescent="0.25">
      <c r="A78" s="9" t="s">
        <v>541</v>
      </c>
      <c r="B78" s="10" t="s">
        <v>672</v>
      </c>
      <c r="C78" s="10">
        <v>2</v>
      </c>
      <c r="D78" s="10">
        <v>2009</v>
      </c>
      <c r="E78" s="9" t="s">
        <v>28</v>
      </c>
      <c r="F78" s="9" t="s">
        <v>54</v>
      </c>
      <c r="G78" s="1">
        <v>10.4</v>
      </c>
      <c r="H78" s="1">
        <v>1.24</v>
      </c>
      <c r="I78" s="9" t="s">
        <v>30</v>
      </c>
      <c r="J78" s="1">
        <v>0.56999999999999995</v>
      </c>
      <c r="K78" s="10">
        <v>47</v>
      </c>
      <c r="L78" s="3">
        <v>0.20499999999999999</v>
      </c>
      <c r="M78" s="11">
        <v>1.995035001358696E-2</v>
      </c>
      <c r="N78" t="s">
        <v>63</v>
      </c>
      <c r="O78" s="11">
        <v>0.20794636563521179</v>
      </c>
      <c r="P78" s="11">
        <v>2.2727272727272731E-2</v>
      </c>
      <c r="Q78" s="11">
        <v>0.20729138172634229</v>
      </c>
      <c r="R78" s="11">
        <v>1.9911020928210892E-2</v>
      </c>
      <c r="S78" s="9" t="s">
        <v>40</v>
      </c>
      <c r="T78" s="9" t="s">
        <v>50</v>
      </c>
      <c r="U78" s="9" t="s">
        <v>276</v>
      </c>
      <c r="V78" s="9" t="s">
        <v>370</v>
      </c>
      <c r="W78" s="1">
        <v>15.8</v>
      </c>
      <c r="X78" s="1">
        <v>15</v>
      </c>
      <c r="Y78" s="3">
        <f>W78/X78</f>
        <v>1.0533333333333335</v>
      </c>
      <c r="Z78" s="11">
        <v>0.19502515145279051</v>
      </c>
      <c r="AA78" s="11">
        <v>0.139367397833558</v>
      </c>
      <c r="AB78" s="10">
        <v>0</v>
      </c>
      <c r="AC78" s="9" t="s">
        <v>34</v>
      </c>
      <c r="AD78" s="9" t="s">
        <v>63</v>
      </c>
    </row>
    <row r="79" spans="1:30" x14ac:dyDescent="0.25">
      <c r="A79" s="9" t="s">
        <v>542</v>
      </c>
      <c r="B79" s="10" t="s">
        <v>673</v>
      </c>
      <c r="C79" s="10">
        <v>2</v>
      </c>
      <c r="D79" s="10">
        <v>2009</v>
      </c>
      <c r="E79" s="9" t="s">
        <v>38</v>
      </c>
      <c r="F79" s="9" t="s">
        <v>29</v>
      </c>
      <c r="G79" s="1">
        <v>78.400000000000006</v>
      </c>
      <c r="H79" s="1">
        <v>1.5</v>
      </c>
      <c r="I79" s="9" t="s">
        <v>30</v>
      </c>
      <c r="J79" s="1">
        <v>0.28999999999999998</v>
      </c>
      <c r="K79" s="10">
        <v>107</v>
      </c>
      <c r="L79" s="3">
        <v>0.13</v>
      </c>
      <c r="M79" s="11">
        <v>9.1177887735849061E-3</v>
      </c>
      <c r="N79">
        <v>6</v>
      </c>
      <c r="O79" s="11">
        <v>0.13073985002887839</v>
      </c>
      <c r="P79" s="11">
        <v>9.6153846153846159E-3</v>
      </c>
      <c r="Q79" s="11">
        <v>0.13062166723221691</v>
      </c>
      <c r="R79" s="11">
        <v>9.1147837039975855E-3</v>
      </c>
      <c r="S79" s="9" t="s">
        <v>40</v>
      </c>
      <c r="T79" s="9" t="s">
        <v>50</v>
      </c>
      <c r="U79" s="9" t="s">
        <v>276</v>
      </c>
      <c r="V79" s="9" t="s">
        <v>375</v>
      </c>
      <c r="W79" s="1" t="s">
        <v>31</v>
      </c>
      <c r="X79" s="1" t="s">
        <v>31</v>
      </c>
      <c r="Y79" s="3" t="s">
        <v>31</v>
      </c>
      <c r="Z79" s="11" t="s">
        <v>31</v>
      </c>
      <c r="AA79" s="11" t="s">
        <v>31</v>
      </c>
      <c r="AB79" s="10">
        <v>1</v>
      </c>
      <c r="AC79" s="9" t="s">
        <v>41</v>
      </c>
      <c r="AD79" s="9" t="s">
        <v>35</v>
      </c>
    </row>
    <row r="80" spans="1:30" x14ac:dyDescent="0.25">
      <c r="A80" s="9" t="s">
        <v>543</v>
      </c>
      <c r="B80" s="10" t="s">
        <v>674</v>
      </c>
      <c r="C80" s="10">
        <v>2</v>
      </c>
      <c r="D80" s="10">
        <v>2009</v>
      </c>
      <c r="E80" s="9" t="s">
        <v>38</v>
      </c>
      <c r="F80" s="9" t="s">
        <v>54</v>
      </c>
      <c r="G80" s="1">
        <v>9.1</v>
      </c>
      <c r="H80" s="1">
        <v>0.1</v>
      </c>
      <c r="I80" s="9" t="s">
        <v>30</v>
      </c>
      <c r="J80" s="1">
        <v>0.5</v>
      </c>
      <c r="K80" s="10">
        <v>209</v>
      </c>
      <c r="L80" s="3">
        <v>0.33</v>
      </c>
      <c r="M80" s="11">
        <v>3.8175923557692312E-3</v>
      </c>
      <c r="N80">
        <v>186</v>
      </c>
      <c r="O80" s="11">
        <v>0.34282825441539388</v>
      </c>
      <c r="P80" s="11">
        <v>4.8543689320388354E-3</v>
      </c>
      <c r="Q80" s="11">
        <v>0.33071723419530052</v>
      </c>
      <c r="R80" s="11">
        <v>3.813533026952151E-3</v>
      </c>
      <c r="S80" s="9" t="s">
        <v>40</v>
      </c>
      <c r="T80" s="9" t="s">
        <v>50</v>
      </c>
      <c r="U80" s="9" t="s">
        <v>276</v>
      </c>
      <c r="V80" s="9" t="s">
        <v>298</v>
      </c>
      <c r="W80" s="1">
        <v>15</v>
      </c>
      <c r="X80" s="1">
        <v>15</v>
      </c>
      <c r="Y80" s="3">
        <f>W80/X80</f>
        <v>1</v>
      </c>
      <c r="Z80" s="11">
        <v>0.33</v>
      </c>
      <c r="AA80" s="11">
        <v>6.5611210306428594E-2</v>
      </c>
      <c r="AB80" s="10">
        <v>1</v>
      </c>
      <c r="AC80" s="9" t="s">
        <v>41</v>
      </c>
      <c r="AD80" s="9" t="s">
        <v>35</v>
      </c>
    </row>
    <row r="81" spans="1:30" x14ac:dyDescent="0.25">
      <c r="A81" s="9" t="s">
        <v>544</v>
      </c>
      <c r="B81" s="10" t="s">
        <v>675</v>
      </c>
      <c r="C81" s="10">
        <v>2</v>
      </c>
      <c r="D81" s="10">
        <v>2009</v>
      </c>
      <c r="E81" s="9" t="s">
        <v>28</v>
      </c>
      <c r="F81" s="9" t="s">
        <v>29</v>
      </c>
      <c r="G81" s="1">
        <v>32</v>
      </c>
      <c r="H81" s="1">
        <v>7</v>
      </c>
      <c r="I81" s="9" t="s">
        <v>39</v>
      </c>
      <c r="J81" s="1">
        <v>0</v>
      </c>
      <c r="K81" s="10">
        <v>10</v>
      </c>
      <c r="L81" s="3">
        <v>-0.17</v>
      </c>
      <c r="M81" s="11">
        <v>0.10478169</v>
      </c>
      <c r="N81" t="s">
        <v>63</v>
      </c>
      <c r="O81" s="11">
        <v>-0.1716666635005791</v>
      </c>
      <c r="P81" s="11">
        <v>0.1428571428571429</v>
      </c>
      <c r="Q81" s="11">
        <v>-0.18405609858010941</v>
      </c>
      <c r="R81" s="11">
        <v>0.1037104813768516</v>
      </c>
      <c r="S81" s="9" t="s">
        <v>40</v>
      </c>
      <c r="T81" s="9" t="s">
        <v>31</v>
      </c>
      <c r="U81" s="9" t="s">
        <v>276</v>
      </c>
      <c r="V81" s="9" t="s">
        <v>371</v>
      </c>
      <c r="W81" s="1">
        <v>11</v>
      </c>
      <c r="X81" s="1">
        <v>15</v>
      </c>
      <c r="Y81" s="3">
        <f>W81/X81</f>
        <v>0.73333333333333328</v>
      </c>
      <c r="Z81" s="11">
        <v>-0.22899158936469211</v>
      </c>
      <c r="AA81" s="11">
        <v>0.45794766750777499</v>
      </c>
      <c r="AB81" s="10">
        <v>0</v>
      </c>
      <c r="AC81" s="9" t="s">
        <v>34</v>
      </c>
      <c r="AD81" s="9" t="s">
        <v>63</v>
      </c>
    </row>
    <row r="82" spans="1:30" x14ac:dyDescent="0.25">
      <c r="A82" s="9" t="s">
        <v>544</v>
      </c>
      <c r="B82" s="10" t="s">
        <v>676</v>
      </c>
      <c r="C82" s="10">
        <v>2</v>
      </c>
      <c r="D82" s="10">
        <v>2009</v>
      </c>
      <c r="E82" s="9" t="s">
        <v>38</v>
      </c>
      <c r="F82" s="9" t="s">
        <v>29</v>
      </c>
      <c r="G82" s="1">
        <v>33</v>
      </c>
      <c r="H82" s="1">
        <v>7</v>
      </c>
      <c r="I82" s="9" t="s">
        <v>39</v>
      </c>
      <c r="J82" s="1">
        <v>0</v>
      </c>
      <c r="K82" s="10">
        <v>25</v>
      </c>
      <c r="L82" s="3">
        <v>2E-3</v>
      </c>
      <c r="M82" s="11">
        <v>4.1666333334000001E-2</v>
      </c>
      <c r="N82" t="s">
        <v>63</v>
      </c>
      <c r="O82" s="11">
        <v>2.000002666673069E-3</v>
      </c>
      <c r="P82" s="11">
        <v>4.5454545454545463E-2</v>
      </c>
      <c r="Q82" s="11">
        <v>2.0481718711516301E-3</v>
      </c>
      <c r="R82" s="11">
        <v>4.1666317083398782E-2</v>
      </c>
      <c r="S82" s="9" t="s">
        <v>40</v>
      </c>
      <c r="T82" s="9" t="s">
        <v>31</v>
      </c>
      <c r="U82" s="9" t="s">
        <v>276</v>
      </c>
      <c r="V82" s="9" t="s">
        <v>371</v>
      </c>
      <c r="W82" s="1">
        <v>13</v>
      </c>
      <c r="X82" s="1">
        <v>15</v>
      </c>
      <c r="Y82" s="3">
        <f>W82/X82</f>
        <v>0.8666666666666667</v>
      </c>
      <c r="Z82" s="11">
        <v>2.3076907783356119E-3</v>
      </c>
      <c r="AA82" s="11">
        <v>0.24083334478799401</v>
      </c>
      <c r="AB82" s="10">
        <v>0</v>
      </c>
      <c r="AC82" s="9" t="s">
        <v>34</v>
      </c>
      <c r="AD82" s="9" t="s">
        <v>63</v>
      </c>
    </row>
    <row r="83" spans="1:30" x14ac:dyDescent="0.25">
      <c r="A83" s="9" t="s">
        <v>544</v>
      </c>
      <c r="B83" s="10" t="s">
        <v>677</v>
      </c>
      <c r="C83" s="10">
        <v>2</v>
      </c>
      <c r="D83" s="10">
        <v>2009</v>
      </c>
      <c r="E83" s="9" t="s">
        <v>28</v>
      </c>
      <c r="F83" s="9" t="s">
        <v>29</v>
      </c>
      <c r="G83" s="1">
        <v>32</v>
      </c>
      <c r="H83" s="1">
        <v>5</v>
      </c>
      <c r="I83" s="9" t="s">
        <v>39</v>
      </c>
      <c r="J83" s="1">
        <v>0</v>
      </c>
      <c r="K83" s="10">
        <v>13</v>
      </c>
      <c r="L83" s="3">
        <v>0.35299999999999998</v>
      </c>
      <c r="M83" s="11">
        <v>6.3859116906750002E-2</v>
      </c>
      <c r="N83" t="s">
        <v>63</v>
      </c>
      <c r="O83" s="11">
        <v>0.36886666683494368</v>
      </c>
      <c r="P83" s="11">
        <v>0.1</v>
      </c>
      <c r="Q83" s="11">
        <v>0.36996595665945131</v>
      </c>
      <c r="R83" s="11">
        <v>6.2082091265725087E-2</v>
      </c>
      <c r="S83" s="9" t="s">
        <v>40</v>
      </c>
      <c r="T83" s="9" t="s">
        <v>31</v>
      </c>
      <c r="U83" s="9" t="s">
        <v>276</v>
      </c>
      <c r="V83" s="9" t="s">
        <v>371</v>
      </c>
      <c r="W83" s="1">
        <v>14</v>
      </c>
      <c r="X83" s="1">
        <v>15</v>
      </c>
      <c r="Y83" s="3">
        <f>W83/X83</f>
        <v>0.93333333333333335</v>
      </c>
      <c r="Z83" s="11">
        <v>0.37477519129554587</v>
      </c>
      <c r="AA83" s="11">
        <v>0.29419947719877398</v>
      </c>
      <c r="AB83" s="10">
        <v>0</v>
      </c>
      <c r="AC83" s="9" t="s">
        <v>34</v>
      </c>
      <c r="AD83" s="9" t="s">
        <v>63</v>
      </c>
    </row>
    <row r="84" spans="1:30" x14ac:dyDescent="0.25">
      <c r="A84" s="9" t="s">
        <v>854</v>
      </c>
      <c r="B84" s="10" t="s">
        <v>678</v>
      </c>
      <c r="C84" s="10">
        <v>2</v>
      </c>
      <c r="D84" s="10">
        <v>2010</v>
      </c>
      <c r="E84" s="9" t="s">
        <v>38</v>
      </c>
      <c r="F84" s="9" t="s">
        <v>54</v>
      </c>
      <c r="G84" s="1">
        <v>11.4</v>
      </c>
      <c r="H84" s="1" t="s">
        <v>31</v>
      </c>
      <c r="I84" s="9" t="s">
        <v>30</v>
      </c>
      <c r="J84" s="1">
        <v>0.52</v>
      </c>
      <c r="K84" s="10">
        <v>142</v>
      </c>
      <c r="L84" s="3">
        <v>0.14000000000000001</v>
      </c>
      <c r="M84" s="11">
        <v>6.8169089361702134E-3</v>
      </c>
      <c r="N84">
        <v>140</v>
      </c>
      <c r="O84" s="11">
        <v>0.14092557607049391</v>
      </c>
      <c r="P84" s="11">
        <v>7.1942446043165471E-3</v>
      </c>
      <c r="Q84" s="11">
        <v>0.1404980404343715</v>
      </c>
      <c r="R84" s="11">
        <v>6.8149663616968769E-3</v>
      </c>
      <c r="S84" s="9" t="s">
        <v>40</v>
      </c>
      <c r="T84" s="9" t="s">
        <v>50</v>
      </c>
      <c r="U84" s="9" t="s">
        <v>276</v>
      </c>
      <c r="V84" s="9" t="s">
        <v>301</v>
      </c>
      <c r="W84" s="1">
        <v>12.34</v>
      </c>
      <c r="X84" s="1">
        <v>15</v>
      </c>
      <c r="Y84" s="3">
        <f>W84/X84</f>
        <v>0.82266666666666666</v>
      </c>
      <c r="Z84" s="11">
        <v>0.16938734101905761</v>
      </c>
      <c r="AA84" s="11">
        <v>0.100094112861437</v>
      </c>
      <c r="AB84" s="10">
        <v>2</v>
      </c>
      <c r="AC84" s="9" t="s">
        <v>41</v>
      </c>
      <c r="AD84" s="9" t="s">
        <v>35</v>
      </c>
    </row>
    <row r="85" spans="1:30" x14ac:dyDescent="0.25">
      <c r="A85" s="9" t="s">
        <v>545</v>
      </c>
      <c r="B85" s="10" t="s">
        <v>679</v>
      </c>
      <c r="C85" s="10">
        <v>2</v>
      </c>
      <c r="D85" s="10">
        <v>2010</v>
      </c>
      <c r="E85" s="9" t="s">
        <v>38</v>
      </c>
      <c r="F85" s="9" t="s">
        <v>29</v>
      </c>
      <c r="G85" s="1">
        <v>33.340000000000003</v>
      </c>
      <c r="H85" s="1">
        <v>12.6</v>
      </c>
      <c r="I85" s="9" t="s">
        <v>30</v>
      </c>
      <c r="J85" s="1">
        <v>0.42</v>
      </c>
      <c r="K85" s="10">
        <v>67</v>
      </c>
      <c r="L85" s="3">
        <v>0.23300000000000001</v>
      </c>
      <c r="M85" s="11">
        <v>1.355104993213636E-2</v>
      </c>
      <c r="N85" t="s">
        <v>63</v>
      </c>
      <c r="O85" s="11">
        <v>0.23735935089854401</v>
      </c>
      <c r="P85" s="11">
        <v>1.5625E-2</v>
      </c>
      <c r="Q85" s="11">
        <v>0.23475219197943969</v>
      </c>
      <c r="R85" s="11">
        <v>1.3527572327184051E-2</v>
      </c>
      <c r="S85" s="9" t="s">
        <v>40</v>
      </c>
      <c r="T85" s="9" t="s">
        <v>31</v>
      </c>
      <c r="U85" s="9" t="s">
        <v>276</v>
      </c>
      <c r="V85" s="9" t="s">
        <v>293</v>
      </c>
      <c r="W85" s="1" t="s">
        <v>31</v>
      </c>
      <c r="X85" s="1" t="s">
        <v>31</v>
      </c>
      <c r="Y85" s="3" t="s">
        <v>31</v>
      </c>
      <c r="Z85" s="11" t="s">
        <v>31</v>
      </c>
      <c r="AA85" s="11" t="s">
        <v>31</v>
      </c>
      <c r="AB85" s="10">
        <v>0</v>
      </c>
      <c r="AC85" s="9" t="s">
        <v>34</v>
      </c>
      <c r="AD85" s="9" t="s">
        <v>63</v>
      </c>
    </row>
    <row r="86" spans="1:30" x14ac:dyDescent="0.25">
      <c r="A86" s="9" t="s">
        <v>545</v>
      </c>
      <c r="B86" s="10" t="s">
        <v>680</v>
      </c>
      <c r="C86" s="10">
        <v>2</v>
      </c>
      <c r="D86" s="10">
        <v>2010</v>
      </c>
      <c r="E86" s="9" t="s">
        <v>28</v>
      </c>
      <c r="F86" s="9" t="s">
        <v>29</v>
      </c>
      <c r="G86" s="1">
        <v>36.090000000000003</v>
      </c>
      <c r="H86" s="1" t="s">
        <v>31</v>
      </c>
      <c r="I86" s="9" t="s">
        <v>30</v>
      </c>
      <c r="J86" s="1">
        <v>0.35</v>
      </c>
      <c r="K86" s="10">
        <v>77</v>
      </c>
      <c r="L86" s="3">
        <v>0.28199999999999997</v>
      </c>
      <c r="M86" s="11">
        <v>1.1148369297052631E-2</v>
      </c>
      <c r="N86" t="s">
        <v>63</v>
      </c>
      <c r="O86" s="11">
        <v>0.28985353421619559</v>
      </c>
      <c r="P86" s="11">
        <v>1.3513513513513511E-2</v>
      </c>
      <c r="Q86" s="11">
        <v>0.28377947292097938</v>
      </c>
      <c r="R86" s="11">
        <v>1.112399512519501E-2</v>
      </c>
      <c r="S86" s="9" t="s">
        <v>40</v>
      </c>
      <c r="T86" s="9" t="s">
        <v>31</v>
      </c>
      <c r="U86" s="9" t="s">
        <v>276</v>
      </c>
      <c r="V86" s="9" t="s">
        <v>369</v>
      </c>
      <c r="W86" s="1" t="s">
        <v>31</v>
      </c>
      <c r="X86" s="1" t="s">
        <v>31</v>
      </c>
      <c r="Y86" s="3" t="s">
        <v>31</v>
      </c>
      <c r="Z86" s="11" t="s">
        <v>31</v>
      </c>
      <c r="AA86" s="11" t="s">
        <v>31</v>
      </c>
      <c r="AB86" s="10">
        <v>0</v>
      </c>
      <c r="AC86" s="9" t="s">
        <v>34</v>
      </c>
      <c r="AD86" s="9" t="s">
        <v>63</v>
      </c>
    </row>
    <row r="87" spans="1:30" x14ac:dyDescent="0.25">
      <c r="A87" s="9" t="s">
        <v>231</v>
      </c>
      <c r="B87" s="10" t="s">
        <v>681</v>
      </c>
      <c r="C87" s="10">
        <v>2</v>
      </c>
      <c r="D87" s="10">
        <v>2010</v>
      </c>
      <c r="E87" s="9" t="s">
        <v>38</v>
      </c>
      <c r="F87" s="9" t="s">
        <v>29</v>
      </c>
      <c r="G87" s="1">
        <v>68.69</v>
      </c>
      <c r="H87" s="1">
        <v>0.67</v>
      </c>
      <c r="I87" s="9" t="s">
        <v>30</v>
      </c>
      <c r="J87" s="1">
        <v>0.53</v>
      </c>
      <c r="K87" s="10">
        <v>235</v>
      </c>
      <c r="L87" s="3">
        <v>-2E-3</v>
      </c>
      <c r="M87" s="11">
        <v>4.2734700855384614E-3</v>
      </c>
      <c r="N87" t="s">
        <v>63</v>
      </c>
      <c r="O87" s="11">
        <v>-2.0000026666730638E-3</v>
      </c>
      <c r="P87" s="11">
        <v>4.3103448275862068E-3</v>
      </c>
      <c r="Q87" s="11">
        <v>-2.0043336617255208E-3</v>
      </c>
      <c r="R87" s="11">
        <v>4.2734699372191627E-3</v>
      </c>
      <c r="S87" s="9" t="s">
        <v>40</v>
      </c>
      <c r="T87" s="9" t="s">
        <v>46</v>
      </c>
      <c r="U87" s="9" t="s">
        <v>276</v>
      </c>
      <c r="V87" s="9" t="s">
        <v>288</v>
      </c>
      <c r="W87" s="1" t="s">
        <v>31</v>
      </c>
      <c r="X87" s="1" t="s">
        <v>31</v>
      </c>
      <c r="Y87" s="3" t="s">
        <v>31</v>
      </c>
      <c r="Z87" s="11" t="s">
        <v>31</v>
      </c>
      <c r="AA87" s="11" t="s">
        <v>31</v>
      </c>
      <c r="AB87" s="10">
        <v>0</v>
      </c>
      <c r="AC87" s="9" t="s">
        <v>41</v>
      </c>
      <c r="AD87" s="9" t="s">
        <v>63</v>
      </c>
    </row>
    <row r="88" spans="1:30" x14ac:dyDescent="0.25">
      <c r="A88" s="9" t="s">
        <v>546</v>
      </c>
      <c r="B88" s="10" t="s">
        <v>682</v>
      </c>
      <c r="C88" s="10">
        <v>2</v>
      </c>
      <c r="D88" s="10">
        <v>2010</v>
      </c>
      <c r="E88" s="9" t="s">
        <v>38</v>
      </c>
      <c r="F88" s="9" t="s">
        <v>54</v>
      </c>
      <c r="G88" s="1">
        <v>15.75</v>
      </c>
      <c r="H88" s="1">
        <v>1.1299999999999999</v>
      </c>
      <c r="I88" s="9" t="s">
        <v>39</v>
      </c>
      <c r="J88" s="1">
        <v>0</v>
      </c>
      <c r="K88" s="10">
        <v>24</v>
      </c>
      <c r="L88" s="3">
        <v>0</v>
      </c>
      <c r="M88" s="11">
        <v>4.3478260869565223E-2</v>
      </c>
      <c r="N88" t="s">
        <v>63</v>
      </c>
      <c r="O88" s="11">
        <v>0</v>
      </c>
      <c r="P88" s="11">
        <v>4.7619047619047623E-2</v>
      </c>
      <c r="Q88" s="11">
        <v>0</v>
      </c>
      <c r="R88" s="11">
        <v>4.3478260869565223E-2</v>
      </c>
      <c r="S88" s="9" t="s">
        <v>40</v>
      </c>
      <c r="T88" s="9" t="s">
        <v>50</v>
      </c>
      <c r="U88" s="9" t="s">
        <v>276</v>
      </c>
      <c r="V88" s="9" t="s">
        <v>376</v>
      </c>
      <c r="W88" s="1">
        <v>13.4</v>
      </c>
      <c r="X88" s="1">
        <v>15</v>
      </c>
      <c r="Y88" s="3">
        <f>W88/X88</f>
        <v>0.89333333333333331</v>
      </c>
      <c r="Z88" s="11">
        <v>0</v>
      </c>
      <c r="AA88" s="11" t="s">
        <v>31</v>
      </c>
      <c r="AB88" s="10">
        <v>4</v>
      </c>
      <c r="AC88" s="9" t="s">
        <v>34</v>
      </c>
      <c r="AD88" s="9" t="s">
        <v>63</v>
      </c>
    </row>
    <row r="89" spans="1:30" x14ac:dyDescent="0.25">
      <c r="A89" s="9" t="s">
        <v>546</v>
      </c>
      <c r="B89" s="10" t="s">
        <v>683</v>
      </c>
      <c r="C89" s="10">
        <v>2</v>
      </c>
      <c r="D89" s="10">
        <v>2010</v>
      </c>
      <c r="E89" s="9" t="s">
        <v>38</v>
      </c>
      <c r="F89" s="9" t="s">
        <v>54</v>
      </c>
      <c r="G89" s="1">
        <v>15.75</v>
      </c>
      <c r="H89" s="1">
        <v>1.1299999999999999</v>
      </c>
      <c r="I89" s="9" t="s">
        <v>43</v>
      </c>
      <c r="J89" s="1">
        <v>1</v>
      </c>
      <c r="K89" s="10">
        <v>26</v>
      </c>
      <c r="L89" s="3">
        <v>0.47899999999999998</v>
      </c>
      <c r="M89" s="11">
        <v>2.375044689924E-2</v>
      </c>
      <c r="N89">
        <v>360</v>
      </c>
      <c r="O89" s="11">
        <v>0.52168571047871648</v>
      </c>
      <c r="P89" s="11">
        <v>4.3478260869565223E-2</v>
      </c>
      <c r="Q89" s="11">
        <v>0.4872727122327658</v>
      </c>
      <c r="R89" s="11">
        <v>2.3260233709296821E-2</v>
      </c>
      <c r="S89" s="9" t="s">
        <v>40</v>
      </c>
      <c r="T89" s="9" t="s">
        <v>50</v>
      </c>
      <c r="U89" s="9" t="s">
        <v>276</v>
      </c>
      <c r="V89" s="9" t="s">
        <v>376</v>
      </c>
      <c r="W89" s="1">
        <v>12.4</v>
      </c>
      <c r="X89" s="1">
        <v>15</v>
      </c>
      <c r="Y89" s="3">
        <f>W89/X89</f>
        <v>0.82666666666666666</v>
      </c>
      <c r="Z89" s="11">
        <v>0.55089363143727821</v>
      </c>
      <c r="AA89" s="11">
        <v>0.185021021956465</v>
      </c>
      <c r="AB89" s="10">
        <v>4</v>
      </c>
      <c r="AC89" s="9" t="s">
        <v>34</v>
      </c>
      <c r="AD89" s="9" t="s">
        <v>35</v>
      </c>
    </row>
    <row r="90" spans="1:30" x14ac:dyDescent="0.25">
      <c r="A90" s="9" t="s">
        <v>548</v>
      </c>
      <c r="B90" s="10" t="s">
        <v>684</v>
      </c>
      <c r="C90" s="10">
        <v>2</v>
      </c>
      <c r="D90" s="10">
        <v>2010</v>
      </c>
      <c r="E90" s="9" t="s">
        <v>38</v>
      </c>
      <c r="F90" s="9" t="s">
        <v>54</v>
      </c>
      <c r="G90" s="1">
        <v>11.8</v>
      </c>
      <c r="H90" s="1">
        <v>3.8</v>
      </c>
      <c r="I90" s="9" t="s">
        <v>30</v>
      </c>
      <c r="J90" s="1">
        <v>0.48</v>
      </c>
      <c r="K90" s="10">
        <v>649</v>
      </c>
      <c r="L90" s="3">
        <v>0.13</v>
      </c>
      <c r="M90" s="11">
        <v>1.4914901388888889E-3</v>
      </c>
      <c r="N90">
        <v>131</v>
      </c>
      <c r="O90" s="11">
        <v>0.13073985002887839</v>
      </c>
      <c r="P90" s="11">
        <v>1.5479876160990711E-3</v>
      </c>
      <c r="Q90" s="11">
        <v>0.13009910460206831</v>
      </c>
      <c r="R90" s="11">
        <v>1.491411925757951E-3</v>
      </c>
      <c r="S90" s="9" t="s">
        <v>40</v>
      </c>
      <c r="T90" s="9" t="s">
        <v>50</v>
      </c>
      <c r="U90" s="9" t="s">
        <v>276</v>
      </c>
      <c r="V90" s="9" t="s">
        <v>369</v>
      </c>
      <c r="W90" s="1" t="s">
        <v>31</v>
      </c>
      <c r="X90" s="1" t="s">
        <v>31</v>
      </c>
      <c r="Y90" s="3" t="s">
        <v>31</v>
      </c>
      <c r="Z90" s="11" t="s">
        <v>31</v>
      </c>
      <c r="AA90" s="11" t="s">
        <v>31</v>
      </c>
      <c r="AB90" s="10">
        <v>0</v>
      </c>
      <c r="AC90" s="9" t="s">
        <v>41</v>
      </c>
      <c r="AD90" s="9" t="s">
        <v>35</v>
      </c>
    </row>
    <row r="91" spans="1:30" x14ac:dyDescent="0.25">
      <c r="A91" s="9" t="s">
        <v>244</v>
      </c>
      <c r="B91" s="10" t="s">
        <v>685</v>
      </c>
      <c r="C91" s="10">
        <v>2</v>
      </c>
      <c r="D91" s="10">
        <v>2011</v>
      </c>
      <c r="E91" s="9" t="s">
        <v>38</v>
      </c>
      <c r="F91" s="9" t="s">
        <v>29</v>
      </c>
      <c r="G91" s="1">
        <v>21.1</v>
      </c>
      <c r="H91" s="1">
        <v>2.5499999999999998</v>
      </c>
      <c r="I91" s="9" t="s">
        <v>30</v>
      </c>
      <c r="J91" s="1">
        <v>0.36</v>
      </c>
      <c r="K91" s="10">
        <v>80</v>
      </c>
      <c r="L91" s="3">
        <v>0.23200000000000001</v>
      </c>
      <c r="M91" s="11">
        <v>1.1332266113620249E-2</v>
      </c>
      <c r="N91" t="s">
        <v>63</v>
      </c>
      <c r="O91" s="11">
        <v>0.2363022054728964</v>
      </c>
      <c r="P91" s="11">
        <v>1.298701298701299E-2</v>
      </c>
      <c r="Q91" s="11">
        <v>0.23344651601202221</v>
      </c>
      <c r="R91" s="11">
        <v>1.1316144321487051E-2</v>
      </c>
      <c r="S91" s="9" t="s">
        <v>40</v>
      </c>
      <c r="T91" s="9" t="s">
        <v>31</v>
      </c>
      <c r="U91" s="9" t="s">
        <v>276</v>
      </c>
      <c r="V91" s="9" t="s">
        <v>247</v>
      </c>
      <c r="W91" s="1" t="s">
        <v>31</v>
      </c>
      <c r="X91" s="1" t="s">
        <v>31</v>
      </c>
      <c r="Y91" s="3" t="s">
        <v>31</v>
      </c>
      <c r="Z91" s="11" t="s">
        <v>31</v>
      </c>
      <c r="AA91" s="11" t="s">
        <v>31</v>
      </c>
      <c r="AB91" s="10">
        <v>0</v>
      </c>
      <c r="AC91" s="9" t="s">
        <v>34</v>
      </c>
      <c r="AD91" s="9" t="s">
        <v>63</v>
      </c>
    </row>
    <row r="92" spans="1:30" x14ac:dyDescent="0.25">
      <c r="A92" s="9" t="s">
        <v>255</v>
      </c>
      <c r="B92" s="10" t="s">
        <v>686</v>
      </c>
      <c r="C92" s="10">
        <v>2</v>
      </c>
      <c r="D92" s="10">
        <v>2012</v>
      </c>
      <c r="E92" s="9" t="s">
        <v>38</v>
      </c>
      <c r="F92" s="9" t="s">
        <v>54</v>
      </c>
      <c r="G92" s="1">
        <v>15.1</v>
      </c>
      <c r="H92" s="1">
        <v>0.75</v>
      </c>
      <c r="I92" s="9" t="s">
        <v>43</v>
      </c>
      <c r="J92" s="1">
        <v>1</v>
      </c>
      <c r="K92" s="10">
        <v>30</v>
      </c>
      <c r="L92" s="3">
        <v>0.26</v>
      </c>
      <c r="M92" s="11">
        <v>2.9978267586206898E-2</v>
      </c>
      <c r="N92">
        <v>1060</v>
      </c>
      <c r="O92" s="11">
        <v>0.26610840687365411</v>
      </c>
      <c r="P92" s="11">
        <v>3.7037037037037042E-2</v>
      </c>
      <c r="Q92" s="11">
        <v>0.26467640258066222</v>
      </c>
      <c r="R92" s="11">
        <v>2.9820700359941329E-2</v>
      </c>
      <c r="S92" s="9" t="s">
        <v>40</v>
      </c>
      <c r="T92" s="9" t="s">
        <v>50</v>
      </c>
      <c r="U92" s="9" t="s">
        <v>276</v>
      </c>
      <c r="V92" s="9" t="s">
        <v>258</v>
      </c>
      <c r="W92" s="1">
        <v>8.26</v>
      </c>
      <c r="X92" s="1">
        <v>15</v>
      </c>
      <c r="Y92" s="3">
        <f>W92/X92</f>
        <v>0.55066666666666664</v>
      </c>
      <c r="Z92" s="11">
        <v>0.43926993131072989</v>
      </c>
      <c r="AA92" s="11">
        <v>0.26676858141939103</v>
      </c>
      <c r="AB92" s="10">
        <v>0</v>
      </c>
      <c r="AC92" s="9" t="s">
        <v>34</v>
      </c>
      <c r="AD92" s="9" t="s">
        <v>35</v>
      </c>
    </row>
    <row r="93" spans="1:30" x14ac:dyDescent="0.25">
      <c r="A93" s="9" t="s">
        <v>551</v>
      </c>
      <c r="B93" s="10" t="s">
        <v>687</v>
      </c>
      <c r="C93" s="10">
        <v>3</v>
      </c>
      <c r="D93" s="10">
        <v>2013</v>
      </c>
      <c r="E93" s="9" t="s">
        <v>38</v>
      </c>
      <c r="F93" s="9" t="s">
        <v>54</v>
      </c>
      <c r="G93" s="1">
        <v>14.9</v>
      </c>
      <c r="H93" s="1">
        <v>3.2</v>
      </c>
      <c r="I93" s="9" t="s">
        <v>30</v>
      </c>
      <c r="J93" s="1">
        <v>0.53</v>
      </c>
      <c r="K93" s="10">
        <v>36</v>
      </c>
      <c r="L93" s="3">
        <v>0.04</v>
      </c>
      <c r="M93" s="11">
        <v>2.8480073142857141E-2</v>
      </c>
      <c r="N93">
        <v>696</v>
      </c>
      <c r="O93" s="11">
        <v>4.0021353836768282E-2</v>
      </c>
      <c r="P93" s="11">
        <v>3.03030303030303E-2</v>
      </c>
      <c r="Q93" s="11">
        <v>4.0628721814924058E-2</v>
      </c>
      <c r="R93" s="11">
        <v>2.8477181106139181E-2</v>
      </c>
      <c r="S93" s="9" t="s">
        <v>40</v>
      </c>
      <c r="T93" s="9" t="s">
        <v>50</v>
      </c>
      <c r="U93" s="9" t="s">
        <v>276</v>
      </c>
      <c r="V93" s="9" t="s">
        <v>377</v>
      </c>
      <c r="W93" s="1">
        <v>12.5</v>
      </c>
      <c r="X93" s="1">
        <v>15</v>
      </c>
      <c r="Y93" s="3">
        <f>W93/X93</f>
        <v>0.83333333333333337</v>
      </c>
      <c r="Z93" s="11">
        <v>4.7983112915857509E-2</v>
      </c>
      <c r="AA93" s="11">
        <v>0.205488599571475</v>
      </c>
      <c r="AB93" s="10">
        <v>0</v>
      </c>
      <c r="AC93" s="9" t="s">
        <v>41</v>
      </c>
      <c r="AD93" s="9" t="s">
        <v>35</v>
      </c>
    </row>
    <row r="94" spans="1:30" x14ac:dyDescent="0.25">
      <c r="A94" s="9" t="s">
        <v>551</v>
      </c>
      <c r="B94" s="10" t="s">
        <v>688</v>
      </c>
      <c r="C94" s="10">
        <v>3</v>
      </c>
      <c r="D94" s="10">
        <v>2013</v>
      </c>
      <c r="E94" s="9" t="s">
        <v>28</v>
      </c>
      <c r="F94" s="9" t="s">
        <v>54</v>
      </c>
      <c r="G94" s="1">
        <v>14.6</v>
      </c>
      <c r="H94" s="1">
        <v>4.2</v>
      </c>
      <c r="I94" s="9" t="s">
        <v>30</v>
      </c>
      <c r="J94" s="1">
        <v>0.49</v>
      </c>
      <c r="K94" s="10">
        <v>108</v>
      </c>
      <c r="L94" s="3">
        <v>0.23</v>
      </c>
      <c r="M94" s="11">
        <v>8.3831627102803757E-3</v>
      </c>
      <c r="N94">
        <v>696</v>
      </c>
      <c r="O94" s="11">
        <v>0.2341894667593668</v>
      </c>
      <c r="P94" s="11">
        <v>9.5238095238095247E-3</v>
      </c>
      <c r="Q94" s="11">
        <v>0.23104855606280961</v>
      </c>
      <c r="R94" s="11">
        <v>8.3746067349775924E-3</v>
      </c>
      <c r="S94" s="9" t="s">
        <v>40</v>
      </c>
      <c r="T94" s="9" t="s">
        <v>50</v>
      </c>
      <c r="U94" s="9" t="s">
        <v>276</v>
      </c>
      <c r="V94" s="9" t="s">
        <v>377</v>
      </c>
      <c r="W94" s="1">
        <v>17.600000000000001</v>
      </c>
      <c r="X94" s="1">
        <v>15</v>
      </c>
      <c r="Y94" s="3">
        <f>W94/X94</f>
        <v>1.1733333333333333</v>
      </c>
      <c r="Z94" s="11">
        <v>0.19745704090574051</v>
      </c>
      <c r="AA94" s="11">
        <v>8.2550116336474702E-2</v>
      </c>
      <c r="AB94" s="10">
        <v>0</v>
      </c>
      <c r="AC94" s="9" t="s">
        <v>41</v>
      </c>
      <c r="AD94" s="9" t="s">
        <v>35</v>
      </c>
    </row>
    <row r="95" spans="1:30" x14ac:dyDescent="0.25">
      <c r="A95" s="9" t="s">
        <v>552</v>
      </c>
      <c r="B95" s="10" t="s">
        <v>689</v>
      </c>
      <c r="C95" s="10">
        <v>3</v>
      </c>
      <c r="D95" s="10">
        <v>2014</v>
      </c>
      <c r="E95" s="9" t="s">
        <v>28</v>
      </c>
      <c r="F95" s="9" t="s">
        <v>29</v>
      </c>
      <c r="G95" s="1">
        <v>20.3</v>
      </c>
      <c r="H95" s="1">
        <v>0.99</v>
      </c>
      <c r="I95" s="9" t="s">
        <v>30</v>
      </c>
      <c r="J95" s="1">
        <v>0.41</v>
      </c>
      <c r="K95" s="10">
        <v>42</v>
      </c>
      <c r="L95" s="3">
        <v>0.437</v>
      </c>
      <c r="M95" s="11">
        <v>1.5964174608804879E-2</v>
      </c>
      <c r="N95">
        <v>584</v>
      </c>
      <c r="O95" s="11">
        <v>0.46851662896966739</v>
      </c>
      <c r="P95" s="11">
        <v>2.564102564102564E-2</v>
      </c>
      <c r="Q95" s="11">
        <v>0.44162738436325999</v>
      </c>
      <c r="R95" s="11">
        <v>1.5804123393899441E-2</v>
      </c>
      <c r="S95" s="9" t="s">
        <v>40</v>
      </c>
      <c r="T95" s="9" t="s">
        <v>46</v>
      </c>
      <c r="U95" s="9" t="s">
        <v>276</v>
      </c>
      <c r="V95" s="9" t="s">
        <v>378</v>
      </c>
      <c r="W95" s="1">
        <v>9.6199999999999992</v>
      </c>
      <c r="X95" s="1">
        <v>15</v>
      </c>
      <c r="Y95" s="3">
        <f>W95/X95</f>
        <v>0.64133333333333331</v>
      </c>
      <c r="Z95" s="11">
        <v>0.60384794712832679</v>
      </c>
      <c r="AA95" s="11">
        <v>0.15433295918808501</v>
      </c>
      <c r="AB95" s="10">
        <v>2</v>
      </c>
      <c r="AC95" s="9" t="s">
        <v>41</v>
      </c>
      <c r="AD95" s="9" t="s">
        <v>35</v>
      </c>
    </row>
    <row r="96" spans="1:30" x14ac:dyDescent="0.25">
      <c r="A96" s="9" t="s">
        <v>553</v>
      </c>
      <c r="B96" s="10" t="s">
        <v>690</v>
      </c>
      <c r="C96" s="10">
        <v>3</v>
      </c>
      <c r="D96" s="10">
        <v>2014</v>
      </c>
      <c r="E96" s="9" t="s">
        <v>28</v>
      </c>
      <c r="F96" s="9" t="s">
        <v>54</v>
      </c>
      <c r="G96" s="1">
        <v>10.17</v>
      </c>
      <c r="H96" s="1">
        <v>0.8</v>
      </c>
      <c r="I96" s="9" t="s">
        <v>30</v>
      </c>
      <c r="J96" s="1">
        <v>0.34799999999999998</v>
      </c>
      <c r="K96" s="10">
        <v>21</v>
      </c>
      <c r="L96" s="3">
        <v>0</v>
      </c>
      <c r="M96" s="11">
        <v>0.05</v>
      </c>
      <c r="N96">
        <v>575</v>
      </c>
      <c r="O96" s="11">
        <v>0</v>
      </c>
      <c r="P96" s="11">
        <v>5.5555555555555552E-2</v>
      </c>
      <c r="Q96" s="11">
        <v>0</v>
      </c>
      <c r="R96" s="11">
        <v>0.05</v>
      </c>
      <c r="S96" s="9" t="s">
        <v>40</v>
      </c>
      <c r="T96" s="9" t="s">
        <v>50</v>
      </c>
      <c r="U96" s="9" t="s">
        <v>276</v>
      </c>
      <c r="V96" s="9" t="s">
        <v>379</v>
      </c>
      <c r="W96" s="1" t="s">
        <v>31</v>
      </c>
      <c r="X96" s="1" t="s">
        <v>31</v>
      </c>
      <c r="Y96" s="3" t="s">
        <v>31</v>
      </c>
      <c r="Z96" s="11" t="s">
        <v>31</v>
      </c>
      <c r="AA96" s="11" t="s">
        <v>31</v>
      </c>
      <c r="AB96" s="10">
        <v>3</v>
      </c>
      <c r="AC96" s="9" t="s">
        <v>34</v>
      </c>
      <c r="AD96" s="9" t="s">
        <v>35</v>
      </c>
    </row>
    <row r="97" spans="1:30" x14ac:dyDescent="0.25">
      <c r="A97" s="9" t="s">
        <v>555</v>
      </c>
      <c r="B97" s="10" t="s">
        <v>691</v>
      </c>
      <c r="C97" s="10">
        <v>3</v>
      </c>
      <c r="D97" s="10">
        <v>2014</v>
      </c>
      <c r="E97" s="9" t="s">
        <v>38</v>
      </c>
      <c r="F97" s="9" t="s">
        <v>54</v>
      </c>
      <c r="G97" s="1">
        <v>11.6</v>
      </c>
      <c r="H97" s="1">
        <v>3.6</v>
      </c>
      <c r="I97" s="9" t="s">
        <v>43</v>
      </c>
      <c r="J97" s="1">
        <v>1</v>
      </c>
      <c r="K97" s="10">
        <v>142</v>
      </c>
      <c r="L97" s="3">
        <v>0.127</v>
      </c>
      <c r="M97" s="11">
        <v>6.8652634371702131E-3</v>
      </c>
      <c r="N97">
        <v>57</v>
      </c>
      <c r="O97" s="11">
        <v>0.1276894791000871</v>
      </c>
      <c r="P97" s="11">
        <v>7.1942446043165471E-3</v>
      </c>
      <c r="Q97" s="11">
        <v>0.127453419380891</v>
      </c>
      <c r="R97" s="11">
        <v>6.8636534146561999E-3</v>
      </c>
      <c r="S97" s="9" t="s">
        <v>40</v>
      </c>
      <c r="T97" s="9" t="s">
        <v>50</v>
      </c>
      <c r="U97" s="9" t="s">
        <v>276</v>
      </c>
      <c r="V97" s="9" t="s">
        <v>369</v>
      </c>
      <c r="W97" s="1">
        <v>13.77</v>
      </c>
      <c r="X97" s="1">
        <v>15</v>
      </c>
      <c r="Y97" s="3">
        <f t="shared" ref="Y97:Y104" si="3">W97/X97</f>
        <v>0.91799999999999993</v>
      </c>
      <c r="Z97" s="11">
        <v>0.1381364787627809</v>
      </c>
      <c r="AA97" s="11">
        <v>9.08221535615822E-2</v>
      </c>
      <c r="AB97" s="10">
        <v>0</v>
      </c>
      <c r="AC97" s="9" t="s">
        <v>41</v>
      </c>
      <c r="AD97" s="9" t="s">
        <v>35</v>
      </c>
    </row>
    <row r="98" spans="1:30" x14ac:dyDescent="0.25">
      <c r="A98" s="9" t="s">
        <v>555</v>
      </c>
      <c r="B98" s="10" t="s">
        <v>692</v>
      </c>
      <c r="C98" s="10">
        <v>3</v>
      </c>
      <c r="D98" s="10">
        <v>2014</v>
      </c>
      <c r="E98" s="9" t="s">
        <v>38</v>
      </c>
      <c r="F98" s="9" t="s">
        <v>54</v>
      </c>
      <c r="G98" s="1">
        <v>11.3</v>
      </c>
      <c r="H98" s="1">
        <v>3.5</v>
      </c>
      <c r="I98" s="9" t="s">
        <v>39</v>
      </c>
      <c r="J98" s="1">
        <v>0</v>
      </c>
      <c r="K98" s="10">
        <v>161</v>
      </c>
      <c r="L98" s="3">
        <v>0.17599999999999999</v>
      </c>
      <c r="M98" s="11">
        <v>5.8687969536000001E-3</v>
      </c>
      <c r="N98">
        <v>57</v>
      </c>
      <c r="O98" s="11">
        <v>0.17785179927455019</v>
      </c>
      <c r="P98" s="11">
        <v>6.3291139240506328E-3</v>
      </c>
      <c r="Q98" s="11">
        <v>0.1765437647908224</v>
      </c>
      <c r="R98" s="11">
        <v>5.8664751487844816E-3</v>
      </c>
      <c r="S98" s="9" t="s">
        <v>40</v>
      </c>
      <c r="T98" s="9" t="s">
        <v>50</v>
      </c>
      <c r="U98" s="9" t="s">
        <v>276</v>
      </c>
      <c r="V98" s="9" t="s">
        <v>369</v>
      </c>
      <c r="W98" s="1">
        <v>12.98</v>
      </c>
      <c r="X98" s="1">
        <v>15</v>
      </c>
      <c r="Y98" s="3">
        <f t="shared" si="3"/>
        <v>0.8653333333333334</v>
      </c>
      <c r="Z98" s="11">
        <v>0.20234124082551611</v>
      </c>
      <c r="AA98" s="11">
        <v>8.86911388956034E-2</v>
      </c>
      <c r="AB98" s="10">
        <v>0</v>
      </c>
      <c r="AC98" s="9" t="s">
        <v>41</v>
      </c>
      <c r="AD98" s="9" t="s">
        <v>35</v>
      </c>
    </row>
    <row r="99" spans="1:30" x14ac:dyDescent="0.25">
      <c r="A99" s="9" t="s">
        <v>559</v>
      </c>
      <c r="B99" s="10" t="s">
        <v>693</v>
      </c>
      <c r="C99" s="10">
        <v>3</v>
      </c>
      <c r="D99" s="10">
        <v>2015</v>
      </c>
      <c r="E99" s="9" t="s">
        <v>38</v>
      </c>
      <c r="F99" s="9" t="s">
        <v>29</v>
      </c>
      <c r="G99" s="1">
        <v>26.2</v>
      </c>
      <c r="H99" s="1">
        <v>5</v>
      </c>
      <c r="I99" s="9" t="s">
        <v>30</v>
      </c>
      <c r="J99" s="1">
        <v>0.51</v>
      </c>
      <c r="K99" s="10">
        <v>285</v>
      </c>
      <c r="L99" s="3">
        <v>0.18</v>
      </c>
      <c r="M99" s="11">
        <v>3.296654084507042E-3</v>
      </c>
      <c r="N99">
        <v>1415</v>
      </c>
      <c r="O99" s="11">
        <v>0.18198268860070571</v>
      </c>
      <c r="P99" s="11">
        <v>3.5460992907801422E-3</v>
      </c>
      <c r="Q99" s="11">
        <v>0.18031010166773381</v>
      </c>
      <c r="R99" s="11">
        <v>3.2958927719733229E-3</v>
      </c>
      <c r="S99" s="9" t="s">
        <v>40</v>
      </c>
      <c r="T99" s="9" t="s">
        <v>50</v>
      </c>
      <c r="U99" s="9" t="s">
        <v>276</v>
      </c>
      <c r="V99" s="9" t="s">
        <v>380</v>
      </c>
      <c r="W99" s="1">
        <v>17.079999999999998</v>
      </c>
      <c r="X99" s="1">
        <v>15</v>
      </c>
      <c r="Y99" s="3">
        <f t="shared" si="3"/>
        <v>1.1386666666666665</v>
      </c>
      <c r="Z99" s="11">
        <v>0.15866865198368771</v>
      </c>
      <c r="AA99" s="11">
        <v>5.2031087524729298E-2</v>
      </c>
      <c r="AB99" s="10">
        <v>2</v>
      </c>
      <c r="AC99" s="9" t="s">
        <v>34</v>
      </c>
      <c r="AD99" s="9" t="s">
        <v>35</v>
      </c>
    </row>
    <row r="100" spans="1:30" x14ac:dyDescent="0.25">
      <c r="A100" s="9" t="s">
        <v>559</v>
      </c>
      <c r="B100" s="10" t="s">
        <v>694</v>
      </c>
      <c r="C100" s="10">
        <v>3</v>
      </c>
      <c r="D100" s="10">
        <v>2015</v>
      </c>
      <c r="E100" s="9" t="s">
        <v>38</v>
      </c>
      <c r="F100" s="9" t="s">
        <v>29</v>
      </c>
      <c r="G100" s="1">
        <v>23.5</v>
      </c>
      <c r="H100" s="1">
        <v>5.0999999999999996</v>
      </c>
      <c r="I100" s="9" t="s">
        <v>43</v>
      </c>
      <c r="J100" s="1">
        <v>1</v>
      </c>
      <c r="K100" s="10">
        <v>107</v>
      </c>
      <c r="L100" s="3">
        <v>0.1</v>
      </c>
      <c r="M100" s="11">
        <v>9.2462264150943389E-3</v>
      </c>
      <c r="N100">
        <v>1415</v>
      </c>
      <c r="O100" s="11">
        <v>0.10033534773107559</v>
      </c>
      <c r="P100" s="11">
        <v>9.6153846153846159E-3</v>
      </c>
      <c r="Q100" s="11">
        <v>0.1004816359300066</v>
      </c>
      <c r="R100" s="11">
        <v>9.2444228508350365E-3</v>
      </c>
      <c r="S100" s="9" t="s">
        <v>40</v>
      </c>
      <c r="T100" s="9" t="s">
        <v>50</v>
      </c>
      <c r="U100" s="9" t="s">
        <v>276</v>
      </c>
      <c r="V100" s="9" t="s">
        <v>381</v>
      </c>
      <c r="W100" s="1">
        <v>12.05</v>
      </c>
      <c r="X100" s="1">
        <v>15</v>
      </c>
      <c r="Y100" s="3">
        <f t="shared" si="3"/>
        <v>0.80333333333333334</v>
      </c>
      <c r="Z100" s="11">
        <v>0.1241406813493426</v>
      </c>
      <c r="AA100" s="11">
        <v>0.119751194941133</v>
      </c>
      <c r="AB100" s="10">
        <v>2</v>
      </c>
      <c r="AC100" s="9" t="s">
        <v>34</v>
      </c>
      <c r="AD100" s="9" t="s">
        <v>35</v>
      </c>
    </row>
    <row r="101" spans="1:30" x14ac:dyDescent="0.25">
      <c r="A101" s="9" t="s">
        <v>559</v>
      </c>
      <c r="B101" s="10" t="s">
        <v>695</v>
      </c>
      <c r="C101" s="10">
        <v>3</v>
      </c>
      <c r="D101" s="10">
        <v>2015</v>
      </c>
      <c r="E101" s="9" t="s">
        <v>38</v>
      </c>
      <c r="F101" s="9" t="s">
        <v>29</v>
      </c>
      <c r="G101" s="1">
        <v>21.7</v>
      </c>
      <c r="H101" s="1">
        <v>2.9</v>
      </c>
      <c r="I101" s="9" t="s">
        <v>30</v>
      </c>
      <c r="J101" s="1">
        <v>0.54</v>
      </c>
      <c r="K101" s="10">
        <v>125</v>
      </c>
      <c r="L101" s="3">
        <v>0.04</v>
      </c>
      <c r="M101" s="11">
        <v>8.0387303225806436E-3</v>
      </c>
      <c r="N101">
        <v>1415</v>
      </c>
      <c r="O101" s="11">
        <v>4.0021353836768282E-2</v>
      </c>
      <c r="P101" s="11">
        <v>8.1967213114754103E-3</v>
      </c>
      <c r="Q101" s="11">
        <v>4.0165359331861453E-2</v>
      </c>
      <c r="R101" s="11">
        <v>8.0385168581830462E-3</v>
      </c>
      <c r="S101" s="9" t="s">
        <v>40</v>
      </c>
      <c r="T101" s="9" t="s">
        <v>50</v>
      </c>
      <c r="U101" s="9" t="s">
        <v>276</v>
      </c>
      <c r="V101" s="9" t="s">
        <v>369</v>
      </c>
      <c r="W101" s="1">
        <v>13.19</v>
      </c>
      <c r="X101" s="1">
        <v>15</v>
      </c>
      <c r="Y101" s="3">
        <f t="shared" si="3"/>
        <v>0.8793333333333333</v>
      </c>
      <c r="Z101" s="11">
        <v>4.547833772570499E-2</v>
      </c>
      <c r="AA101" s="11">
        <v>0.102434566374247</v>
      </c>
      <c r="AB101" s="10">
        <v>2</v>
      </c>
      <c r="AC101" s="9" t="s">
        <v>34</v>
      </c>
      <c r="AD101" s="9" t="s">
        <v>35</v>
      </c>
    </row>
    <row r="102" spans="1:30" x14ac:dyDescent="0.25">
      <c r="A102" s="9" t="s">
        <v>560</v>
      </c>
      <c r="B102" s="10" t="s">
        <v>696</v>
      </c>
      <c r="C102" s="10">
        <v>3</v>
      </c>
      <c r="D102" s="10">
        <v>2015</v>
      </c>
      <c r="E102" s="9" t="s">
        <v>38</v>
      </c>
      <c r="F102" s="9" t="s">
        <v>54</v>
      </c>
      <c r="G102" s="1">
        <v>17</v>
      </c>
      <c r="H102" s="1" t="s">
        <v>31</v>
      </c>
      <c r="I102" s="9" t="s">
        <v>30</v>
      </c>
      <c r="J102" s="1">
        <v>0.83</v>
      </c>
      <c r="K102" s="10">
        <v>297</v>
      </c>
      <c r="L102" s="3">
        <v>0.22</v>
      </c>
      <c r="M102" s="11">
        <v>3.0592654054054048E-3</v>
      </c>
      <c r="N102">
        <v>131</v>
      </c>
      <c r="O102" s="11">
        <v>0.22365610902183239</v>
      </c>
      <c r="P102" s="11">
        <v>3.4013605442176869E-3</v>
      </c>
      <c r="Q102" s="11">
        <v>0.22035742652394971</v>
      </c>
      <c r="R102" s="11">
        <v>3.058253479060379E-3</v>
      </c>
      <c r="S102" s="9" t="s">
        <v>40</v>
      </c>
      <c r="T102" s="9" t="s">
        <v>50</v>
      </c>
      <c r="U102" s="9" t="s">
        <v>276</v>
      </c>
      <c r="V102" s="9" t="s">
        <v>289</v>
      </c>
      <c r="W102" s="1">
        <v>13</v>
      </c>
      <c r="X102" s="1">
        <v>15</v>
      </c>
      <c r="Y102" s="3">
        <f t="shared" si="3"/>
        <v>0.8666666666666667</v>
      </c>
      <c r="Z102" s="11">
        <v>0.25183474007671608</v>
      </c>
      <c r="AA102" s="11">
        <v>5.8611824194348398E-2</v>
      </c>
      <c r="AB102" s="10">
        <v>0</v>
      </c>
      <c r="AC102" s="9" t="s">
        <v>41</v>
      </c>
      <c r="AD102" s="9" t="s">
        <v>35</v>
      </c>
    </row>
    <row r="103" spans="1:30" x14ac:dyDescent="0.25">
      <c r="A103" s="9" t="s">
        <v>560</v>
      </c>
      <c r="B103" s="10" t="s">
        <v>697</v>
      </c>
      <c r="C103" s="10">
        <v>3</v>
      </c>
      <c r="D103" s="10">
        <v>2015</v>
      </c>
      <c r="E103" s="9" t="s">
        <v>28</v>
      </c>
      <c r="F103" s="9" t="s">
        <v>54</v>
      </c>
      <c r="G103" s="1">
        <v>16.600000000000001</v>
      </c>
      <c r="H103" s="1" t="s">
        <v>31</v>
      </c>
      <c r="I103" s="9" t="s">
        <v>30</v>
      </c>
      <c r="J103" s="1">
        <v>0.88</v>
      </c>
      <c r="K103" s="10">
        <v>241</v>
      </c>
      <c r="L103" s="3">
        <v>0.08</v>
      </c>
      <c r="M103" s="11">
        <v>4.1135040000000013E-3</v>
      </c>
      <c r="N103">
        <v>131</v>
      </c>
      <c r="O103" s="11">
        <v>8.0171325037589738E-2</v>
      </c>
      <c r="P103" s="11">
        <v>4.2016806722689074E-3</v>
      </c>
      <c r="Q103" s="11">
        <v>8.0167862433981649E-2</v>
      </c>
      <c r="R103" s="11">
        <v>4.1132813855472451E-3</v>
      </c>
      <c r="S103" s="9" t="s">
        <v>40</v>
      </c>
      <c r="T103" s="9" t="s">
        <v>50</v>
      </c>
      <c r="U103" s="9" t="s">
        <v>276</v>
      </c>
      <c r="V103" s="9" t="s">
        <v>289</v>
      </c>
      <c r="W103" s="1">
        <v>18</v>
      </c>
      <c r="X103" s="1">
        <v>15</v>
      </c>
      <c r="Y103" s="3">
        <f t="shared" si="3"/>
        <v>1.2</v>
      </c>
      <c r="Z103" s="11">
        <v>6.6731947612857834E-2</v>
      </c>
      <c r="AA103" s="11">
        <v>4.6843579642418302E-2</v>
      </c>
      <c r="AB103" s="10">
        <v>0</v>
      </c>
      <c r="AC103" s="9" t="s">
        <v>41</v>
      </c>
      <c r="AD103" s="9" t="s">
        <v>35</v>
      </c>
    </row>
    <row r="104" spans="1:30" x14ac:dyDescent="0.25">
      <c r="A104" s="9" t="s">
        <v>563</v>
      </c>
      <c r="B104" s="10" t="s">
        <v>698</v>
      </c>
      <c r="C104" s="10">
        <v>3</v>
      </c>
      <c r="D104" s="10">
        <v>2016</v>
      </c>
      <c r="E104" s="9" t="s">
        <v>28</v>
      </c>
      <c r="F104" s="9" t="s">
        <v>29</v>
      </c>
      <c r="G104" s="1">
        <v>25.1</v>
      </c>
      <c r="H104" s="1">
        <v>12.05</v>
      </c>
      <c r="I104" s="9" t="s">
        <v>62</v>
      </c>
      <c r="J104" s="1">
        <v>0.67</v>
      </c>
      <c r="K104" s="10">
        <v>30</v>
      </c>
      <c r="L104" s="3">
        <v>0.71099999999999997</v>
      </c>
      <c r="M104" s="11">
        <v>8.4313614290000005E-3</v>
      </c>
      <c r="N104">
        <v>90</v>
      </c>
      <c r="O104" s="11">
        <v>0.88920329288988054</v>
      </c>
      <c r="P104" s="11">
        <v>3.7037037037037042E-2</v>
      </c>
      <c r="Q104" s="11">
        <v>0.71752744483183806</v>
      </c>
      <c r="R104" s="11">
        <v>8.1163709918805477E-3</v>
      </c>
      <c r="S104" s="9" t="s">
        <v>40</v>
      </c>
      <c r="T104" s="9" t="s">
        <v>46</v>
      </c>
      <c r="U104" s="9" t="s">
        <v>276</v>
      </c>
      <c r="V104" s="9" t="s">
        <v>382</v>
      </c>
      <c r="W104" s="1">
        <v>19.34</v>
      </c>
      <c r="X104" s="1">
        <v>15</v>
      </c>
      <c r="Y104" s="3">
        <f t="shared" si="3"/>
        <v>1.2893333333333332</v>
      </c>
      <c r="Z104" s="11">
        <v>0.61708771699631226</v>
      </c>
      <c r="AA104" s="11">
        <v>0.14443465731531599</v>
      </c>
      <c r="AB104" s="10">
        <v>2</v>
      </c>
      <c r="AC104" s="9" t="s">
        <v>41</v>
      </c>
      <c r="AD104" s="9" t="s">
        <v>35</v>
      </c>
    </row>
    <row r="105" spans="1:30" x14ac:dyDescent="0.25">
      <c r="A105" s="9" t="s">
        <v>566</v>
      </c>
      <c r="B105" s="10" t="s">
        <v>699</v>
      </c>
      <c r="C105" s="10">
        <v>3</v>
      </c>
      <c r="D105" s="10">
        <v>2016</v>
      </c>
      <c r="E105" s="9" t="s">
        <v>28</v>
      </c>
      <c r="F105" s="9" t="s">
        <v>54</v>
      </c>
      <c r="G105" s="1">
        <v>7.5</v>
      </c>
      <c r="H105" s="1">
        <v>0.2</v>
      </c>
      <c r="I105" s="9" t="s">
        <v>30</v>
      </c>
      <c r="J105" s="1">
        <v>0.5</v>
      </c>
      <c r="K105" s="10">
        <v>134</v>
      </c>
      <c r="L105" s="3">
        <v>0.11</v>
      </c>
      <c r="M105" s="11">
        <v>7.3379429323308272E-3</v>
      </c>
      <c r="N105" t="s">
        <v>267</v>
      </c>
      <c r="O105" s="11">
        <v>0.1104469157900972</v>
      </c>
      <c r="P105" s="11">
        <v>7.6335877862595417E-3</v>
      </c>
      <c r="Q105" s="11">
        <v>0.110418669261721</v>
      </c>
      <c r="R105" s="11">
        <v>7.3365720805265112E-3</v>
      </c>
      <c r="S105" s="9" t="s">
        <v>40</v>
      </c>
      <c r="T105" s="9" t="s">
        <v>46</v>
      </c>
      <c r="U105" s="9" t="s">
        <v>276</v>
      </c>
      <c r="V105" s="9" t="s">
        <v>369</v>
      </c>
      <c r="W105" s="1" t="s">
        <v>31</v>
      </c>
      <c r="X105" s="1" t="s">
        <v>31</v>
      </c>
      <c r="Y105" s="3" t="s">
        <v>31</v>
      </c>
      <c r="Z105" s="11" t="s">
        <v>31</v>
      </c>
      <c r="AA105" s="11" t="s">
        <v>31</v>
      </c>
      <c r="AB105" s="10">
        <v>2</v>
      </c>
      <c r="AC105" s="9" t="s">
        <v>41</v>
      </c>
      <c r="AD105" s="9" t="s">
        <v>35</v>
      </c>
    </row>
    <row r="106" spans="1:30" x14ac:dyDescent="0.25">
      <c r="A106" s="9" t="s">
        <v>567</v>
      </c>
      <c r="B106" s="10" t="s">
        <v>700</v>
      </c>
      <c r="C106" s="10">
        <v>3</v>
      </c>
      <c r="D106" s="10">
        <v>2016</v>
      </c>
      <c r="E106" s="9" t="s">
        <v>38</v>
      </c>
      <c r="F106" s="9" t="s">
        <v>29</v>
      </c>
      <c r="G106" s="1">
        <v>21.15</v>
      </c>
      <c r="H106" s="1">
        <v>2.57</v>
      </c>
      <c r="I106" s="9" t="s">
        <v>30</v>
      </c>
      <c r="J106" s="1">
        <v>0.34</v>
      </c>
      <c r="K106" s="10">
        <v>71</v>
      </c>
      <c r="L106" s="3">
        <v>0.13300000000000001</v>
      </c>
      <c r="M106" s="11">
        <v>1.3784784296014291E-2</v>
      </c>
      <c r="N106">
        <v>2612</v>
      </c>
      <c r="O106" s="11">
        <v>0.13379264212373229</v>
      </c>
      <c r="P106" s="11">
        <v>1.470588235294118E-2</v>
      </c>
      <c r="Q106" s="11">
        <v>0.1339779916669698</v>
      </c>
      <c r="R106" s="11">
        <v>1.3777457166694229E-2</v>
      </c>
      <c r="S106" s="9" t="s">
        <v>40</v>
      </c>
      <c r="T106" s="9" t="s">
        <v>46</v>
      </c>
      <c r="U106" s="9" t="s">
        <v>276</v>
      </c>
      <c r="V106" s="9" t="s">
        <v>303</v>
      </c>
      <c r="W106" s="1" t="s">
        <v>31</v>
      </c>
      <c r="X106" s="1" t="s">
        <v>31</v>
      </c>
      <c r="Y106" s="3" t="s">
        <v>31</v>
      </c>
      <c r="Z106" s="11" t="s">
        <v>31</v>
      </c>
      <c r="AA106" s="11" t="s">
        <v>31</v>
      </c>
      <c r="AB106" s="10">
        <v>0</v>
      </c>
      <c r="AC106" s="9" t="s">
        <v>34</v>
      </c>
      <c r="AD106" s="9" t="s">
        <v>35</v>
      </c>
    </row>
    <row r="107" spans="1:30" x14ac:dyDescent="0.25">
      <c r="A107" s="9" t="s">
        <v>909</v>
      </c>
      <c r="B107" s="10" t="s">
        <v>701</v>
      </c>
      <c r="C107" s="10">
        <v>3</v>
      </c>
      <c r="D107" s="10">
        <v>2016</v>
      </c>
      <c r="E107" s="9" t="s">
        <v>38</v>
      </c>
      <c r="F107" s="9" t="s">
        <v>29</v>
      </c>
      <c r="G107" s="1">
        <v>24.57</v>
      </c>
      <c r="H107" s="1" t="s">
        <v>31</v>
      </c>
      <c r="I107" s="9" t="s">
        <v>39</v>
      </c>
      <c r="J107" s="1">
        <v>0</v>
      </c>
      <c r="K107" s="10">
        <v>90</v>
      </c>
      <c r="L107" s="3">
        <v>0.251</v>
      </c>
      <c r="M107" s="11">
        <v>9.8647991685505629E-3</v>
      </c>
      <c r="N107">
        <v>208</v>
      </c>
      <c r="O107" s="11">
        <v>0.2564797634748458</v>
      </c>
      <c r="P107" s="11">
        <v>1.149425287356322E-2</v>
      </c>
      <c r="Q107" s="11">
        <v>0.25236900745226221</v>
      </c>
      <c r="R107" s="11">
        <v>9.8502943710262227E-3</v>
      </c>
      <c r="S107" s="9" t="s">
        <v>40</v>
      </c>
      <c r="T107" s="9" t="s">
        <v>50</v>
      </c>
      <c r="U107" s="9" t="s">
        <v>276</v>
      </c>
      <c r="V107" s="9" t="s">
        <v>302</v>
      </c>
      <c r="W107" s="1" t="s">
        <v>31</v>
      </c>
      <c r="X107" s="1" t="s">
        <v>31</v>
      </c>
      <c r="Y107" s="3" t="s">
        <v>31</v>
      </c>
      <c r="Z107" s="11" t="s">
        <v>31</v>
      </c>
      <c r="AA107" s="11" t="s">
        <v>31</v>
      </c>
      <c r="AB107" s="10">
        <v>0</v>
      </c>
      <c r="AC107" s="9" t="s">
        <v>41</v>
      </c>
      <c r="AD107" s="9" t="s">
        <v>35</v>
      </c>
    </row>
    <row r="108" spans="1:30" x14ac:dyDescent="0.25">
      <c r="A108" s="9" t="s">
        <v>909</v>
      </c>
      <c r="B108" s="10" t="s">
        <v>702</v>
      </c>
      <c r="C108" s="10">
        <v>3</v>
      </c>
      <c r="D108" s="10">
        <v>2016</v>
      </c>
      <c r="E108" s="9" t="s">
        <v>38</v>
      </c>
      <c r="F108" s="9" t="s">
        <v>29</v>
      </c>
      <c r="G108" s="1">
        <v>24.07</v>
      </c>
      <c r="H108" s="1" t="s">
        <v>31</v>
      </c>
      <c r="I108" s="9" t="s">
        <v>43</v>
      </c>
      <c r="J108" s="1">
        <v>1</v>
      </c>
      <c r="K108" s="10">
        <v>121</v>
      </c>
      <c r="L108" s="3">
        <v>0.17799999999999999</v>
      </c>
      <c r="M108" s="11">
        <v>7.8136322987999995E-3</v>
      </c>
      <c r="N108">
        <v>208</v>
      </c>
      <c r="O108" s="11">
        <v>0.17991648457767601</v>
      </c>
      <c r="P108" s="11">
        <v>8.4745762711864406E-3</v>
      </c>
      <c r="Q108" s="11">
        <v>0.178737692015179</v>
      </c>
      <c r="R108" s="11">
        <v>7.8093858008414403E-3</v>
      </c>
      <c r="S108" s="9" t="s">
        <v>40</v>
      </c>
      <c r="T108" s="9" t="s">
        <v>50</v>
      </c>
      <c r="U108" s="9" t="s">
        <v>276</v>
      </c>
      <c r="V108" s="9" t="s">
        <v>302</v>
      </c>
      <c r="W108" s="1" t="s">
        <v>31</v>
      </c>
      <c r="X108" s="1" t="s">
        <v>31</v>
      </c>
      <c r="Y108" s="3" t="s">
        <v>31</v>
      </c>
      <c r="Z108" s="11" t="s">
        <v>31</v>
      </c>
      <c r="AA108" s="11" t="s">
        <v>31</v>
      </c>
      <c r="AB108" s="10">
        <v>0</v>
      </c>
      <c r="AC108" s="9" t="s">
        <v>41</v>
      </c>
      <c r="AD108" s="9" t="s">
        <v>35</v>
      </c>
    </row>
    <row r="109" spans="1:30" x14ac:dyDescent="0.25">
      <c r="A109" s="9" t="s">
        <v>855</v>
      </c>
      <c r="B109" s="10" t="s">
        <v>703</v>
      </c>
      <c r="C109" s="10">
        <v>3</v>
      </c>
      <c r="D109" s="10">
        <v>2017</v>
      </c>
      <c r="E109" s="9" t="s">
        <v>38</v>
      </c>
      <c r="F109" s="9" t="s">
        <v>29</v>
      </c>
      <c r="G109" s="1">
        <v>19.600000000000001</v>
      </c>
      <c r="H109" s="1">
        <v>1.4</v>
      </c>
      <c r="I109" s="9" t="s">
        <v>39</v>
      </c>
      <c r="J109" s="1">
        <v>0</v>
      </c>
      <c r="K109" s="10">
        <v>40</v>
      </c>
      <c r="L109" s="3">
        <v>0.28100000000000003</v>
      </c>
      <c r="M109" s="11">
        <v>2.1751611269769228E-2</v>
      </c>
      <c r="N109">
        <v>239</v>
      </c>
      <c r="O109" s="11">
        <v>0.28876747208784392</v>
      </c>
      <c r="P109" s="11">
        <v>2.7027027027027029E-2</v>
      </c>
      <c r="Q109" s="11">
        <v>0.28460045734318212</v>
      </c>
      <c r="R109" s="11">
        <v>2.1655531832271532E-2</v>
      </c>
      <c r="S109" s="9" t="s">
        <v>40</v>
      </c>
      <c r="T109" s="9" t="s">
        <v>50</v>
      </c>
      <c r="U109" s="9" t="s">
        <v>276</v>
      </c>
      <c r="V109" s="9" t="s">
        <v>304</v>
      </c>
      <c r="W109" s="1" t="s">
        <v>31</v>
      </c>
      <c r="X109" s="1" t="s">
        <v>31</v>
      </c>
      <c r="Y109" s="3" t="s">
        <v>31</v>
      </c>
      <c r="Z109" s="11" t="s">
        <v>31</v>
      </c>
      <c r="AA109" s="11" t="s">
        <v>31</v>
      </c>
      <c r="AB109" s="10">
        <v>0</v>
      </c>
      <c r="AC109" s="9" t="s">
        <v>41</v>
      </c>
      <c r="AD109" s="9" t="s">
        <v>35</v>
      </c>
    </row>
    <row r="110" spans="1:30" x14ac:dyDescent="0.25">
      <c r="A110" s="9" t="s">
        <v>855</v>
      </c>
      <c r="B110" s="10" t="s">
        <v>704</v>
      </c>
      <c r="C110" s="10">
        <v>3</v>
      </c>
      <c r="D110" s="10">
        <v>2017</v>
      </c>
      <c r="E110" s="9" t="s">
        <v>38</v>
      </c>
      <c r="F110" s="9" t="s">
        <v>29</v>
      </c>
      <c r="G110" s="1">
        <v>20.2</v>
      </c>
      <c r="H110" s="1">
        <v>2</v>
      </c>
      <c r="I110" s="9" t="s">
        <v>43</v>
      </c>
      <c r="J110" s="1">
        <v>1</v>
      </c>
      <c r="K110" s="10">
        <v>40</v>
      </c>
      <c r="L110" s="3">
        <v>-0.04</v>
      </c>
      <c r="M110" s="11">
        <v>2.5559040000000002E-2</v>
      </c>
      <c r="N110">
        <v>239</v>
      </c>
      <c r="O110" s="11">
        <v>-4.0021353836768248E-2</v>
      </c>
      <c r="P110" s="11">
        <v>2.7027027027027029E-2</v>
      </c>
      <c r="Q110" s="11">
        <v>-4.0558404896011598E-2</v>
      </c>
      <c r="R110" s="11">
        <v>2.5556736860451949E-2</v>
      </c>
      <c r="S110" s="9" t="s">
        <v>40</v>
      </c>
      <c r="T110" s="9" t="s">
        <v>50</v>
      </c>
      <c r="U110" s="9" t="s">
        <v>276</v>
      </c>
      <c r="V110" s="9" t="s">
        <v>304</v>
      </c>
      <c r="W110" s="1" t="s">
        <v>31</v>
      </c>
      <c r="X110" s="1" t="s">
        <v>31</v>
      </c>
      <c r="Y110" s="3" t="s">
        <v>31</v>
      </c>
      <c r="Z110" s="11" t="s">
        <v>31</v>
      </c>
      <c r="AA110" s="11" t="s">
        <v>31</v>
      </c>
      <c r="AB110" s="10">
        <v>0</v>
      </c>
      <c r="AC110" s="9" t="s">
        <v>41</v>
      </c>
      <c r="AD110" s="9" t="s">
        <v>35</v>
      </c>
    </row>
    <row r="111" spans="1:30" x14ac:dyDescent="0.25">
      <c r="A111" s="9" t="s">
        <v>843</v>
      </c>
      <c r="B111" s="10" t="s">
        <v>705</v>
      </c>
      <c r="C111" s="10">
        <v>3</v>
      </c>
      <c r="D111" s="10">
        <v>2018</v>
      </c>
      <c r="E111" s="9" t="s">
        <v>38</v>
      </c>
      <c r="F111" s="9" t="s">
        <v>29</v>
      </c>
      <c r="G111" s="1">
        <v>24.91</v>
      </c>
      <c r="H111" s="1">
        <v>5.61</v>
      </c>
      <c r="I111" s="9" t="s">
        <v>30</v>
      </c>
      <c r="J111" s="1">
        <v>0.59</v>
      </c>
      <c r="K111" s="10">
        <v>56</v>
      </c>
      <c r="L111" s="3">
        <v>0.29599999999999999</v>
      </c>
      <c r="M111" s="11">
        <v>1.51353556992E-2</v>
      </c>
      <c r="N111" t="s">
        <v>63</v>
      </c>
      <c r="O111" s="11">
        <v>0.30512976037708878</v>
      </c>
      <c r="P111" s="11">
        <v>1.886792452830189E-2</v>
      </c>
      <c r="Q111" s="11">
        <v>0.29859892225861628</v>
      </c>
      <c r="R111" s="11">
        <v>1.508412922890057E-2</v>
      </c>
      <c r="S111" s="9" t="s">
        <v>40</v>
      </c>
      <c r="T111" s="9" t="s">
        <v>50</v>
      </c>
      <c r="U111" s="9" t="s">
        <v>276</v>
      </c>
      <c r="V111" s="9" t="s">
        <v>845</v>
      </c>
      <c r="W111" s="1" t="s">
        <v>31</v>
      </c>
      <c r="X111" s="1" t="s">
        <v>31</v>
      </c>
      <c r="Y111" s="3" t="s">
        <v>31</v>
      </c>
      <c r="Z111" s="11" t="s">
        <v>31</v>
      </c>
      <c r="AA111" s="11" t="s">
        <v>31</v>
      </c>
      <c r="AB111" s="10">
        <v>0</v>
      </c>
      <c r="AC111" s="9" t="s">
        <v>34</v>
      </c>
      <c r="AD111" s="9" t="s">
        <v>63</v>
      </c>
    </row>
    <row r="112" spans="1:30" x14ac:dyDescent="0.25">
      <c r="A112" s="9" t="s">
        <v>843</v>
      </c>
      <c r="B112" s="10" t="s">
        <v>706</v>
      </c>
      <c r="C112" s="10">
        <v>3</v>
      </c>
      <c r="D112" s="10">
        <v>2018</v>
      </c>
      <c r="E112" s="9" t="s">
        <v>28</v>
      </c>
      <c r="F112" s="9" t="s">
        <v>29</v>
      </c>
      <c r="G112" s="1">
        <v>24.69</v>
      </c>
      <c r="H112" s="1">
        <v>5.93</v>
      </c>
      <c r="I112" s="9" t="s">
        <v>30</v>
      </c>
      <c r="J112" s="1">
        <v>0.57399999999999995</v>
      </c>
      <c r="K112" s="10">
        <v>54</v>
      </c>
      <c r="L112" s="3">
        <v>9.4E-2</v>
      </c>
      <c r="M112" s="11">
        <v>1.853596367728302E-2</v>
      </c>
      <c r="N112" t="s">
        <v>63</v>
      </c>
      <c r="O112" s="11">
        <v>9.4278338469473574E-2</v>
      </c>
      <c r="P112" s="11">
        <v>1.9607843137254902E-2</v>
      </c>
      <c r="Q112" s="11">
        <v>9.4935917349492471E-2</v>
      </c>
      <c r="R112" s="11">
        <v>1.8529350457921558E-2</v>
      </c>
      <c r="S112" s="9" t="s">
        <v>40</v>
      </c>
      <c r="T112" s="9" t="s">
        <v>50</v>
      </c>
      <c r="U112" s="9" t="s">
        <v>276</v>
      </c>
      <c r="V112" s="9" t="s">
        <v>845</v>
      </c>
      <c r="W112" s="1" t="s">
        <v>31</v>
      </c>
      <c r="X112" s="1" t="s">
        <v>31</v>
      </c>
      <c r="Y112" s="3" t="s">
        <v>31</v>
      </c>
      <c r="Z112" s="11" t="s">
        <v>31</v>
      </c>
      <c r="AA112" s="11" t="s">
        <v>31</v>
      </c>
      <c r="AB112" s="10">
        <v>0</v>
      </c>
      <c r="AC112" s="9" t="s">
        <v>34</v>
      </c>
      <c r="AD112" s="9" t="s">
        <v>63</v>
      </c>
    </row>
    <row r="113" spans="1:30" x14ac:dyDescent="0.25">
      <c r="A113" s="9" t="s">
        <v>859</v>
      </c>
      <c r="B113" s="10" t="s">
        <v>707</v>
      </c>
      <c r="C113" s="10">
        <v>3</v>
      </c>
      <c r="D113" s="10">
        <v>2018</v>
      </c>
      <c r="E113" s="9" t="s">
        <v>28</v>
      </c>
      <c r="F113" s="9" t="s">
        <v>29</v>
      </c>
      <c r="G113" s="1">
        <v>62.3</v>
      </c>
      <c r="H113" s="1">
        <v>5.5</v>
      </c>
      <c r="I113" s="9" t="s">
        <v>30</v>
      </c>
      <c r="J113" s="1">
        <v>0.33</v>
      </c>
      <c r="K113" s="10">
        <v>93</v>
      </c>
      <c r="L113" s="3">
        <v>0.02</v>
      </c>
      <c r="M113" s="11">
        <v>1.0860871304347829E-2</v>
      </c>
      <c r="N113">
        <v>1667</v>
      </c>
      <c r="O113" s="11">
        <v>2.00026673068496E-2</v>
      </c>
      <c r="P113" s="11">
        <v>1.111111111111111E-2</v>
      </c>
      <c r="Q113" s="11">
        <v>2.0112627146480041E-2</v>
      </c>
      <c r="R113" s="11">
        <v>1.086077313144739E-2</v>
      </c>
      <c r="S113" s="9" t="s">
        <v>40</v>
      </c>
      <c r="T113" s="9" t="s">
        <v>50</v>
      </c>
      <c r="U113" s="9" t="s">
        <v>276</v>
      </c>
      <c r="V113" s="9" t="s">
        <v>383</v>
      </c>
      <c r="W113" s="1">
        <v>0.72</v>
      </c>
      <c r="X113" s="1">
        <v>1</v>
      </c>
      <c r="Y113" s="3">
        <f>W113/X113</f>
        <v>0.72</v>
      </c>
      <c r="Z113" s="11">
        <v>2.777261803607416E-2</v>
      </c>
      <c r="AA113" s="11">
        <v>0.14548489238566939</v>
      </c>
      <c r="AB113" s="10">
        <v>0</v>
      </c>
      <c r="AC113" s="9" t="s">
        <v>41</v>
      </c>
      <c r="AD113" s="9" t="s">
        <v>35</v>
      </c>
    </row>
    <row r="114" spans="1:30" x14ac:dyDescent="0.25">
      <c r="A114" s="9" t="s">
        <v>578</v>
      </c>
      <c r="B114" s="10" t="s">
        <v>708</v>
      </c>
      <c r="C114" s="10">
        <v>3</v>
      </c>
      <c r="D114" s="10">
        <v>2019</v>
      </c>
      <c r="E114" s="9" t="s">
        <v>28</v>
      </c>
      <c r="F114" s="9" t="s">
        <v>29</v>
      </c>
      <c r="G114" s="1">
        <v>32.97</v>
      </c>
      <c r="H114" s="1">
        <v>11.12</v>
      </c>
      <c r="I114" s="9" t="s">
        <v>30</v>
      </c>
      <c r="J114" s="1">
        <v>0.42</v>
      </c>
      <c r="K114" s="10">
        <v>38</v>
      </c>
      <c r="L114" s="3">
        <v>0</v>
      </c>
      <c r="M114" s="11">
        <v>2.7027027027027029E-2</v>
      </c>
      <c r="N114">
        <v>3</v>
      </c>
      <c r="O114" s="11">
        <v>0</v>
      </c>
      <c r="P114" s="11">
        <v>2.8571428571428571E-2</v>
      </c>
      <c r="Q114" s="11">
        <v>0</v>
      </c>
      <c r="R114" s="11">
        <v>2.7027027027027029E-2</v>
      </c>
      <c r="S114" s="9" t="s">
        <v>40</v>
      </c>
      <c r="T114" s="9" t="s">
        <v>46</v>
      </c>
      <c r="U114" s="9" t="s">
        <v>276</v>
      </c>
      <c r="V114" s="9" t="s">
        <v>911</v>
      </c>
      <c r="W114" s="1">
        <v>12.88</v>
      </c>
      <c r="X114" s="1">
        <v>15</v>
      </c>
      <c r="Y114" s="3">
        <f>W114/X114</f>
        <v>0.85866666666666669</v>
      </c>
      <c r="Z114" s="11">
        <v>0</v>
      </c>
      <c r="AA114" s="11" t="s">
        <v>31</v>
      </c>
      <c r="AB114" s="10">
        <v>0</v>
      </c>
      <c r="AC114" s="9" t="s">
        <v>34</v>
      </c>
      <c r="AD114" s="9" t="s">
        <v>35</v>
      </c>
    </row>
    <row r="115" spans="1:30" x14ac:dyDescent="0.25">
      <c r="A115" s="9" t="s">
        <v>917</v>
      </c>
      <c r="B115" s="10" t="s">
        <v>709</v>
      </c>
      <c r="C115" s="10">
        <v>3</v>
      </c>
      <c r="D115" s="10">
        <v>2020</v>
      </c>
      <c r="E115" s="9" t="s">
        <v>28</v>
      </c>
      <c r="F115" s="9" t="s">
        <v>29</v>
      </c>
      <c r="G115" s="1">
        <v>69.015000000000001</v>
      </c>
      <c r="H115" s="1">
        <v>4.24</v>
      </c>
      <c r="I115" s="9" t="s">
        <v>43</v>
      </c>
      <c r="J115" s="1">
        <v>1</v>
      </c>
      <c r="K115" s="10">
        <v>49</v>
      </c>
      <c r="L115" s="3">
        <v>0.35099999999999998</v>
      </c>
      <c r="M115" s="11">
        <v>1.6016176800020831E-2</v>
      </c>
      <c r="N115">
        <v>136</v>
      </c>
      <c r="O115" s="11">
        <v>0.36658381062805429</v>
      </c>
      <c r="P115" s="11">
        <v>2.1739130434782612E-2</v>
      </c>
      <c r="Q115" s="11">
        <v>0.35441636634844881</v>
      </c>
      <c r="R115" s="11">
        <v>1.5928253999701131E-2</v>
      </c>
      <c r="S115" s="9" t="s">
        <v>40</v>
      </c>
      <c r="T115" s="9" t="s">
        <v>46</v>
      </c>
      <c r="U115" s="9" t="s">
        <v>276</v>
      </c>
      <c r="V115" s="9" t="s">
        <v>918</v>
      </c>
      <c r="W115" s="1">
        <v>9.19</v>
      </c>
      <c r="X115" s="1">
        <v>15</v>
      </c>
      <c r="Y115" s="3">
        <f>W115/X115</f>
        <v>0.61266666666666658</v>
      </c>
      <c r="Z115" s="11">
        <v>0.52189822911856987</v>
      </c>
      <c r="AA115" s="11" t="s">
        <v>31</v>
      </c>
      <c r="AB115" s="10">
        <v>0</v>
      </c>
      <c r="AC115" s="9" t="s">
        <v>34</v>
      </c>
      <c r="AD115" s="9" t="s">
        <v>263</v>
      </c>
    </row>
    <row r="116" spans="1:30" x14ac:dyDescent="0.25">
      <c r="A116" s="9" t="s">
        <v>940</v>
      </c>
      <c r="B116" s="10" t="s">
        <v>710</v>
      </c>
      <c r="C116" s="10">
        <v>3</v>
      </c>
      <c r="D116" s="10">
        <v>2020</v>
      </c>
      <c r="E116" s="9" t="s">
        <v>38</v>
      </c>
      <c r="F116" s="9" t="s">
        <v>29</v>
      </c>
      <c r="G116" s="1">
        <v>79.400000000000006</v>
      </c>
      <c r="H116" s="1">
        <v>0.6</v>
      </c>
      <c r="I116" s="9" t="s">
        <v>30</v>
      </c>
      <c r="J116" s="1">
        <v>0.53100000000000003</v>
      </c>
      <c r="K116" s="10">
        <v>358</v>
      </c>
      <c r="L116" s="3">
        <v>0.08</v>
      </c>
      <c r="M116" s="11">
        <v>2.7653808403361349E-3</v>
      </c>
      <c r="N116" t="s">
        <v>919</v>
      </c>
      <c r="O116" s="11">
        <v>8.0171325037589738E-2</v>
      </c>
      <c r="P116" s="11">
        <v>2.8169014084507039E-3</v>
      </c>
      <c r="Q116" s="11">
        <v>8.0112345764934381E-2</v>
      </c>
      <c r="R116" s="11">
        <v>2.7652807133930748E-3</v>
      </c>
      <c r="S116" s="9" t="s">
        <v>40</v>
      </c>
      <c r="T116" s="9" t="s">
        <v>50</v>
      </c>
      <c r="U116" s="9" t="s">
        <v>276</v>
      </c>
      <c r="V116" s="9" t="s">
        <v>920</v>
      </c>
      <c r="W116" s="1" t="s">
        <v>31</v>
      </c>
      <c r="X116" s="1" t="s">
        <v>31</v>
      </c>
      <c r="Y116" s="3" t="s">
        <v>31</v>
      </c>
      <c r="Z116" s="11" t="s">
        <v>31</v>
      </c>
      <c r="AA116" s="11" t="s">
        <v>31</v>
      </c>
      <c r="AB116" s="10">
        <v>1</v>
      </c>
      <c r="AC116" s="9" t="s">
        <v>34</v>
      </c>
      <c r="AD116" s="9" t="s">
        <v>35</v>
      </c>
    </row>
  </sheetData>
  <sortState xmlns:xlrd2="http://schemas.microsoft.com/office/spreadsheetml/2017/richdata2" ref="A2:AD114">
    <sortCondition ref="D1"/>
  </sortState>
  <phoneticPr fontId="2" type="noConversion"/>
  <pageMargins left="0.7" right="0.7" top="0.78740157499999996" bottom="0.78740157499999996"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2FA9-0F2B-4B46-B23E-DF26C52B411B}">
  <dimension ref="A1:AD83"/>
  <sheetViews>
    <sheetView topLeftCell="Q1" workbookViewId="0">
      <selection activeCell="AB1" sqref="AB1:AB1048576"/>
    </sheetView>
  </sheetViews>
  <sheetFormatPr baseColWidth="10" defaultRowHeight="15" x14ac:dyDescent="0.25"/>
  <cols>
    <col min="1" max="1" width="11.42578125" style="9"/>
    <col min="2" max="4" width="11.42578125" style="10"/>
    <col min="5" max="6" width="11.42578125" style="9"/>
    <col min="7" max="8" width="11.42578125" style="1"/>
    <col min="9" max="9" width="11.42578125" style="9"/>
    <col min="10" max="10" width="11.42578125" style="1"/>
    <col min="11" max="11" width="11.42578125" style="10"/>
    <col min="12" max="12" width="11.42578125" style="3"/>
    <col min="13" max="13" width="11.42578125" style="11"/>
    <col min="15" max="18" width="11.42578125" style="11"/>
    <col min="19" max="22" width="11.42578125" style="9"/>
    <col min="23" max="24" width="11.42578125" style="1"/>
    <col min="25" max="25" width="11.42578125" style="3"/>
    <col min="26" max="27" width="11.42578125" style="11"/>
    <col min="28" max="28" width="11.42578125" style="10"/>
    <col min="29" max="30" width="11.42578125" style="9"/>
  </cols>
  <sheetData>
    <row r="1" spans="1:30" x14ac:dyDescent="0.25">
      <c r="A1" s="9" t="s">
        <v>0</v>
      </c>
      <c r="B1" s="10" t="s">
        <v>2</v>
      </c>
      <c r="C1" s="10" t="s">
        <v>3</v>
      </c>
      <c r="D1" s="10" t="s">
        <v>4</v>
      </c>
      <c r="E1" s="9" t="s">
        <v>5</v>
      </c>
      <c r="F1" s="9" t="s">
        <v>6</v>
      </c>
      <c r="G1" s="1" t="s">
        <v>7</v>
      </c>
      <c r="H1" s="1" t="s">
        <v>8</v>
      </c>
      <c r="I1" s="9" t="s">
        <v>9</v>
      </c>
      <c r="J1" s="1" t="s">
        <v>273</v>
      </c>
      <c r="K1" s="10" t="s">
        <v>849</v>
      </c>
      <c r="L1" s="3" t="s">
        <v>10</v>
      </c>
      <c r="M1" s="11" t="s">
        <v>317</v>
      </c>
      <c r="N1" t="s">
        <v>11</v>
      </c>
      <c r="O1" s="11" t="s">
        <v>318</v>
      </c>
      <c r="P1" s="11" t="s">
        <v>319</v>
      </c>
      <c r="Q1" s="11" t="s">
        <v>320</v>
      </c>
      <c r="R1" s="11" t="s">
        <v>321</v>
      </c>
      <c r="S1" s="9" t="s">
        <v>12</v>
      </c>
      <c r="T1" s="9" t="s">
        <v>13</v>
      </c>
      <c r="U1" s="9" t="s">
        <v>14</v>
      </c>
      <c r="V1" s="9" t="s">
        <v>15</v>
      </c>
      <c r="W1" s="1" t="s">
        <v>16</v>
      </c>
      <c r="X1" s="1" t="s">
        <v>17</v>
      </c>
      <c r="Y1" s="3" t="s">
        <v>18</v>
      </c>
      <c r="Z1" s="11" t="s">
        <v>322</v>
      </c>
      <c r="AA1" s="11" t="s">
        <v>501</v>
      </c>
      <c r="AB1" s="10" t="s">
        <v>23</v>
      </c>
      <c r="AC1" s="9" t="s">
        <v>24</v>
      </c>
      <c r="AD1" s="9" t="s">
        <v>25</v>
      </c>
    </row>
    <row r="2" spans="1:30" x14ac:dyDescent="0.25">
      <c r="A2" s="9" t="s">
        <v>502</v>
      </c>
      <c r="B2" s="10" t="s">
        <v>712</v>
      </c>
      <c r="C2" s="10">
        <v>2</v>
      </c>
      <c r="D2" s="10">
        <v>1987</v>
      </c>
      <c r="E2" s="9" t="s">
        <v>28</v>
      </c>
      <c r="F2" s="9" t="s">
        <v>29</v>
      </c>
      <c r="G2" s="1">
        <v>38.4</v>
      </c>
      <c r="H2" s="1">
        <v>14.1</v>
      </c>
      <c r="I2" s="9" t="s">
        <v>30</v>
      </c>
      <c r="J2" s="1">
        <v>0.34</v>
      </c>
      <c r="K2" s="10">
        <v>41</v>
      </c>
      <c r="L2" s="3">
        <v>0.06</v>
      </c>
      <c r="M2" s="11">
        <v>2.4820324000000001E-2</v>
      </c>
      <c r="N2">
        <v>20</v>
      </c>
      <c r="O2" s="11">
        <v>6.0072155921031697E-2</v>
      </c>
      <c r="P2" s="11">
        <v>2.6315789473684209E-2</v>
      </c>
      <c r="Q2" s="11">
        <v>6.0813087133637311E-2</v>
      </c>
      <c r="R2" s="11">
        <v>2.4815430344581859E-2</v>
      </c>
      <c r="S2" s="9" t="s">
        <v>32</v>
      </c>
      <c r="T2" s="9" t="s">
        <v>31</v>
      </c>
      <c r="U2" s="9" t="s">
        <v>305</v>
      </c>
      <c r="V2" s="9" t="s">
        <v>306</v>
      </c>
      <c r="W2" s="1">
        <v>10.199999999999999</v>
      </c>
      <c r="X2" s="1">
        <v>15</v>
      </c>
      <c r="Y2" s="3">
        <f>W2/X2</f>
        <v>0.67999999999999994</v>
      </c>
      <c r="Z2" s="11">
        <v>8.8051218785933541E-2</v>
      </c>
      <c r="AA2" s="11">
        <v>0.23371765549176099</v>
      </c>
      <c r="AB2" s="10">
        <v>1</v>
      </c>
      <c r="AC2" s="9" t="s">
        <v>34</v>
      </c>
      <c r="AD2" s="9" t="s">
        <v>35</v>
      </c>
    </row>
    <row r="3" spans="1:30" x14ac:dyDescent="0.25">
      <c r="A3" s="9" t="s">
        <v>503</v>
      </c>
      <c r="B3" s="10" t="s">
        <v>713</v>
      </c>
      <c r="C3" s="10">
        <v>2</v>
      </c>
      <c r="D3" s="10">
        <v>1993</v>
      </c>
      <c r="E3" s="9" t="s">
        <v>38</v>
      </c>
      <c r="F3" s="9" t="s">
        <v>29</v>
      </c>
      <c r="G3" s="1">
        <v>38</v>
      </c>
      <c r="H3" s="1">
        <v>16</v>
      </c>
      <c r="I3" s="9" t="s">
        <v>39</v>
      </c>
      <c r="J3" s="1">
        <v>0</v>
      </c>
      <c r="K3" s="10">
        <v>30</v>
      </c>
      <c r="L3" s="3">
        <v>0.3</v>
      </c>
      <c r="M3" s="11">
        <v>2.8555172413793101E-2</v>
      </c>
      <c r="N3">
        <v>132</v>
      </c>
      <c r="O3" s="11">
        <v>0.30951960420311181</v>
      </c>
      <c r="P3" s="11">
        <v>3.7037037037037042E-2</v>
      </c>
      <c r="Q3" s="11">
        <v>0.30525537673482073</v>
      </c>
      <c r="R3" s="11">
        <v>2.8355895856159819E-2</v>
      </c>
      <c r="S3" s="9" t="s">
        <v>40</v>
      </c>
      <c r="T3" s="9" t="s">
        <v>46</v>
      </c>
      <c r="U3" s="9" t="s">
        <v>305</v>
      </c>
      <c r="V3" s="9" t="s">
        <v>307</v>
      </c>
      <c r="W3" s="1">
        <v>13</v>
      </c>
      <c r="X3" s="1">
        <v>15</v>
      </c>
      <c r="Y3" s="3">
        <f>W3/X3</f>
        <v>0.8666666666666667</v>
      </c>
      <c r="Z3" s="11">
        <v>0.34110491440212443</v>
      </c>
      <c r="AA3" s="11">
        <v>0.198997492885018</v>
      </c>
      <c r="AB3" s="10">
        <v>1</v>
      </c>
      <c r="AC3" s="9" t="s">
        <v>41</v>
      </c>
      <c r="AD3" s="9" t="s">
        <v>35</v>
      </c>
    </row>
    <row r="4" spans="1:30" x14ac:dyDescent="0.25">
      <c r="A4" s="9" t="s">
        <v>503</v>
      </c>
      <c r="B4" s="10" t="s">
        <v>714</v>
      </c>
      <c r="C4" s="10">
        <v>2</v>
      </c>
      <c r="D4" s="10">
        <v>1993</v>
      </c>
      <c r="E4" s="9" t="s">
        <v>38</v>
      </c>
      <c r="F4" s="9" t="s">
        <v>29</v>
      </c>
      <c r="G4" s="1">
        <v>38</v>
      </c>
      <c r="H4" s="1">
        <v>16</v>
      </c>
      <c r="I4" s="9" t="s">
        <v>43</v>
      </c>
      <c r="J4" s="1">
        <v>1</v>
      </c>
      <c r="K4" s="10">
        <v>37</v>
      </c>
      <c r="L4" s="3">
        <v>0.43</v>
      </c>
      <c r="M4" s="11">
        <v>1.84552225E-2</v>
      </c>
      <c r="N4">
        <v>132</v>
      </c>
      <c r="O4" s="11">
        <v>0.45989668121267852</v>
      </c>
      <c r="P4" s="11">
        <v>2.9411764705882349E-2</v>
      </c>
      <c r="Q4" s="11">
        <v>0.43527996903553479</v>
      </c>
      <c r="R4" s="11">
        <v>1.8248918527574862E-2</v>
      </c>
      <c r="S4" s="9" t="s">
        <v>40</v>
      </c>
      <c r="T4" s="9" t="s">
        <v>46</v>
      </c>
      <c r="U4" s="9" t="s">
        <v>305</v>
      </c>
      <c r="V4" s="9" t="s">
        <v>307</v>
      </c>
      <c r="W4" s="1">
        <v>13</v>
      </c>
      <c r="X4" s="1">
        <v>15</v>
      </c>
      <c r="Y4" s="3">
        <f>W4/X4</f>
        <v>0.8666666666666667</v>
      </c>
      <c r="Z4" s="11">
        <v>0.48161909458492619</v>
      </c>
      <c r="AA4" s="11">
        <v>0.16110798922918901</v>
      </c>
      <c r="AB4" s="10">
        <v>1</v>
      </c>
      <c r="AC4" s="9" t="s">
        <v>41</v>
      </c>
      <c r="AD4" s="9" t="s">
        <v>35</v>
      </c>
    </row>
    <row r="5" spans="1:30" x14ac:dyDescent="0.25">
      <c r="A5" s="9" t="s">
        <v>55</v>
      </c>
      <c r="B5" s="10" t="s">
        <v>715</v>
      </c>
      <c r="C5" s="10">
        <v>2</v>
      </c>
      <c r="D5" s="10">
        <v>1994</v>
      </c>
      <c r="E5" s="9" t="s">
        <v>38</v>
      </c>
      <c r="F5" s="9" t="s">
        <v>29</v>
      </c>
      <c r="G5" s="1">
        <v>25</v>
      </c>
      <c r="H5" s="1" t="s">
        <v>31</v>
      </c>
      <c r="I5" s="9" t="s">
        <v>39</v>
      </c>
      <c r="J5" s="1">
        <v>0</v>
      </c>
      <c r="K5" s="10">
        <v>40</v>
      </c>
      <c r="L5" s="3">
        <v>0.28000000000000003</v>
      </c>
      <c r="M5" s="11">
        <v>2.1778116923076921E-2</v>
      </c>
      <c r="N5">
        <v>834</v>
      </c>
      <c r="O5" s="11">
        <v>0.28768207245178101</v>
      </c>
      <c r="P5" s="11">
        <v>2.7027027027027029E-2</v>
      </c>
      <c r="Q5" s="11">
        <v>0.28358996112978607</v>
      </c>
      <c r="R5" s="11">
        <v>2.1682599220911279E-2</v>
      </c>
      <c r="S5" s="9" t="s">
        <v>40</v>
      </c>
      <c r="T5" s="9" t="s">
        <v>50</v>
      </c>
      <c r="U5" s="9" t="s">
        <v>305</v>
      </c>
      <c r="V5" s="9" t="s">
        <v>384</v>
      </c>
      <c r="W5" s="1" t="s">
        <v>31</v>
      </c>
      <c r="X5" s="1" t="s">
        <v>31</v>
      </c>
      <c r="Y5" s="3" t="s">
        <v>31</v>
      </c>
      <c r="Z5" s="11" t="s">
        <v>31</v>
      </c>
      <c r="AA5" s="11" t="s">
        <v>31</v>
      </c>
      <c r="AB5" s="10">
        <v>0</v>
      </c>
      <c r="AC5" s="9" t="s">
        <v>41</v>
      </c>
      <c r="AD5" s="9" t="s">
        <v>35</v>
      </c>
    </row>
    <row r="6" spans="1:30" x14ac:dyDescent="0.25">
      <c r="A6" s="9" t="s">
        <v>58</v>
      </c>
      <c r="B6" s="10" t="s">
        <v>716</v>
      </c>
      <c r="C6" s="10">
        <v>2</v>
      </c>
      <c r="D6" s="10">
        <v>1995</v>
      </c>
      <c r="E6" s="9" t="s">
        <v>38</v>
      </c>
      <c r="F6" s="9" t="s">
        <v>29</v>
      </c>
      <c r="G6" s="1">
        <v>22.5</v>
      </c>
      <c r="H6" s="1">
        <v>5</v>
      </c>
      <c r="I6" s="9" t="s">
        <v>43</v>
      </c>
      <c r="J6" s="1">
        <v>1</v>
      </c>
      <c r="K6" s="10">
        <v>40</v>
      </c>
      <c r="L6" s="3">
        <v>0.22</v>
      </c>
      <c r="M6" s="11">
        <v>2.321904E-2</v>
      </c>
      <c r="N6">
        <v>114</v>
      </c>
      <c r="O6" s="11">
        <v>0.22365610902183239</v>
      </c>
      <c r="P6" s="11">
        <v>2.7027027027027029E-2</v>
      </c>
      <c r="Q6" s="11">
        <v>0.22291823398102709</v>
      </c>
      <c r="R6" s="11">
        <v>2.315600693215188E-2</v>
      </c>
      <c r="S6" s="9" t="s">
        <v>40</v>
      </c>
      <c r="T6" s="9" t="s">
        <v>50</v>
      </c>
      <c r="U6" s="9" t="s">
        <v>305</v>
      </c>
      <c r="V6" s="9" t="s">
        <v>307</v>
      </c>
      <c r="W6" s="1">
        <v>10.5</v>
      </c>
      <c r="X6" s="1">
        <v>15</v>
      </c>
      <c r="Y6" s="3">
        <f>W6/X6</f>
        <v>0.7</v>
      </c>
      <c r="Z6" s="11">
        <v>0.30665662178525738</v>
      </c>
      <c r="AA6" s="11">
        <v>0.210186830759822</v>
      </c>
      <c r="AB6" s="10">
        <v>0</v>
      </c>
      <c r="AC6" s="9" t="s">
        <v>41</v>
      </c>
      <c r="AD6" s="9" t="s">
        <v>35</v>
      </c>
    </row>
    <row r="7" spans="1:30" x14ac:dyDescent="0.25">
      <c r="A7" s="9" t="s">
        <v>856</v>
      </c>
      <c r="B7" s="10" t="s">
        <v>717</v>
      </c>
      <c r="C7" s="10">
        <v>2</v>
      </c>
      <c r="D7" s="10">
        <v>1997</v>
      </c>
      <c r="E7" s="9" t="s">
        <v>28</v>
      </c>
      <c r="F7" s="9" t="s">
        <v>29</v>
      </c>
      <c r="G7" s="1" t="s">
        <v>31</v>
      </c>
      <c r="H7" s="1" t="s">
        <v>31</v>
      </c>
      <c r="I7" s="9" t="s">
        <v>31</v>
      </c>
      <c r="J7" s="1" t="s">
        <v>31</v>
      </c>
      <c r="K7" s="10">
        <v>21</v>
      </c>
      <c r="L7" s="3">
        <v>0.46899999999999997</v>
      </c>
      <c r="M7" s="11">
        <v>3.042304207605E-2</v>
      </c>
      <c r="N7">
        <v>6</v>
      </c>
      <c r="O7" s="11">
        <v>0.50878757746596914</v>
      </c>
      <c r="P7" s="11">
        <v>5.5555555555555552E-2</v>
      </c>
      <c r="Q7" s="11">
        <v>0.47957446693727451</v>
      </c>
      <c r="R7" s="11">
        <v>2.9645641464430831E-2</v>
      </c>
      <c r="S7" s="9" t="s">
        <v>40</v>
      </c>
      <c r="T7" s="9" t="s">
        <v>50</v>
      </c>
      <c r="U7" s="9" t="s">
        <v>305</v>
      </c>
      <c r="V7" s="9" t="s">
        <v>307</v>
      </c>
      <c r="W7" s="1" t="s">
        <v>31</v>
      </c>
      <c r="X7" s="1" t="s">
        <v>31</v>
      </c>
      <c r="Y7" s="3" t="s">
        <v>31</v>
      </c>
      <c r="Z7" s="11" t="s">
        <v>31</v>
      </c>
      <c r="AA7" s="11" t="s">
        <v>31</v>
      </c>
      <c r="AB7" s="10">
        <v>3</v>
      </c>
      <c r="AC7" s="9" t="s">
        <v>34</v>
      </c>
      <c r="AD7" s="9" t="s">
        <v>35</v>
      </c>
    </row>
    <row r="8" spans="1:30" x14ac:dyDescent="0.25">
      <c r="A8" s="9" t="s">
        <v>510</v>
      </c>
      <c r="B8" s="10" t="s">
        <v>718</v>
      </c>
      <c r="C8" s="10">
        <v>2</v>
      </c>
      <c r="D8" s="10">
        <v>1997</v>
      </c>
      <c r="E8" s="9" t="s">
        <v>28</v>
      </c>
      <c r="F8" s="9" t="s">
        <v>29</v>
      </c>
      <c r="G8" s="1">
        <v>70.2</v>
      </c>
      <c r="H8" s="1">
        <v>7.1</v>
      </c>
      <c r="I8" s="9" t="s">
        <v>30</v>
      </c>
      <c r="J8" s="1">
        <v>0.38</v>
      </c>
      <c r="K8" s="10">
        <v>60</v>
      </c>
      <c r="L8" s="3">
        <v>0.36499999999999999</v>
      </c>
      <c r="M8" s="11">
        <v>1.273387967161017E-2</v>
      </c>
      <c r="N8">
        <v>21</v>
      </c>
      <c r="O8" s="11">
        <v>0.38264235436318422</v>
      </c>
      <c r="P8" s="11">
        <v>1.754385964912281E-2</v>
      </c>
      <c r="Q8" s="11">
        <v>0.36782164720622368</v>
      </c>
      <c r="R8" s="11">
        <v>1.2673196673310081E-2</v>
      </c>
      <c r="S8" s="9" t="s">
        <v>40</v>
      </c>
      <c r="T8" s="9" t="s">
        <v>50</v>
      </c>
      <c r="U8" s="9" t="s">
        <v>305</v>
      </c>
      <c r="V8" s="9" t="s">
        <v>307</v>
      </c>
      <c r="W8" s="1">
        <v>14</v>
      </c>
      <c r="X8" s="1">
        <v>15</v>
      </c>
      <c r="Y8" s="3">
        <f>W8/X8</f>
        <v>0.93333333333333335</v>
      </c>
      <c r="Z8" s="11">
        <v>0.38727311799529562</v>
      </c>
      <c r="AA8" s="11">
        <v>0.12714165227907401</v>
      </c>
      <c r="AB8" s="10">
        <v>3</v>
      </c>
      <c r="AC8" s="9" t="s">
        <v>34</v>
      </c>
      <c r="AD8" s="9" t="s">
        <v>35</v>
      </c>
    </row>
    <row r="9" spans="1:30" x14ac:dyDescent="0.25">
      <c r="A9" s="9" t="s">
        <v>511</v>
      </c>
      <c r="B9" s="10" t="s">
        <v>719</v>
      </c>
      <c r="C9" s="10">
        <v>2</v>
      </c>
      <c r="D9" s="10">
        <v>1997</v>
      </c>
      <c r="E9" s="9" t="s">
        <v>38</v>
      </c>
      <c r="F9" s="9" t="s">
        <v>29</v>
      </c>
      <c r="G9" s="1">
        <v>24.8</v>
      </c>
      <c r="H9" s="1">
        <v>4.5</v>
      </c>
      <c r="I9" s="9" t="s">
        <v>30</v>
      </c>
      <c r="J9" s="1">
        <v>0.53</v>
      </c>
      <c r="K9" s="10">
        <v>62</v>
      </c>
      <c r="L9" s="3">
        <v>0.32</v>
      </c>
      <c r="M9" s="11">
        <v>1.320796327868852E-2</v>
      </c>
      <c r="N9">
        <v>4</v>
      </c>
      <c r="O9" s="11">
        <v>0.33164710870513209</v>
      </c>
      <c r="P9" s="11">
        <v>1.6949152542372881E-2</v>
      </c>
      <c r="Q9" s="11">
        <v>0.32247655226589822</v>
      </c>
      <c r="R9" s="11">
        <v>1.316117870364727E-2</v>
      </c>
      <c r="S9" s="9" t="s">
        <v>40</v>
      </c>
      <c r="T9" s="9" t="s">
        <v>50</v>
      </c>
      <c r="U9" s="9" t="s">
        <v>305</v>
      </c>
      <c r="V9" s="9" t="s">
        <v>385</v>
      </c>
      <c r="W9" s="1" t="s">
        <v>31</v>
      </c>
      <c r="X9" s="1" t="s">
        <v>31</v>
      </c>
      <c r="Y9" s="3" t="s">
        <v>31</v>
      </c>
      <c r="Z9" s="11" t="s">
        <v>31</v>
      </c>
      <c r="AA9" s="11" t="s">
        <v>31</v>
      </c>
      <c r="AB9" s="10">
        <v>0</v>
      </c>
      <c r="AC9" s="9" t="s">
        <v>41</v>
      </c>
      <c r="AD9" s="9" t="s">
        <v>35</v>
      </c>
    </row>
    <row r="10" spans="1:30" x14ac:dyDescent="0.25">
      <c r="A10" s="9" t="s">
        <v>512</v>
      </c>
      <c r="B10" s="10" t="s">
        <v>720</v>
      </c>
      <c r="C10" s="10">
        <v>2</v>
      </c>
      <c r="D10" s="10">
        <v>1998</v>
      </c>
      <c r="E10" s="9" t="s">
        <v>38</v>
      </c>
      <c r="F10" s="9" t="s">
        <v>29</v>
      </c>
      <c r="G10" s="1">
        <v>27</v>
      </c>
      <c r="H10" s="1">
        <v>10</v>
      </c>
      <c r="I10" s="9" t="s">
        <v>30</v>
      </c>
      <c r="J10" s="1">
        <v>0.53</v>
      </c>
      <c r="K10" s="10">
        <v>90</v>
      </c>
      <c r="L10" s="3">
        <v>0.26</v>
      </c>
      <c r="M10" s="11">
        <v>9.7681995505617975E-3</v>
      </c>
      <c r="N10">
        <v>152</v>
      </c>
      <c r="O10" s="11">
        <v>0.26610840687365411</v>
      </c>
      <c r="P10" s="11">
        <v>1.149425287356322E-2</v>
      </c>
      <c r="Q10" s="11">
        <v>0.26141096189316471</v>
      </c>
      <c r="R10" s="11">
        <v>9.7527908389701407E-3</v>
      </c>
      <c r="S10" s="9" t="s">
        <v>40</v>
      </c>
      <c r="T10" s="9" t="s">
        <v>50</v>
      </c>
      <c r="U10" s="9" t="s">
        <v>305</v>
      </c>
      <c r="V10" s="9" t="s">
        <v>307</v>
      </c>
      <c r="W10" s="1">
        <v>12</v>
      </c>
      <c r="X10" s="1">
        <v>15</v>
      </c>
      <c r="Y10" s="3">
        <f>W10/X10</f>
        <v>0.8</v>
      </c>
      <c r="Z10" s="11">
        <v>0.31899175233892602</v>
      </c>
      <c r="AA10" s="11">
        <v>0.12166531196585501</v>
      </c>
      <c r="AB10" s="10">
        <v>1</v>
      </c>
      <c r="AC10" s="9" t="s">
        <v>41</v>
      </c>
      <c r="AD10" s="9" t="s">
        <v>35</v>
      </c>
    </row>
    <row r="11" spans="1:30" x14ac:dyDescent="0.25">
      <c r="A11" s="9" t="s">
        <v>850</v>
      </c>
      <c r="B11" s="10" t="s">
        <v>721</v>
      </c>
      <c r="C11" s="10">
        <v>2</v>
      </c>
      <c r="D11" s="10">
        <v>1999</v>
      </c>
      <c r="E11" s="9" t="s">
        <v>38</v>
      </c>
      <c r="F11" s="9" t="s">
        <v>29</v>
      </c>
      <c r="G11" s="1">
        <v>42</v>
      </c>
      <c r="H11" s="1">
        <v>10</v>
      </c>
      <c r="I11" s="9" t="s">
        <v>43</v>
      </c>
      <c r="J11" s="1">
        <v>1</v>
      </c>
      <c r="K11" s="10">
        <v>33</v>
      </c>
      <c r="L11" s="3">
        <v>0</v>
      </c>
      <c r="M11" s="11">
        <v>3.125E-2</v>
      </c>
      <c r="N11" t="s">
        <v>63</v>
      </c>
      <c r="O11" s="11">
        <v>0</v>
      </c>
      <c r="P11" s="11">
        <v>3.3333333333333333E-2</v>
      </c>
      <c r="Q11" s="11">
        <v>0</v>
      </c>
      <c r="R11" s="11">
        <v>3.125E-2</v>
      </c>
      <c r="S11" s="9" t="s">
        <v>40</v>
      </c>
      <c r="T11" s="9" t="s">
        <v>50</v>
      </c>
      <c r="U11" s="9" t="s">
        <v>305</v>
      </c>
      <c r="V11" s="9" t="s">
        <v>307</v>
      </c>
      <c r="W11" s="1">
        <v>12</v>
      </c>
      <c r="X11" s="1">
        <v>15</v>
      </c>
      <c r="Y11" s="3">
        <f>W11/X11</f>
        <v>0.8</v>
      </c>
      <c r="Z11" s="11">
        <v>0</v>
      </c>
      <c r="AA11" s="11" t="s">
        <v>31</v>
      </c>
      <c r="AB11" s="10">
        <v>0</v>
      </c>
      <c r="AC11" s="9" t="s">
        <v>34</v>
      </c>
      <c r="AD11" s="9" t="s">
        <v>63</v>
      </c>
    </row>
    <row r="12" spans="1:30" x14ac:dyDescent="0.25">
      <c r="A12" s="9" t="s">
        <v>850</v>
      </c>
      <c r="B12" s="10" t="s">
        <v>722</v>
      </c>
      <c r="C12" s="10">
        <v>2</v>
      </c>
      <c r="D12" s="10">
        <v>1999</v>
      </c>
      <c r="E12" s="9" t="s">
        <v>28</v>
      </c>
      <c r="F12" s="9" t="s">
        <v>29</v>
      </c>
      <c r="G12" s="1">
        <v>43</v>
      </c>
      <c r="H12" s="1">
        <v>10</v>
      </c>
      <c r="I12" s="9" t="s">
        <v>43</v>
      </c>
      <c r="J12" s="1">
        <v>1</v>
      </c>
      <c r="K12" s="10">
        <v>37</v>
      </c>
      <c r="L12" s="3">
        <v>0</v>
      </c>
      <c r="M12" s="11">
        <v>2.777777777777778E-2</v>
      </c>
      <c r="N12" t="s">
        <v>63</v>
      </c>
      <c r="O12" s="11">
        <v>0</v>
      </c>
      <c r="P12" s="11">
        <v>2.9411764705882349E-2</v>
      </c>
      <c r="Q12" s="11">
        <v>0</v>
      </c>
      <c r="R12" s="11">
        <v>2.777777777777778E-2</v>
      </c>
      <c r="S12" s="9" t="s">
        <v>40</v>
      </c>
      <c r="T12" s="9" t="s">
        <v>50</v>
      </c>
      <c r="U12" s="9" t="s">
        <v>305</v>
      </c>
      <c r="V12" s="9" t="s">
        <v>307</v>
      </c>
      <c r="W12" s="1">
        <v>11</v>
      </c>
      <c r="X12" s="1">
        <v>15</v>
      </c>
      <c r="Y12" s="3">
        <f>W12/X12</f>
        <v>0.73333333333333328</v>
      </c>
      <c r="Z12" s="11">
        <v>0</v>
      </c>
      <c r="AA12" s="11" t="s">
        <v>31</v>
      </c>
      <c r="AB12" s="10">
        <v>0</v>
      </c>
      <c r="AC12" s="9" t="s">
        <v>34</v>
      </c>
      <c r="AD12" s="9" t="s">
        <v>63</v>
      </c>
    </row>
    <row r="13" spans="1:30" x14ac:dyDescent="0.25">
      <c r="A13" s="9" t="s">
        <v>943</v>
      </c>
      <c r="B13" s="10" t="s">
        <v>723</v>
      </c>
      <c r="C13" s="10">
        <v>2</v>
      </c>
      <c r="D13" s="10">
        <v>2000</v>
      </c>
      <c r="E13" s="9" t="s">
        <v>38</v>
      </c>
      <c r="F13" s="9" t="s">
        <v>54</v>
      </c>
      <c r="G13" s="1">
        <v>7.75</v>
      </c>
      <c r="H13" s="1" t="s">
        <v>31</v>
      </c>
      <c r="I13" s="9" t="s">
        <v>30</v>
      </c>
      <c r="J13" s="1">
        <v>0.73</v>
      </c>
      <c r="K13" s="10">
        <v>11</v>
      </c>
      <c r="L13" s="3">
        <v>-0.17799999999999999</v>
      </c>
      <c r="M13" s="11">
        <v>9.3763587585599995E-2</v>
      </c>
      <c r="N13" t="s">
        <v>63</v>
      </c>
      <c r="O13" s="11">
        <v>-0.17991648457767601</v>
      </c>
      <c r="P13" s="11">
        <v>0.125</v>
      </c>
      <c r="Q13" s="11">
        <v>-0.19054163561652329</v>
      </c>
      <c r="R13" s="11">
        <v>9.287059041725404E-2</v>
      </c>
      <c r="S13" s="9" t="s">
        <v>40</v>
      </c>
      <c r="T13" s="9" t="s">
        <v>31</v>
      </c>
      <c r="U13" s="9" t="s">
        <v>305</v>
      </c>
      <c r="V13" s="9" t="s">
        <v>308</v>
      </c>
      <c r="W13" s="1" t="s">
        <v>31</v>
      </c>
      <c r="X13" s="1" t="s">
        <v>31</v>
      </c>
      <c r="Y13" s="3" t="s">
        <v>31</v>
      </c>
      <c r="Z13" s="11" t="s">
        <v>31</v>
      </c>
      <c r="AA13" s="11" t="s">
        <v>31</v>
      </c>
      <c r="AB13" s="10">
        <v>0</v>
      </c>
      <c r="AC13" s="9" t="s">
        <v>34</v>
      </c>
      <c r="AD13" s="9" t="s">
        <v>63</v>
      </c>
    </row>
    <row r="14" spans="1:30" x14ac:dyDescent="0.25">
      <c r="A14" s="9" t="s">
        <v>943</v>
      </c>
      <c r="B14" s="10" t="s">
        <v>724</v>
      </c>
      <c r="C14" s="10">
        <v>2</v>
      </c>
      <c r="D14" s="10">
        <v>2000</v>
      </c>
      <c r="E14" s="9" t="s">
        <v>38</v>
      </c>
      <c r="F14" s="9" t="s">
        <v>54</v>
      </c>
      <c r="G14" s="1">
        <v>7.75</v>
      </c>
      <c r="H14" s="1" t="s">
        <v>31</v>
      </c>
      <c r="I14" s="9" t="s">
        <v>30</v>
      </c>
      <c r="J14" s="1">
        <v>0.38</v>
      </c>
      <c r="K14" s="10">
        <v>8</v>
      </c>
      <c r="L14" s="3">
        <v>0.34699999999999998</v>
      </c>
      <c r="M14" s="11">
        <v>0.1105257610401429</v>
      </c>
      <c r="N14" t="s">
        <v>63</v>
      </c>
      <c r="O14" s="11">
        <v>0.36202902356696642</v>
      </c>
      <c r="P14" s="11">
        <v>0.2</v>
      </c>
      <c r="Q14" s="11">
        <v>0.38338895482073021</v>
      </c>
      <c r="R14" s="11">
        <v>0.1039472890670107</v>
      </c>
      <c r="S14" s="9" t="s">
        <v>40</v>
      </c>
      <c r="T14" s="9" t="s">
        <v>31</v>
      </c>
      <c r="U14" s="9" t="s">
        <v>305</v>
      </c>
      <c r="V14" s="9" t="s">
        <v>308</v>
      </c>
      <c r="W14" s="1" t="s">
        <v>31</v>
      </c>
      <c r="X14" s="1" t="s">
        <v>31</v>
      </c>
      <c r="Y14" s="3" t="s">
        <v>31</v>
      </c>
      <c r="Z14" s="11" t="s">
        <v>31</v>
      </c>
      <c r="AA14" s="11" t="s">
        <v>31</v>
      </c>
      <c r="AB14" s="10">
        <v>0</v>
      </c>
      <c r="AC14" s="9" t="s">
        <v>34</v>
      </c>
      <c r="AD14" s="9" t="s">
        <v>63</v>
      </c>
    </row>
    <row r="15" spans="1:30" x14ac:dyDescent="0.25">
      <c r="A15" s="9" t="s">
        <v>94</v>
      </c>
      <c r="B15" s="10" t="s">
        <v>725</v>
      </c>
      <c r="C15" s="10">
        <v>2</v>
      </c>
      <c r="D15" s="10">
        <v>2000</v>
      </c>
      <c r="E15" s="9" t="s">
        <v>38</v>
      </c>
      <c r="F15" s="9" t="s">
        <v>29</v>
      </c>
      <c r="G15" s="1">
        <v>24.97</v>
      </c>
      <c r="H15" s="1">
        <v>4.47</v>
      </c>
      <c r="I15" s="9" t="s">
        <v>43</v>
      </c>
      <c r="J15" s="1">
        <v>1</v>
      </c>
      <c r="K15" s="10">
        <v>68</v>
      </c>
      <c r="L15" s="3">
        <v>0.311</v>
      </c>
      <c r="M15" s="11">
        <v>1.217780525135821E-2</v>
      </c>
      <c r="N15">
        <v>1106</v>
      </c>
      <c r="O15" s="11">
        <v>0.32165210637502062</v>
      </c>
      <c r="P15" s="11">
        <v>1.5384615384615391E-2</v>
      </c>
      <c r="Q15" s="11">
        <v>0.31319549925132101</v>
      </c>
      <c r="R15" s="11">
        <v>1.2140881870484141E-2</v>
      </c>
      <c r="S15" s="9" t="s">
        <v>40</v>
      </c>
      <c r="T15" s="9" t="s">
        <v>50</v>
      </c>
      <c r="U15" s="9" t="s">
        <v>305</v>
      </c>
      <c r="V15" s="9" t="s">
        <v>384</v>
      </c>
      <c r="W15" s="1">
        <v>11.06</v>
      </c>
      <c r="X15" s="1">
        <v>15</v>
      </c>
      <c r="Y15" s="3">
        <f>W15/X15</f>
        <v>0.7373333333333334</v>
      </c>
      <c r="Z15" s="11">
        <v>0.4056451743559959</v>
      </c>
      <c r="AA15" s="11">
        <v>0.14120643402267899</v>
      </c>
      <c r="AB15" s="10">
        <v>0</v>
      </c>
      <c r="AC15" s="9" t="s">
        <v>41</v>
      </c>
      <c r="AD15" s="9" t="s">
        <v>35</v>
      </c>
    </row>
    <row r="16" spans="1:30" x14ac:dyDescent="0.25">
      <c r="A16" s="9" t="s">
        <v>851</v>
      </c>
      <c r="B16" s="10" t="s">
        <v>726</v>
      </c>
      <c r="C16" s="10">
        <v>2</v>
      </c>
      <c r="D16" s="10">
        <v>2001</v>
      </c>
      <c r="E16" s="9" t="s">
        <v>38</v>
      </c>
      <c r="F16" s="9" t="s">
        <v>29</v>
      </c>
      <c r="G16" s="1">
        <v>74.849999999999994</v>
      </c>
      <c r="H16" s="1">
        <v>4.95</v>
      </c>
      <c r="I16" s="9" t="s">
        <v>30</v>
      </c>
      <c r="J16" s="1">
        <v>0.38</v>
      </c>
      <c r="K16" s="10">
        <v>318</v>
      </c>
      <c r="L16" s="3">
        <v>5.8000000000000003E-2</v>
      </c>
      <c r="M16" s="11">
        <v>3.1333858564542589E-3</v>
      </c>
      <c r="N16">
        <v>482</v>
      </c>
      <c r="O16" s="11">
        <v>5.80651689209409E-2</v>
      </c>
      <c r="P16" s="11">
        <v>3.174603174603175E-3</v>
      </c>
      <c r="Q16" s="11">
        <v>5.8092116932837792E-2</v>
      </c>
      <c r="R16" s="11">
        <v>3.133318613439913E-3</v>
      </c>
      <c r="S16" s="9" t="s">
        <v>40</v>
      </c>
      <c r="T16" s="9" t="s">
        <v>50</v>
      </c>
      <c r="U16" s="9" t="s">
        <v>305</v>
      </c>
      <c r="V16" s="9" t="s">
        <v>385</v>
      </c>
      <c r="W16" s="1">
        <v>9</v>
      </c>
      <c r="X16" s="1" t="s">
        <v>31</v>
      </c>
      <c r="Y16" s="3" t="s">
        <v>31</v>
      </c>
      <c r="Z16" s="11" t="s">
        <v>31</v>
      </c>
      <c r="AA16" s="11" t="s">
        <v>31</v>
      </c>
      <c r="AB16" s="10">
        <v>5</v>
      </c>
      <c r="AC16" s="9" t="s">
        <v>34</v>
      </c>
      <c r="AD16" s="9" t="s">
        <v>35</v>
      </c>
    </row>
    <row r="17" spans="1:30" x14ac:dyDescent="0.25">
      <c r="A17" s="9" t="s">
        <v>518</v>
      </c>
      <c r="B17" s="10" t="s">
        <v>727</v>
      </c>
      <c r="C17" s="10">
        <v>2</v>
      </c>
      <c r="D17" s="10">
        <v>2002</v>
      </c>
      <c r="E17" s="9" t="s">
        <v>38</v>
      </c>
      <c r="F17" s="9" t="s">
        <v>29</v>
      </c>
      <c r="G17" s="1">
        <v>18.899999999999999</v>
      </c>
      <c r="H17" s="1">
        <v>10</v>
      </c>
      <c r="I17" s="9" t="s">
        <v>30</v>
      </c>
      <c r="J17" s="1">
        <v>0.92</v>
      </c>
      <c r="K17" s="10">
        <v>83</v>
      </c>
      <c r="L17" s="3">
        <v>0.09</v>
      </c>
      <c r="M17" s="11">
        <v>1.1998361097560979E-2</v>
      </c>
      <c r="N17">
        <v>179</v>
      </c>
      <c r="O17" s="11">
        <v>9.024418785614681E-2</v>
      </c>
      <c r="P17" s="11">
        <v>1.2500000000000001E-2</v>
      </c>
      <c r="Q17" s="11">
        <v>9.0566648688541432E-2</v>
      </c>
      <c r="R17" s="11">
        <v>1.199588588181514E-2</v>
      </c>
      <c r="S17" s="9" t="s">
        <v>40</v>
      </c>
      <c r="T17" s="9" t="s">
        <v>50</v>
      </c>
      <c r="U17" s="9" t="s">
        <v>305</v>
      </c>
      <c r="V17" s="9" t="s">
        <v>309</v>
      </c>
      <c r="W17" s="1">
        <v>12.5</v>
      </c>
      <c r="X17" s="1" t="s">
        <v>31</v>
      </c>
      <c r="Y17" s="3" t="s">
        <v>31</v>
      </c>
      <c r="Z17" s="11" t="s">
        <v>31</v>
      </c>
      <c r="AA17" s="11" t="s">
        <v>31</v>
      </c>
      <c r="AB17" s="10">
        <v>0</v>
      </c>
      <c r="AC17" s="9" t="s">
        <v>34</v>
      </c>
      <c r="AD17" s="9" t="s">
        <v>35</v>
      </c>
    </row>
    <row r="18" spans="1:30" x14ac:dyDescent="0.25">
      <c r="A18" s="9" t="s">
        <v>518</v>
      </c>
      <c r="B18" s="10" t="s">
        <v>742</v>
      </c>
      <c r="C18" s="10">
        <v>2</v>
      </c>
      <c r="D18" s="10">
        <v>2002</v>
      </c>
      <c r="E18" s="9" t="s">
        <v>28</v>
      </c>
      <c r="F18" s="9" t="s">
        <v>29</v>
      </c>
      <c r="G18" s="1">
        <v>18.8</v>
      </c>
      <c r="H18" s="1">
        <v>10</v>
      </c>
      <c r="I18" s="9" t="s">
        <v>30</v>
      </c>
      <c r="J18" s="1">
        <v>0.87</v>
      </c>
      <c r="K18" s="10">
        <v>67</v>
      </c>
      <c r="L18" s="3">
        <v>0.1</v>
      </c>
      <c r="M18" s="11">
        <v>1.485E-2</v>
      </c>
      <c r="N18">
        <v>179</v>
      </c>
      <c r="O18" s="11">
        <v>0.10033534773107559</v>
      </c>
      <c r="P18" s="11">
        <v>1.5625E-2</v>
      </c>
      <c r="Q18" s="11">
        <v>0.100788516085159</v>
      </c>
      <c r="R18" s="11">
        <v>1.4845250630560511E-2</v>
      </c>
      <c r="S18" s="9" t="s">
        <v>40</v>
      </c>
      <c r="T18" s="9" t="s">
        <v>50</v>
      </c>
      <c r="U18" s="9" t="s">
        <v>305</v>
      </c>
      <c r="V18" s="9" t="s">
        <v>309</v>
      </c>
      <c r="W18" s="1">
        <v>15.3</v>
      </c>
      <c r="X18" s="1" t="s">
        <v>31</v>
      </c>
      <c r="Y18" s="3" t="s">
        <v>31</v>
      </c>
      <c r="Z18" s="11" t="s">
        <v>31</v>
      </c>
      <c r="AA18" s="11" t="s">
        <v>31</v>
      </c>
      <c r="AB18" s="10">
        <v>0</v>
      </c>
      <c r="AC18" s="9" t="s">
        <v>34</v>
      </c>
      <c r="AD18" s="9" t="s">
        <v>35</v>
      </c>
    </row>
    <row r="19" spans="1:30" x14ac:dyDescent="0.25">
      <c r="A19" s="9" t="s">
        <v>136</v>
      </c>
      <c r="B19" s="10" t="s">
        <v>743</v>
      </c>
      <c r="C19" s="10">
        <v>2</v>
      </c>
      <c r="D19" s="10">
        <v>2003</v>
      </c>
      <c r="E19" s="9" t="s">
        <v>38</v>
      </c>
      <c r="F19" s="9" t="s">
        <v>54</v>
      </c>
      <c r="G19" s="1">
        <v>16.399999999999999</v>
      </c>
      <c r="H19" s="1">
        <v>1.7</v>
      </c>
      <c r="I19" s="9" t="s">
        <v>30</v>
      </c>
      <c r="J19" s="1">
        <v>0.6</v>
      </c>
      <c r="K19" s="10">
        <v>22</v>
      </c>
      <c r="L19" s="3">
        <v>-0.17100000000000001</v>
      </c>
      <c r="M19" s="11">
        <v>4.4874906480047633E-2</v>
      </c>
      <c r="N19" t="s">
        <v>63</v>
      </c>
      <c r="O19" s="11">
        <v>-0.1726966042312113</v>
      </c>
      <c r="P19" s="11">
        <v>5.2631578947368418E-2</v>
      </c>
      <c r="Q19" s="11">
        <v>-0.1756541761853774</v>
      </c>
      <c r="R19" s="11">
        <v>4.47258673397887E-2</v>
      </c>
      <c r="S19" s="9" t="s">
        <v>40</v>
      </c>
      <c r="T19" s="9" t="s">
        <v>50</v>
      </c>
      <c r="U19" s="9" t="s">
        <v>305</v>
      </c>
      <c r="V19" s="9" t="s">
        <v>386</v>
      </c>
      <c r="W19" s="1" t="s">
        <v>31</v>
      </c>
      <c r="X19" s="1" t="s">
        <v>31</v>
      </c>
      <c r="Y19" s="3" t="s">
        <v>31</v>
      </c>
      <c r="Z19" s="11" t="s">
        <v>31</v>
      </c>
      <c r="AA19" s="11" t="s">
        <v>31</v>
      </c>
      <c r="AB19" s="10">
        <v>0</v>
      </c>
      <c r="AC19" s="9" t="s">
        <v>34</v>
      </c>
      <c r="AD19" s="9" t="s">
        <v>63</v>
      </c>
    </row>
    <row r="20" spans="1:30" x14ac:dyDescent="0.25">
      <c r="A20" s="9" t="s">
        <v>136</v>
      </c>
      <c r="B20" s="10" t="s">
        <v>744</v>
      </c>
      <c r="C20" s="10">
        <v>2</v>
      </c>
      <c r="D20" s="10">
        <v>2003</v>
      </c>
      <c r="E20" s="9" t="s">
        <v>28</v>
      </c>
      <c r="F20" s="9" t="s">
        <v>54</v>
      </c>
      <c r="G20" s="1">
        <v>16.8</v>
      </c>
      <c r="H20" s="1">
        <v>1.4</v>
      </c>
      <c r="I20" s="9" t="s">
        <v>30</v>
      </c>
      <c r="J20" s="1">
        <v>0.67</v>
      </c>
      <c r="K20" s="10">
        <v>32</v>
      </c>
      <c r="L20" s="3">
        <v>-0.192</v>
      </c>
      <c r="M20" s="11">
        <v>2.992357917729032E-2</v>
      </c>
      <c r="N20" t="s">
        <v>63</v>
      </c>
      <c r="O20" s="11">
        <v>-0.19441289455209981</v>
      </c>
      <c r="P20" s="11">
        <v>3.4482758620689662E-2</v>
      </c>
      <c r="Q20" s="11">
        <v>-0.19532053628736759</v>
      </c>
      <c r="R20" s="11">
        <v>2.9843716362789541E-2</v>
      </c>
      <c r="S20" s="9" t="s">
        <v>40</v>
      </c>
      <c r="T20" s="9" t="s">
        <v>50</v>
      </c>
      <c r="U20" s="9" t="s">
        <v>305</v>
      </c>
      <c r="V20" s="9" t="s">
        <v>386</v>
      </c>
      <c r="W20" s="1" t="s">
        <v>31</v>
      </c>
      <c r="X20" s="1" t="s">
        <v>31</v>
      </c>
      <c r="Y20" s="3" t="s">
        <v>31</v>
      </c>
      <c r="Z20" s="11" t="s">
        <v>31</v>
      </c>
      <c r="AA20" s="11" t="s">
        <v>31</v>
      </c>
      <c r="AB20" s="10">
        <v>0</v>
      </c>
      <c r="AC20" s="9" t="s">
        <v>34</v>
      </c>
      <c r="AD20" s="9" t="s">
        <v>63</v>
      </c>
    </row>
    <row r="21" spans="1:30" x14ac:dyDescent="0.25">
      <c r="A21" s="9" t="s">
        <v>148</v>
      </c>
      <c r="B21" s="10" t="s">
        <v>745</v>
      </c>
      <c r="C21" s="10">
        <v>2</v>
      </c>
      <c r="D21" s="10">
        <v>2004</v>
      </c>
      <c r="E21" s="9" t="s">
        <v>38</v>
      </c>
      <c r="F21" s="9" t="s">
        <v>54</v>
      </c>
      <c r="G21" s="1">
        <v>15.9</v>
      </c>
      <c r="H21" s="1" t="s">
        <v>31</v>
      </c>
      <c r="I21" s="9" t="s">
        <v>39</v>
      </c>
      <c r="J21" s="1">
        <v>0</v>
      </c>
      <c r="K21" s="10">
        <v>38</v>
      </c>
      <c r="L21" s="3">
        <v>0.21199999999999999</v>
      </c>
      <c r="M21" s="11">
        <v>2.4652215219891891E-2</v>
      </c>
      <c r="N21" t="s">
        <v>63</v>
      </c>
      <c r="O21" s="11">
        <v>0.21526453838569029</v>
      </c>
      <c r="P21" s="11">
        <v>2.8571428571428571E-2</v>
      </c>
      <c r="Q21" s="11">
        <v>0.2149896517189003</v>
      </c>
      <c r="R21" s="11">
        <v>2.4586357799510239E-2</v>
      </c>
      <c r="S21" s="9" t="s">
        <v>40</v>
      </c>
      <c r="T21" s="9" t="s">
        <v>31</v>
      </c>
      <c r="U21" s="9" t="s">
        <v>305</v>
      </c>
      <c r="V21" s="9" t="s">
        <v>310</v>
      </c>
      <c r="W21" s="1" t="s">
        <v>31</v>
      </c>
      <c r="X21" s="1" t="s">
        <v>31</v>
      </c>
      <c r="Y21" s="3" t="s">
        <v>31</v>
      </c>
      <c r="Z21" s="11" t="s">
        <v>31</v>
      </c>
      <c r="AA21" s="11" t="s">
        <v>31</v>
      </c>
      <c r="AB21" s="10">
        <v>0</v>
      </c>
      <c r="AC21" s="9" t="s">
        <v>34</v>
      </c>
      <c r="AD21" s="9" t="s">
        <v>63</v>
      </c>
    </row>
    <row r="22" spans="1:30" x14ac:dyDescent="0.25">
      <c r="A22" s="9" t="s">
        <v>148</v>
      </c>
      <c r="B22" s="10" t="s">
        <v>746</v>
      </c>
      <c r="C22" s="10">
        <v>2</v>
      </c>
      <c r="D22" s="10">
        <v>2004</v>
      </c>
      <c r="E22" s="9" t="s">
        <v>38</v>
      </c>
      <c r="F22" s="9" t="s">
        <v>54</v>
      </c>
      <c r="G22" s="1">
        <v>15.9</v>
      </c>
      <c r="H22" s="1" t="s">
        <v>31</v>
      </c>
      <c r="I22" s="9" t="s">
        <v>43</v>
      </c>
      <c r="J22" s="1">
        <v>1</v>
      </c>
      <c r="K22" s="10">
        <v>38</v>
      </c>
      <c r="L22" s="3">
        <v>0.14799999999999999</v>
      </c>
      <c r="M22" s="11">
        <v>2.5855994195027029E-2</v>
      </c>
      <c r="N22" t="s">
        <v>63</v>
      </c>
      <c r="O22" s="11">
        <v>0.149095025025098</v>
      </c>
      <c r="P22" s="11">
        <v>2.8571428571428571E-2</v>
      </c>
      <c r="Q22" s="11">
        <v>0.1501409155532028</v>
      </c>
      <c r="R22" s="11">
        <v>2.582225854043407E-2</v>
      </c>
      <c r="S22" s="9" t="s">
        <v>40</v>
      </c>
      <c r="T22" s="9" t="s">
        <v>31</v>
      </c>
      <c r="U22" s="9" t="s">
        <v>305</v>
      </c>
      <c r="V22" s="9" t="s">
        <v>310</v>
      </c>
      <c r="W22" s="1" t="s">
        <v>31</v>
      </c>
      <c r="X22" s="1" t="s">
        <v>31</v>
      </c>
      <c r="Y22" s="3" t="s">
        <v>31</v>
      </c>
      <c r="Z22" s="11" t="s">
        <v>31</v>
      </c>
      <c r="AA22" s="11" t="s">
        <v>31</v>
      </c>
      <c r="AB22" s="10">
        <v>0</v>
      </c>
      <c r="AC22" s="9" t="s">
        <v>34</v>
      </c>
      <c r="AD22" s="9" t="s">
        <v>63</v>
      </c>
    </row>
    <row r="23" spans="1:30" x14ac:dyDescent="0.25">
      <c r="A23" s="9" t="s">
        <v>142</v>
      </c>
      <c r="B23" s="10" t="s">
        <v>747</v>
      </c>
      <c r="C23" s="10">
        <v>2</v>
      </c>
      <c r="D23" s="10">
        <v>2004</v>
      </c>
      <c r="E23" s="9" t="s">
        <v>38</v>
      </c>
      <c r="F23" s="9" t="s">
        <v>54</v>
      </c>
      <c r="G23" s="1">
        <v>18</v>
      </c>
      <c r="H23" s="1">
        <v>0.9</v>
      </c>
      <c r="I23" s="9" t="s">
        <v>39</v>
      </c>
      <c r="J23" s="1">
        <v>0</v>
      </c>
      <c r="K23" s="10">
        <v>49</v>
      </c>
      <c r="L23" s="3">
        <v>0.38300000000000001</v>
      </c>
      <c r="M23" s="11">
        <v>1.5169576306687501E-2</v>
      </c>
      <c r="N23">
        <v>471</v>
      </c>
      <c r="O23" s="11">
        <v>0.40357065387968521</v>
      </c>
      <c r="P23" s="11">
        <v>2.1739130434782612E-2</v>
      </c>
      <c r="Q23" s="11">
        <v>0.38662359137631142</v>
      </c>
      <c r="R23" s="11">
        <v>1.5070583547844791E-2</v>
      </c>
      <c r="S23" s="9" t="s">
        <v>40</v>
      </c>
      <c r="T23" s="9" t="s">
        <v>50</v>
      </c>
      <c r="U23" s="9" t="s">
        <v>305</v>
      </c>
      <c r="V23" s="9" t="s">
        <v>307</v>
      </c>
      <c r="W23" s="1">
        <v>16.7</v>
      </c>
      <c r="X23" s="1">
        <v>15</v>
      </c>
      <c r="Y23" s="3">
        <f>W23/X23</f>
        <v>1.1133333333333333</v>
      </c>
      <c r="Z23" s="11">
        <v>0.34899360052566841</v>
      </c>
      <c r="AA23" s="11">
        <v>0.12636214521476</v>
      </c>
      <c r="AB23" s="10">
        <v>0</v>
      </c>
      <c r="AC23" s="9" t="s">
        <v>41</v>
      </c>
      <c r="AD23" s="9" t="s">
        <v>35</v>
      </c>
    </row>
    <row r="24" spans="1:30" x14ac:dyDescent="0.25">
      <c r="A24" s="9" t="s">
        <v>142</v>
      </c>
      <c r="B24" s="10" t="s">
        <v>748</v>
      </c>
      <c r="C24" s="10">
        <v>2</v>
      </c>
      <c r="D24" s="10">
        <v>2004</v>
      </c>
      <c r="E24" s="9" t="s">
        <v>38</v>
      </c>
      <c r="F24" s="9" t="s">
        <v>54</v>
      </c>
      <c r="G24" s="1">
        <v>18</v>
      </c>
      <c r="H24" s="1">
        <v>0.9</v>
      </c>
      <c r="I24" s="9" t="s">
        <v>43</v>
      </c>
      <c r="J24" s="1">
        <v>1</v>
      </c>
      <c r="K24" s="10">
        <v>47</v>
      </c>
      <c r="L24" s="3">
        <v>0.51500000000000001</v>
      </c>
      <c r="M24" s="11">
        <v>1.173683262228261E-2</v>
      </c>
      <c r="N24">
        <v>471</v>
      </c>
      <c r="O24" s="11">
        <v>0.56951091350299321</v>
      </c>
      <c r="P24" s="11">
        <v>2.2727272727272731E-2</v>
      </c>
      <c r="Q24" s="11">
        <v>0.51936260480842067</v>
      </c>
      <c r="R24" s="11">
        <v>1.159311514345838E-2</v>
      </c>
      <c r="S24" s="9" t="s">
        <v>40</v>
      </c>
      <c r="T24" s="9" t="s">
        <v>50</v>
      </c>
      <c r="U24" s="9" t="s">
        <v>305</v>
      </c>
      <c r="V24" s="9" t="s">
        <v>307</v>
      </c>
      <c r="W24" s="1">
        <v>16.3</v>
      </c>
      <c r="X24" s="1">
        <v>15</v>
      </c>
      <c r="Y24" s="3">
        <f>W24/X24</f>
        <v>1.0866666666666667</v>
      </c>
      <c r="Z24" s="11">
        <v>0.48385505053427907</v>
      </c>
      <c r="AA24" s="11">
        <v>0.12515214359486199</v>
      </c>
      <c r="AB24" s="10">
        <v>0</v>
      </c>
      <c r="AC24" s="9" t="s">
        <v>41</v>
      </c>
      <c r="AD24" s="9" t="s">
        <v>35</v>
      </c>
    </row>
    <row r="25" spans="1:30" x14ac:dyDescent="0.25">
      <c r="A25" s="9" t="s">
        <v>157</v>
      </c>
      <c r="B25" s="10" t="s">
        <v>749</v>
      </c>
      <c r="C25" s="10">
        <v>2</v>
      </c>
      <c r="D25" s="10">
        <v>2004</v>
      </c>
      <c r="E25" s="9" t="s">
        <v>38</v>
      </c>
      <c r="F25" s="9" t="s">
        <v>29</v>
      </c>
      <c r="G25" s="1">
        <v>43.62</v>
      </c>
      <c r="H25" s="1">
        <v>4.3099999999999996</v>
      </c>
      <c r="I25" s="9" t="s">
        <v>30</v>
      </c>
      <c r="J25" s="1">
        <v>0.47</v>
      </c>
      <c r="K25" s="10">
        <v>17</v>
      </c>
      <c r="L25" s="3">
        <v>0.27</v>
      </c>
      <c r="M25" s="11">
        <v>5.3719650624999997E-2</v>
      </c>
      <c r="N25" t="s">
        <v>63</v>
      </c>
      <c r="O25" s="11">
        <v>0.27686382265510012</v>
      </c>
      <c r="P25" s="11">
        <v>7.1428571428571425E-2</v>
      </c>
      <c r="Q25" s="11">
        <v>0.2796628737069386</v>
      </c>
      <c r="R25" s="11">
        <v>5.3105897823401138E-2</v>
      </c>
      <c r="S25" s="9" t="s">
        <v>40</v>
      </c>
      <c r="T25" s="9" t="s">
        <v>50</v>
      </c>
      <c r="U25" s="9" t="s">
        <v>305</v>
      </c>
      <c r="V25" s="9" t="s">
        <v>387</v>
      </c>
      <c r="W25" s="1" t="s">
        <v>31</v>
      </c>
      <c r="X25" s="1" t="s">
        <v>31</v>
      </c>
      <c r="Y25" s="3" t="s">
        <v>31</v>
      </c>
      <c r="Z25" s="11" t="s">
        <v>31</v>
      </c>
      <c r="AA25" s="11" t="s">
        <v>31</v>
      </c>
      <c r="AB25" s="10">
        <v>0</v>
      </c>
      <c r="AC25" s="9" t="s">
        <v>34</v>
      </c>
      <c r="AD25" s="9" t="s">
        <v>63</v>
      </c>
    </row>
    <row r="26" spans="1:30" x14ac:dyDescent="0.25">
      <c r="A26" s="9" t="s">
        <v>157</v>
      </c>
      <c r="B26" s="10" t="s">
        <v>750</v>
      </c>
      <c r="C26" s="10">
        <v>2</v>
      </c>
      <c r="D26" s="10">
        <v>2004</v>
      </c>
      <c r="E26" s="9" t="s">
        <v>28</v>
      </c>
      <c r="F26" s="9" t="s">
        <v>29</v>
      </c>
      <c r="G26" s="1">
        <v>30.3</v>
      </c>
      <c r="H26" s="1">
        <v>9.1</v>
      </c>
      <c r="I26" s="9" t="s">
        <v>30</v>
      </c>
      <c r="J26" s="1">
        <v>0.87</v>
      </c>
      <c r="K26" s="10">
        <v>15</v>
      </c>
      <c r="L26" s="3">
        <v>0.15</v>
      </c>
      <c r="M26" s="11">
        <v>6.8250446428571435E-2</v>
      </c>
      <c r="N26" t="s">
        <v>63</v>
      </c>
      <c r="O26" s="11">
        <v>0.15114043593646681</v>
      </c>
      <c r="P26" s="11">
        <v>8.3333333333333329E-2</v>
      </c>
      <c r="Q26" s="11">
        <v>0.15677096879841729</v>
      </c>
      <c r="R26" s="11">
        <v>6.7960697309308357E-2</v>
      </c>
      <c r="S26" s="9" t="s">
        <v>40</v>
      </c>
      <c r="T26" s="9" t="s">
        <v>50</v>
      </c>
      <c r="U26" s="9" t="s">
        <v>305</v>
      </c>
      <c r="V26" s="9" t="s">
        <v>387</v>
      </c>
      <c r="W26" s="1" t="s">
        <v>31</v>
      </c>
      <c r="X26" s="1" t="s">
        <v>31</v>
      </c>
      <c r="Y26" s="3" t="s">
        <v>31</v>
      </c>
      <c r="Z26" s="11" t="s">
        <v>31</v>
      </c>
      <c r="AA26" s="11" t="s">
        <v>31</v>
      </c>
      <c r="AB26" s="10">
        <v>0</v>
      </c>
      <c r="AC26" s="9" t="s">
        <v>34</v>
      </c>
      <c r="AD26" s="9" t="s">
        <v>63</v>
      </c>
    </row>
    <row r="27" spans="1:30" x14ac:dyDescent="0.25">
      <c r="A27" s="9" t="s">
        <v>525</v>
      </c>
      <c r="B27" s="10" t="s">
        <v>751</v>
      </c>
      <c r="C27" s="10">
        <v>2</v>
      </c>
      <c r="D27" s="10">
        <v>2004</v>
      </c>
      <c r="E27" s="9" t="s">
        <v>38</v>
      </c>
      <c r="F27" s="9" t="s">
        <v>54</v>
      </c>
      <c r="G27" s="1">
        <v>15.5</v>
      </c>
      <c r="H27" s="1">
        <v>1.6</v>
      </c>
      <c r="I27" s="9" t="s">
        <v>43</v>
      </c>
      <c r="J27" s="1">
        <v>1</v>
      </c>
      <c r="K27" s="10">
        <v>16</v>
      </c>
      <c r="L27" s="3">
        <v>0.23400000000000001</v>
      </c>
      <c r="M27" s="11">
        <v>5.9565747969066662E-2</v>
      </c>
      <c r="N27" t="s">
        <v>63</v>
      </c>
      <c r="O27" s="11">
        <v>0.23841701736237089</v>
      </c>
      <c r="P27" s="11">
        <v>7.6923076923076927E-2</v>
      </c>
      <c r="Q27" s="11">
        <v>0.24328635875124369</v>
      </c>
      <c r="R27" s="11">
        <v>5.9008449633859671E-2</v>
      </c>
      <c r="S27" s="9" t="s">
        <v>40</v>
      </c>
      <c r="T27" s="9" t="s">
        <v>50</v>
      </c>
      <c r="U27" s="9" t="s">
        <v>305</v>
      </c>
      <c r="V27" s="9" t="s">
        <v>388</v>
      </c>
      <c r="W27" s="1">
        <v>13.9</v>
      </c>
      <c r="X27" s="1">
        <v>15</v>
      </c>
      <c r="Y27" s="3">
        <f t="shared" ref="Y27:Y39" si="0">W27/X27</f>
        <v>0.92666666666666664</v>
      </c>
      <c r="Z27" s="11">
        <v>0.25138810518941002</v>
      </c>
      <c r="AA27" s="11">
        <v>0.27628735512096803</v>
      </c>
      <c r="AB27" s="10">
        <v>0</v>
      </c>
      <c r="AC27" s="9" t="s">
        <v>34</v>
      </c>
      <c r="AD27" s="9" t="s">
        <v>63</v>
      </c>
    </row>
    <row r="28" spans="1:30" x14ac:dyDescent="0.25">
      <c r="A28" s="9" t="s">
        <v>525</v>
      </c>
      <c r="B28" s="10" t="s">
        <v>752</v>
      </c>
      <c r="C28" s="10">
        <v>2</v>
      </c>
      <c r="D28" s="10">
        <v>2004</v>
      </c>
      <c r="E28" s="9" t="s">
        <v>28</v>
      </c>
      <c r="F28" s="9" t="s">
        <v>54</v>
      </c>
      <c r="G28" s="1">
        <v>15.4</v>
      </c>
      <c r="H28" s="1">
        <v>2.2400000000000002</v>
      </c>
      <c r="I28" s="9" t="s">
        <v>43</v>
      </c>
      <c r="J28" s="1">
        <v>1</v>
      </c>
      <c r="K28" s="10">
        <v>16</v>
      </c>
      <c r="L28" s="3">
        <v>9.9000000000000005E-2</v>
      </c>
      <c r="M28" s="11">
        <v>6.536627064006667E-2</v>
      </c>
      <c r="N28" t="s">
        <v>63</v>
      </c>
      <c r="O28" s="11">
        <v>9.9325348397641677E-2</v>
      </c>
      <c r="P28" s="11">
        <v>7.6923076923076927E-2</v>
      </c>
      <c r="Q28" s="11">
        <v>0.10315676872038081</v>
      </c>
      <c r="R28" s="11">
        <v>6.5255373320197999E-2</v>
      </c>
      <c r="S28" s="9" t="s">
        <v>40</v>
      </c>
      <c r="T28" s="9" t="s">
        <v>50</v>
      </c>
      <c r="U28" s="9" t="s">
        <v>305</v>
      </c>
      <c r="V28" s="9" t="s">
        <v>388</v>
      </c>
      <c r="W28" s="1">
        <v>19</v>
      </c>
      <c r="X28" s="1">
        <v>15</v>
      </c>
      <c r="Y28" s="3">
        <f t="shared" si="0"/>
        <v>1.2666666666666666</v>
      </c>
      <c r="Z28" s="11">
        <v>7.8302588451457142E-2</v>
      </c>
      <c r="AA28" s="11">
        <v>0.21112054611349501</v>
      </c>
      <c r="AB28" s="10">
        <v>0</v>
      </c>
      <c r="AC28" s="9" t="s">
        <v>34</v>
      </c>
      <c r="AD28" s="9" t="s">
        <v>63</v>
      </c>
    </row>
    <row r="29" spans="1:30" x14ac:dyDescent="0.25">
      <c r="A29" s="9" t="s">
        <v>176</v>
      </c>
      <c r="B29" s="10" t="s">
        <v>753</v>
      </c>
      <c r="C29" s="10">
        <v>2</v>
      </c>
      <c r="D29" s="10">
        <v>2006</v>
      </c>
      <c r="E29" s="9" t="s">
        <v>38</v>
      </c>
      <c r="F29" s="9" t="s">
        <v>29</v>
      </c>
      <c r="G29" s="1">
        <v>21.41</v>
      </c>
      <c r="H29" s="1">
        <v>10.91</v>
      </c>
      <c r="I29" s="9" t="s">
        <v>43</v>
      </c>
      <c r="J29" s="1">
        <v>1</v>
      </c>
      <c r="K29" s="10">
        <v>23</v>
      </c>
      <c r="L29" s="3">
        <v>0.09</v>
      </c>
      <c r="M29" s="11">
        <v>4.4721164090909087E-2</v>
      </c>
      <c r="N29" t="s">
        <v>63</v>
      </c>
      <c r="O29" s="11">
        <v>9.024418785614681E-2</v>
      </c>
      <c r="P29" s="11">
        <v>0.05</v>
      </c>
      <c r="Q29" s="11">
        <v>9.2376754790629928E-2</v>
      </c>
      <c r="R29" s="11">
        <v>4.4682085925937913E-2</v>
      </c>
      <c r="S29" s="9" t="s">
        <v>40</v>
      </c>
      <c r="T29" s="9" t="s">
        <v>31</v>
      </c>
      <c r="U29" s="9" t="s">
        <v>305</v>
      </c>
      <c r="V29" s="9" t="s">
        <v>389</v>
      </c>
      <c r="W29" s="1">
        <v>9.57</v>
      </c>
      <c r="X29" s="1">
        <v>15</v>
      </c>
      <c r="Y29" s="3">
        <f t="shared" si="0"/>
        <v>0.63800000000000001</v>
      </c>
      <c r="Z29" s="11">
        <v>0.1402408662795627</v>
      </c>
      <c r="AA29" s="11">
        <v>0.33415290134659198</v>
      </c>
      <c r="AB29" s="10">
        <v>0</v>
      </c>
      <c r="AC29" s="9" t="s">
        <v>41</v>
      </c>
      <c r="AD29" s="9" t="s">
        <v>63</v>
      </c>
    </row>
    <row r="30" spans="1:30" x14ac:dyDescent="0.25">
      <c r="A30" s="9" t="s">
        <v>176</v>
      </c>
      <c r="B30" s="10" t="s">
        <v>754</v>
      </c>
      <c r="C30" s="10">
        <v>2</v>
      </c>
      <c r="D30" s="10">
        <v>2006</v>
      </c>
      <c r="E30" s="9" t="s">
        <v>28</v>
      </c>
      <c r="F30" s="9" t="s">
        <v>29</v>
      </c>
      <c r="G30" s="1">
        <v>20.79</v>
      </c>
      <c r="H30" s="1">
        <v>10.58</v>
      </c>
      <c r="I30" s="9" t="s">
        <v>43</v>
      </c>
      <c r="J30" s="1">
        <v>1</v>
      </c>
      <c r="K30" s="10">
        <v>24</v>
      </c>
      <c r="L30" s="3">
        <v>0.31</v>
      </c>
      <c r="M30" s="11">
        <v>3.5523270000000003E-2</v>
      </c>
      <c r="N30" t="s">
        <v>63</v>
      </c>
      <c r="O30" s="11">
        <v>0.32054540930194608</v>
      </c>
      <c r="P30" s="11">
        <v>4.7619047619047623E-2</v>
      </c>
      <c r="Q30" s="11">
        <v>0.31700707165663861</v>
      </c>
      <c r="R30" s="11">
        <v>3.5178781446146723E-2</v>
      </c>
      <c r="S30" s="9" t="s">
        <v>40</v>
      </c>
      <c r="T30" s="9" t="s">
        <v>31</v>
      </c>
      <c r="U30" s="9" t="s">
        <v>305</v>
      </c>
      <c r="V30" s="9" t="s">
        <v>389</v>
      </c>
      <c r="W30" s="1">
        <v>18.84</v>
      </c>
      <c r="X30" s="1">
        <v>15</v>
      </c>
      <c r="Y30" s="3">
        <f t="shared" si="0"/>
        <v>1.256</v>
      </c>
      <c r="Z30" s="11">
        <v>0.2512750708110949</v>
      </c>
      <c r="AA30" s="11">
        <v>0.17012949835036301</v>
      </c>
      <c r="AB30" s="10">
        <v>0</v>
      </c>
      <c r="AC30" s="9" t="s">
        <v>41</v>
      </c>
      <c r="AD30" s="9" t="s">
        <v>63</v>
      </c>
    </row>
    <row r="31" spans="1:30" x14ac:dyDescent="0.25">
      <c r="A31" s="9" t="s">
        <v>529</v>
      </c>
      <c r="B31" s="10" t="s">
        <v>755</v>
      </c>
      <c r="C31" s="10">
        <v>2</v>
      </c>
      <c r="D31" s="10">
        <v>2006</v>
      </c>
      <c r="E31" s="9" t="s">
        <v>28</v>
      </c>
      <c r="F31" s="9" t="s">
        <v>54</v>
      </c>
      <c r="G31" s="1">
        <v>10.16</v>
      </c>
      <c r="H31" s="1">
        <v>1.92</v>
      </c>
      <c r="I31" s="9" t="s">
        <v>43</v>
      </c>
      <c r="J31" s="1">
        <v>1</v>
      </c>
      <c r="K31" s="10">
        <v>38</v>
      </c>
      <c r="L31" s="3">
        <v>-1.7999999999999999E-2</v>
      </c>
      <c r="M31" s="11">
        <v>2.70095163507027E-2</v>
      </c>
      <c r="N31" t="s">
        <v>63</v>
      </c>
      <c r="O31" s="11">
        <v>-1.8001944378001091E-2</v>
      </c>
      <c r="P31" s="11">
        <v>2.8571428571428571E-2</v>
      </c>
      <c r="Q31" s="11">
        <v>-1.8266530663498471E-2</v>
      </c>
      <c r="R31" s="11">
        <v>2.7008994028327939E-2</v>
      </c>
      <c r="S31" s="9" t="s">
        <v>40</v>
      </c>
      <c r="T31" s="9" t="s">
        <v>46</v>
      </c>
      <c r="U31" s="9" t="s">
        <v>305</v>
      </c>
      <c r="V31" s="9" t="s">
        <v>308</v>
      </c>
      <c r="W31" s="1">
        <v>16.850000000000001</v>
      </c>
      <c r="X31" s="1">
        <v>15</v>
      </c>
      <c r="Y31" s="3">
        <f t="shared" si="0"/>
        <v>1.1233333333333335</v>
      </c>
      <c r="Z31" s="11">
        <v>-1.602427761601128E-2</v>
      </c>
      <c r="AA31" s="11">
        <v>0.14813422191030401</v>
      </c>
      <c r="AB31" s="10">
        <v>0</v>
      </c>
      <c r="AC31" s="9" t="s">
        <v>41</v>
      </c>
      <c r="AD31" s="9" t="s">
        <v>63</v>
      </c>
    </row>
    <row r="32" spans="1:30" x14ac:dyDescent="0.25">
      <c r="A32" s="9" t="s">
        <v>529</v>
      </c>
      <c r="B32" s="10" t="s">
        <v>756</v>
      </c>
      <c r="C32" s="10">
        <v>2</v>
      </c>
      <c r="D32" s="10">
        <v>2006</v>
      </c>
      <c r="E32" s="9" t="s">
        <v>28</v>
      </c>
      <c r="F32" s="9" t="s">
        <v>54</v>
      </c>
      <c r="G32" s="1">
        <v>10.08</v>
      </c>
      <c r="H32" s="1">
        <v>1.48</v>
      </c>
      <c r="I32" s="9" t="s">
        <v>43</v>
      </c>
      <c r="J32" s="1">
        <v>1</v>
      </c>
      <c r="K32" s="10">
        <v>12</v>
      </c>
      <c r="L32" s="3">
        <v>-0.47799999999999998</v>
      </c>
      <c r="M32" s="11">
        <v>5.4112448932363638E-2</v>
      </c>
      <c r="N32" t="s">
        <v>63</v>
      </c>
      <c r="O32" s="11">
        <v>-0.52038875681275409</v>
      </c>
      <c r="P32" s="11">
        <v>0.1111111111111111</v>
      </c>
      <c r="Q32" s="11">
        <v>-0.50000686134405758</v>
      </c>
      <c r="R32" s="11">
        <v>5.1135427996397739E-2</v>
      </c>
      <c r="S32" s="9" t="s">
        <v>40</v>
      </c>
      <c r="T32" s="9" t="s">
        <v>46</v>
      </c>
      <c r="U32" s="9" t="s">
        <v>305</v>
      </c>
      <c r="V32" s="9" t="s">
        <v>308</v>
      </c>
      <c r="W32" s="1">
        <v>9.5399999999999991</v>
      </c>
      <c r="X32" s="1">
        <v>15</v>
      </c>
      <c r="Y32" s="3">
        <f t="shared" si="0"/>
        <v>0.6359999999999999</v>
      </c>
      <c r="Z32" s="11">
        <v>-0.6501391075394567</v>
      </c>
      <c r="AA32" s="11">
        <v>0.28272549952646497</v>
      </c>
      <c r="AB32" s="10">
        <v>0</v>
      </c>
      <c r="AC32" s="9" t="s">
        <v>41</v>
      </c>
      <c r="AD32" s="9" t="s">
        <v>63</v>
      </c>
    </row>
    <row r="33" spans="1:30" x14ac:dyDescent="0.25">
      <c r="A33" s="9" t="s">
        <v>529</v>
      </c>
      <c r="B33" s="10" t="s">
        <v>757</v>
      </c>
      <c r="C33" s="10">
        <v>2</v>
      </c>
      <c r="D33" s="10">
        <v>2006</v>
      </c>
      <c r="E33" s="9" t="s">
        <v>38</v>
      </c>
      <c r="F33" s="9" t="s">
        <v>54</v>
      </c>
      <c r="G33" s="1">
        <v>10.77</v>
      </c>
      <c r="H33" s="1">
        <v>1.31</v>
      </c>
      <c r="I33" s="9" t="s">
        <v>43</v>
      </c>
      <c r="J33" s="1">
        <v>1</v>
      </c>
      <c r="K33" s="10">
        <v>13</v>
      </c>
      <c r="L33" s="3">
        <v>6.3E-2</v>
      </c>
      <c r="M33" s="11">
        <v>8.2673146080083332E-2</v>
      </c>
      <c r="N33" t="s">
        <v>63</v>
      </c>
      <c r="O33" s="11">
        <v>6.3083548051762806E-2</v>
      </c>
      <c r="P33" s="11">
        <v>0.1</v>
      </c>
      <c r="Q33" s="11">
        <v>6.6572698942447314E-2</v>
      </c>
      <c r="R33" s="11">
        <v>8.2596316121962124E-2</v>
      </c>
      <c r="S33" s="9" t="s">
        <v>40</v>
      </c>
      <c r="T33" s="9" t="s">
        <v>46</v>
      </c>
      <c r="U33" s="9" t="s">
        <v>305</v>
      </c>
      <c r="V33" s="9" t="s">
        <v>308</v>
      </c>
      <c r="W33" s="1">
        <v>14.43</v>
      </c>
      <c r="X33" s="1">
        <v>15</v>
      </c>
      <c r="Y33" s="3">
        <f t="shared" si="0"/>
        <v>0.96199999999999997</v>
      </c>
      <c r="Z33" s="11">
        <v>6.547809794200031E-2</v>
      </c>
      <c r="AA33" s="11">
        <v>0.31275246405673501</v>
      </c>
      <c r="AB33" s="10">
        <v>0</v>
      </c>
      <c r="AC33" s="9" t="s">
        <v>41</v>
      </c>
      <c r="AD33" s="9" t="s">
        <v>63</v>
      </c>
    </row>
    <row r="34" spans="1:30" x14ac:dyDescent="0.25">
      <c r="A34" s="9" t="s">
        <v>852</v>
      </c>
      <c r="B34" s="10" t="s">
        <v>758</v>
      </c>
      <c r="C34" s="10">
        <v>2</v>
      </c>
      <c r="D34" s="10">
        <v>2007</v>
      </c>
      <c r="E34" s="9" t="s">
        <v>38</v>
      </c>
      <c r="F34" s="9" t="s">
        <v>29</v>
      </c>
      <c r="G34" s="1" t="s">
        <v>31</v>
      </c>
      <c r="H34" s="1" t="s">
        <v>31</v>
      </c>
      <c r="I34" s="9" t="s">
        <v>31</v>
      </c>
      <c r="J34" s="1" t="s">
        <v>31</v>
      </c>
      <c r="K34" s="10">
        <v>16</v>
      </c>
      <c r="L34" s="3">
        <v>0.41494877839518601</v>
      </c>
      <c r="M34" s="11">
        <v>4.5685455468582561E-2</v>
      </c>
      <c r="N34">
        <v>1100</v>
      </c>
      <c r="O34" s="11">
        <v>0.44157460435522761</v>
      </c>
      <c r="P34" s="11">
        <v>7.6923076923076927E-2</v>
      </c>
      <c r="Q34" s="11">
        <v>0.42902139351673818</v>
      </c>
      <c r="R34" s="11">
        <v>4.4383942291735617E-2</v>
      </c>
      <c r="S34" s="9" t="s">
        <v>40</v>
      </c>
      <c r="T34" s="9" t="s">
        <v>31</v>
      </c>
      <c r="U34" s="9" t="s">
        <v>305</v>
      </c>
      <c r="V34" s="9" t="s">
        <v>306</v>
      </c>
      <c r="W34" s="1">
        <v>12.7</v>
      </c>
      <c r="X34" s="1">
        <v>15</v>
      </c>
      <c r="Y34" s="3">
        <f t="shared" si="0"/>
        <v>0.84666666666666657</v>
      </c>
      <c r="Z34" s="11">
        <v>0.47423526712856001</v>
      </c>
      <c r="AA34" s="11">
        <v>0.26015714421404501</v>
      </c>
      <c r="AB34" s="10">
        <v>0</v>
      </c>
      <c r="AC34" s="9" t="s">
        <v>34</v>
      </c>
      <c r="AD34" s="9" t="s">
        <v>35</v>
      </c>
    </row>
    <row r="35" spans="1:30" x14ac:dyDescent="0.25">
      <c r="A35" s="9" t="s">
        <v>852</v>
      </c>
      <c r="B35" s="10" t="s">
        <v>759</v>
      </c>
      <c r="C35" s="10">
        <v>2</v>
      </c>
      <c r="D35" s="10">
        <v>2007</v>
      </c>
      <c r="E35" s="9" t="s">
        <v>28</v>
      </c>
      <c r="F35" s="9" t="s">
        <v>29</v>
      </c>
      <c r="G35" s="1">
        <v>29.2</v>
      </c>
      <c r="H35" s="1">
        <v>9.1999999999999993</v>
      </c>
      <c r="I35" s="9" t="s">
        <v>30</v>
      </c>
      <c r="J35" s="1">
        <v>0.45</v>
      </c>
      <c r="K35" s="10">
        <v>39</v>
      </c>
      <c r="L35" s="3">
        <v>9.6243579778564403E-2</v>
      </c>
      <c r="M35" s="11">
        <v>2.5830530175271999E-2</v>
      </c>
      <c r="N35" s="4">
        <v>1100</v>
      </c>
      <c r="O35" s="11">
        <v>9.6542404855828726E-2</v>
      </c>
      <c r="P35" s="11">
        <v>2.777777777777778E-2</v>
      </c>
      <c r="Q35" s="11">
        <v>9.7614473690075976E-2</v>
      </c>
      <c r="R35" s="11">
        <v>2.581667428930395E-2</v>
      </c>
      <c r="S35" s="9" t="s">
        <v>40</v>
      </c>
      <c r="T35" s="9" t="s">
        <v>31</v>
      </c>
      <c r="U35" s="9" t="s">
        <v>305</v>
      </c>
      <c r="V35" s="9" t="s">
        <v>306</v>
      </c>
      <c r="W35" s="1">
        <v>8.6</v>
      </c>
      <c r="X35" s="1">
        <v>15</v>
      </c>
      <c r="Y35" s="3">
        <f t="shared" si="0"/>
        <v>0.57333333333333336</v>
      </c>
      <c r="Z35" s="11">
        <v>0.16630116768803621</v>
      </c>
      <c r="AA35" s="11">
        <v>0.277026190338653</v>
      </c>
      <c r="AB35" s="10">
        <v>0</v>
      </c>
      <c r="AC35" s="9" t="s">
        <v>34</v>
      </c>
      <c r="AD35" s="9" t="s">
        <v>35</v>
      </c>
    </row>
    <row r="36" spans="1:30" x14ac:dyDescent="0.25">
      <c r="A36" s="9" t="s">
        <v>531</v>
      </c>
      <c r="B36" s="10" t="s">
        <v>760</v>
      </c>
      <c r="C36" s="10">
        <v>2</v>
      </c>
      <c r="D36" s="10">
        <v>2007</v>
      </c>
      <c r="E36" s="9" t="s">
        <v>38</v>
      </c>
      <c r="F36" s="9" t="s">
        <v>54</v>
      </c>
      <c r="G36" s="1">
        <v>10.5</v>
      </c>
      <c r="H36" s="1">
        <v>1.92</v>
      </c>
      <c r="I36" s="9" t="s">
        <v>31</v>
      </c>
      <c r="J36" s="1" t="s">
        <v>31</v>
      </c>
      <c r="K36" s="10">
        <v>20</v>
      </c>
      <c r="L36" s="3">
        <v>-0.22</v>
      </c>
      <c r="M36" s="11">
        <v>4.7660134736842108E-2</v>
      </c>
      <c r="N36" t="s">
        <v>63</v>
      </c>
      <c r="O36" s="11">
        <v>-0.22365610902183239</v>
      </c>
      <c r="P36" s="11">
        <v>5.8823529411764712E-2</v>
      </c>
      <c r="Q36" s="11">
        <v>-0.2265900950363213</v>
      </c>
      <c r="R36" s="11">
        <v>4.7365787822099083E-2</v>
      </c>
      <c r="S36" s="9" t="s">
        <v>40</v>
      </c>
      <c r="T36" s="9" t="s">
        <v>31</v>
      </c>
      <c r="U36" s="9" t="s">
        <v>305</v>
      </c>
      <c r="V36" s="9" t="s">
        <v>391</v>
      </c>
      <c r="W36" s="1">
        <v>11</v>
      </c>
      <c r="X36" s="1">
        <v>15</v>
      </c>
      <c r="Y36" s="3">
        <f t="shared" si="0"/>
        <v>0.73333333333333328</v>
      </c>
      <c r="Z36" s="11">
        <v>-0.2939481756261077</v>
      </c>
      <c r="AA36" s="11">
        <v>0.29498515289000998</v>
      </c>
      <c r="AB36" s="10">
        <v>0</v>
      </c>
      <c r="AC36" s="9" t="s">
        <v>34</v>
      </c>
      <c r="AD36" s="9" t="s">
        <v>63</v>
      </c>
    </row>
    <row r="37" spans="1:30" x14ac:dyDescent="0.25">
      <c r="A37" s="9" t="s">
        <v>531</v>
      </c>
      <c r="B37" s="10" t="s">
        <v>761</v>
      </c>
      <c r="C37" s="10">
        <v>2</v>
      </c>
      <c r="D37" s="10">
        <v>2007</v>
      </c>
      <c r="E37" s="9" t="s">
        <v>28</v>
      </c>
      <c r="F37" s="9" t="s">
        <v>54</v>
      </c>
      <c r="G37" s="1">
        <v>10.75</v>
      </c>
      <c r="H37" s="1">
        <v>2.33</v>
      </c>
      <c r="I37" s="9" t="s">
        <v>31</v>
      </c>
      <c r="J37" s="1" t="s">
        <v>31</v>
      </c>
      <c r="K37" s="10">
        <v>21</v>
      </c>
      <c r="L37" s="3">
        <v>0.38</v>
      </c>
      <c r="M37" s="11">
        <v>3.6602568000000002E-2</v>
      </c>
      <c r="N37" t="s">
        <v>63</v>
      </c>
      <c r="O37" s="11">
        <v>0.40005965005605648</v>
      </c>
      <c r="P37" s="11">
        <v>5.5555555555555552E-2</v>
      </c>
      <c r="Q37" s="11">
        <v>0.3894969339782669</v>
      </c>
      <c r="R37" s="11">
        <v>3.5979977605388583E-2</v>
      </c>
      <c r="S37" s="9" t="s">
        <v>40</v>
      </c>
      <c r="T37" s="9" t="s">
        <v>31</v>
      </c>
      <c r="U37" s="9" t="s">
        <v>305</v>
      </c>
      <c r="V37" s="9" t="s">
        <v>391</v>
      </c>
      <c r="W37" s="1">
        <v>13</v>
      </c>
      <c r="X37" s="1">
        <v>15</v>
      </c>
      <c r="Y37" s="3">
        <f t="shared" si="0"/>
        <v>0.8666666666666667</v>
      </c>
      <c r="Z37" s="11">
        <v>0.42833370625232509</v>
      </c>
      <c r="AA37" s="11">
        <v>0.22817718616868701</v>
      </c>
      <c r="AB37" s="10">
        <v>0</v>
      </c>
      <c r="AC37" s="9" t="s">
        <v>34</v>
      </c>
      <c r="AD37" s="9" t="s">
        <v>63</v>
      </c>
    </row>
    <row r="38" spans="1:30" x14ac:dyDescent="0.25">
      <c r="A38" s="9" t="s">
        <v>534</v>
      </c>
      <c r="B38" s="10" t="s">
        <v>762</v>
      </c>
      <c r="C38" s="10">
        <v>2</v>
      </c>
      <c r="D38" s="10">
        <v>2007</v>
      </c>
      <c r="E38" s="9" t="s">
        <v>38</v>
      </c>
      <c r="F38" s="9" t="s">
        <v>29</v>
      </c>
      <c r="G38" s="1">
        <v>40.799999999999997</v>
      </c>
      <c r="H38" s="1">
        <v>9.4</v>
      </c>
      <c r="I38" s="9" t="s">
        <v>30</v>
      </c>
      <c r="J38" s="1">
        <v>0.9</v>
      </c>
      <c r="K38" s="10">
        <v>43</v>
      </c>
      <c r="L38" s="3">
        <v>0.28499999999999998</v>
      </c>
      <c r="M38" s="11">
        <v>2.0098750014880949E-2</v>
      </c>
      <c r="N38" t="s">
        <v>63</v>
      </c>
      <c r="O38" s="11">
        <v>0.29311572731765623</v>
      </c>
      <c r="P38" s="11">
        <v>2.5000000000000001E-2</v>
      </c>
      <c r="Q38" s="11">
        <v>0.2883617392855054</v>
      </c>
      <c r="R38" s="11">
        <v>2.001450837314284E-2</v>
      </c>
      <c r="S38" s="9" t="s">
        <v>40</v>
      </c>
      <c r="T38" s="9" t="s">
        <v>46</v>
      </c>
      <c r="U38" s="9" t="s">
        <v>305</v>
      </c>
      <c r="V38" s="9" t="s">
        <v>311</v>
      </c>
      <c r="W38" s="1">
        <v>17.399999999999999</v>
      </c>
      <c r="X38" s="1">
        <v>15</v>
      </c>
      <c r="Y38" s="3">
        <f t="shared" si="0"/>
        <v>1.1599999999999999</v>
      </c>
      <c r="Z38" s="11">
        <v>0.24829320116377859</v>
      </c>
      <c r="AA38" s="11">
        <v>0.133058533832976</v>
      </c>
      <c r="AB38" s="10">
        <v>0</v>
      </c>
      <c r="AC38" s="9" t="s">
        <v>34</v>
      </c>
      <c r="AD38" s="9" t="s">
        <v>63</v>
      </c>
    </row>
    <row r="39" spans="1:30" x14ac:dyDescent="0.25">
      <c r="A39" s="9" t="s">
        <v>534</v>
      </c>
      <c r="B39" s="10" t="s">
        <v>763</v>
      </c>
      <c r="C39" s="10">
        <v>2</v>
      </c>
      <c r="D39" s="10">
        <v>2007</v>
      </c>
      <c r="E39" s="9" t="s">
        <v>28</v>
      </c>
      <c r="F39" s="9" t="s">
        <v>29</v>
      </c>
      <c r="G39" s="1">
        <v>40.6</v>
      </c>
      <c r="H39" s="1">
        <v>10.4</v>
      </c>
      <c r="I39" s="9" t="s">
        <v>30</v>
      </c>
      <c r="J39" s="1">
        <v>0.9</v>
      </c>
      <c r="K39" s="10">
        <v>44</v>
      </c>
      <c r="L39" s="3">
        <v>0.33800000000000002</v>
      </c>
      <c r="M39" s="11">
        <v>1.8245667245023259E-2</v>
      </c>
      <c r="N39" t="s">
        <v>63</v>
      </c>
      <c r="O39" s="11">
        <v>0.35183284237558282</v>
      </c>
      <c r="P39" s="11">
        <v>2.4390243902439029E-2</v>
      </c>
      <c r="Q39" s="11">
        <v>0.34174021904538682</v>
      </c>
      <c r="R39" s="11">
        <v>1.8141076820920018E-2</v>
      </c>
      <c r="S39" s="9" t="s">
        <v>40</v>
      </c>
      <c r="T39" s="9" t="s">
        <v>46</v>
      </c>
      <c r="U39" s="9" t="s">
        <v>305</v>
      </c>
      <c r="V39" s="9" t="s">
        <v>311</v>
      </c>
      <c r="W39" s="1">
        <v>11.5</v>
      </c>
      <c r="X39" s="1">
        <v>15</v>
      </c>
      <c r="Y39" s="3">
        <f t="shared" si="0"/>
        <v>0.76666666666666672</v>
      </c>
      <c r="Z39" s="11">
        <v>0.42420298318713062</v>
      </c>
      <c r="AA39" s="11">
        <v>0.168694115072408</v>
      </c>
      <c r="AB39" s="10">
        <v>0</v>
      </c>
      <c r="AC39" s="9" t="s">
        <v>34</v>
      </c>
      <c r="AD39" s="9" t="s">
        <v>63</v>
      </c>
    </row>
    <row r="40" spans="1:30" x14ac:dyDescent="0.25">
      <c r="A40" s="9" t="s">
        <v>858</v>
      </c>
      <c r="B40" s="10" t="s">
        <v>764</v>
      </c>
      <c r="C40" s="10">
        <v>2</v>
      </c>
      <c r="D40" s="10">
        <v>2007</v>
      </c>
      <c r="E40" s="9" t="s">
        <v>38</v>
      </c>
      <c r="F40" s="9" t="s">
        <v>29</v>
      </c>
      <c r="G40" s="1">
        <v>34.32</v>
      </c>
      <c r="H40" s="1" t="s">
        <v>31</v>
      </c>
      <c r="I40" s="9" t="s">
        <v>39</v>
      </c>
      <c r="J40" s="1">
        <v>0</v>
      </c>
      <c r="K40" s="10">
        <v>22</v>
      </c>
      <c r="L40" s="3">
        <v>0.30399999999999999</v>
      </c>
      <c r="M40" s="11">
        <v>3.9224224621714279E-2</v>
      </c>
      <c r="N40" t="s">
        <v>63</v>
      </c>
      <c r="O40" s="11">
        <v>0.31392104107608942</v>
      </c>
      <c r="P40" s="11">
        <v>5.2631578947368418E-2</v>
      </c>
      <c r="Q40" s="11">
        <v>0.31166870267362379</v>
      </c>
      <c r="R40" s="11">
        <v>3.8817186199271499E-2</v>
      </c>
      <c r="S40" s="9" t="s">
        <v>40</v>
      </c>
      <c r="T40" s="9" t="s">
        <v>46</v>
      </c>
      <c r="U40" s="9" t="s">
        <v>305</v>
      </c>
      <c r="V40" s="9" t="s">
        <v>385</v>
      </c>
      <c r="W40" s="1" t="s">
        <v>31</v>
      </c>
      <c r="X40" s="1" t="s">
        <v>31</v>
      </c>
      <c r="Y40" s="3" t="s">
        <v>31</v>
      </c>
      <c r="Z40" s="11" t="s">
        <v>31</v>
      </c>
      <c r="AA40" s="11" t="s">
        <v>31</v>
      </c>
      <c r="AB40" s="10">
        <v>0</v>
      </c>
      <c r="AC40" s="9" t="s">
        <v>34</v>
      </c>
      <c r="AD40" s="9" t="s">
        <v>63</v>
      </c>
    </row>
    <row r="41" spans="1:30" x14ac:dyDescent="0.25">
      <c r="A41" s="9" t="s">
        <v>858</v>
      </c>
      <c r="B41" s="10" t="s">
        <v>765</v>
      </c>
      <c r="C41" s="10">
        <v>2</v>
      </c>
      <c r="D41" s="10">
        <v>2007</v>
      </c>
      <c r="E41" s="9" t="s">
        <v>38</v>
      </c>
      <c r="F41" s="9" t="s">
        <v>29</v>
      </c>
      <c r="G41" s="1">
        <v>37.770000000000003</v>
      </c>
      <c r="H41" s="1" t="s">
        <v>31</v>
      </c>
      <c r="I41" s="9" t="s">
        <v>43</v>
      </c>
      <c r="J41" s="1">
        <v>1</v>
      </c>
      <c r="K41" s="10">
        <v>35</v>
      </c>
      <c r="L41" s="3">
        <v>0.17199999999999999</v>
      </c>
      <c r="M41" s="11">
        <v>2.7697270972235299E-2</v>
      </c>
      <c r="N41" t="s">
        <v>63</v>
      </c>
      <c r="O41" s="11">
        <v>0.1737269078758491</v>
      </c>
      <c r="P41" s="11">
        <v>3.125E-2</v>
      </c>
      <c r="Q41" s="11">
        <v>0.17470725911557911</v>
      </c>
      <c r="R41" s="11">
        <v>2.7643716998418989E-2</v>
      </c>
      <c r="S41" s="9" t="s">
        <v>40</v>
      </c>
      <c r="T41" s="9" t="s">
        <v>46</v>
      </c>
      <c r="U41" s="9" t="s">
        <v>305</v>
      </c>
      <c r="V41" s="9" t="s">
        <v>385</v>
      </c>
      <c r="W41" s="1" t="s">
        <v>31</v>
      </c>
      <c r="X41" s="1" t="s">
        <v>31</v>
      </c>
      <c r="Y41" s="3" t="s">
        <v>31</v>
      </c>
      <c r="Z41" s="11" t="s">
        <v>31</v>
      </c>
      <c r="AA41" s="11" t="s">
        <v>31</v>
      </c>
      <c r="AB41" s="10">
        <v>0</v>
      </c>
      <c r="AC41" s="9" t="s">
        <v>34</v>
      </c>
      <c r="AD41" s="9" t="s">
        <v>63</v>
      </c>
    </row>
    <row r="42" spans="1:30" x14ac:dyDescent="0.25">
      <c r="A42" s="9" t="s">
        <v>858</v>
      </c>
      <c r="B42" s="10" t="s">
        <v>766</v>
      </c>
      <c r="C42" s="10">
        <v>2</v>
      </c>
      <c r="D42" s="10">
        <v>2007</v>
      </c>
      <c r="E42" s="9" t="s">
        <v>28</v>
      </c>
      <c r="F42" s="9" t="s">
        <v>29</v>
      </c>
      <c r="G42" s="1">
        <v>40.9</v>
      </c>
      <c r="H42" s="1" t="s">
        <v>31</v>
      </c>
      <c r="I42" s="9" t="s">
        <v>39</v>
      </c>
      <c r="J42" s="1">
        <v>0</v>
      </c>
      <c r="K42" s="10">
        <v>68</v>
      </c>
      <c r="L42" s="3">
        <v>0.29099999999999998</v>
      </c>
      <c r="M42" s="11">
        <v>1.2504610026283581E-2</v>
      </c>
      <c r="N42" t="s">
        <v>63</v>
      </c>
      <c r="O42" s="11">
        <v>0.2996584321572574</v>
      </c>
      <c r="P42" s="11">
        <v>1.5384615384615391E-2</v>
      </c>
      <c r="Q42" s="11">
        <v>0.29308259450516111</v>
      </c>
      <c r="R42" s="11">
        <v>1.247139627104853E-2</v>
      </c>
      <c r="S42" s="9" t="s">
        <v>40</v>
      </c>
      <c r="T42" s="9" t="s">
        <v>46</v>
      </c>
      <c r="U42" s="9" t="s">
        <v>305</v>
      </c>
      <c r="V42" s="9" t="s">
        <v>385</v>
      </c>
      <c r="W42" s="1" t="s">
        <v>31</v>
      </c>
      <c r="X42" s="1" t="s">
        <v>31</v>
      </c>
      <c r="Y42" s="3" t="s">
        <v>31</v>
      </c>
      <c r="Z42" s="11" t="s">
        <v>31</v>
      </c>
      <c r="AA42" s="11" t="s">
        <v>31</v>
      </c>
      <c r="AB42" s="10">
        <v>0</v>
      </c>
      <c r="AC42" s="9" t="s">
        <v>34</v>
      </c>
      <c r="AD42" s="9" t="s">
        <v>63</v>
      </c>
    </row>
    <row r="43" spans="1:30" x14ac:dyDescent="0.25">
      <c r="A43" s="9" t="s">
        <v>858</v>
      </c>
      <c r="B43" s="10" t="s">
        <v>767</v>
      </c>
      <c r="C43" s="10">
        <v>2</v>
      </c>
      <c r="D43" s="10">
        <v>2007</v>
      </c>
      <c r="E43" s="9" t="s">
        <v>28</v>
      </c>
      <c r="F43" s="9" t="s">
        <v>29</v>
      </c>
      <c r="G43" s="1">
        <v>39.65</v>
      </c>
      <c r="H43" s="1" t="s">
        <v>31</v>
      </c>
      <c r="I43" s="9" t="s">
        <v>43</v>
      </c>
      <c r="J43" s="1">
        <v>1</v>
      </c>
      <c r="K43" s="10">
        <v>203</v>
      </c>
      <c r="L43" s="3">
        <v>0.16700000000000001</v>
      </c>
      <c r="M43" s="11">
        <v>4.678216813470297E-3</v>
      </c>
      <c r="N43" t="s">
        <v>63</v>
      </c>
      <c r="O43" s="11">
        <v>0.16857899505985671</v>
      </c>
      <c r="P43" s="11">
        <v>5.0000000000000001E-3</v>
      </c>
      <c r="Q43" s="11">
        <v>0.1674082768955204</v>
      </c>
      <c r="R43" s="11">
        <v>4.6769028121350573E-3</v>
      </c>
      <c r="S43" s="9" t="s">
        <v>40</v>
      </c>
      <c r="T43" s="9" t="s">
        <v>46</v>
      </c>
      <c r="U43" s="9" t="s">
        <v>305</v>
      </c>
      <c r="V43" s="9" t="s">
        <v>385</v>
      </c>
      <c r="W43" s="1" t="s">
        <v>31</v>
      </c>
      <c r="X43" s="1" t="s">
        <v>31</v>
      </c>
      <c r="Y43" s="3" t="s">
        <v>31</v>
      </c>
      <c r="Z43" s="11" t="s">
        <v>31</v>
      </c>
      <c r="AA43" s="11" t="s">
        <v>31</v>
      </c>
      <c r="AB43" s="10">
        <v>0</v>
      </c>
      <c r="AC43" s="9" t="s">
        <v>34</v>
      </c>
      <c r="AD43" s="9" t="s">
        <v>63</v>
      </c>
    </row>
    <row r="44" spans="1:30" x14ac:dyDescent="0.25">
      <c r="A44" s="9" t="s">
        <v>537</v>
      </c>
      <c r="B44" s="10" t="s">
        <v>768</v>
      </c>
      <c r="C44" s="10">
        <v>2</v>
      </c>
      <c r="D44" s="10">
        <v>2007</v>
      </c>
      <c r="E44" s="9" t="s">
        <v>38</v>
      </c>
      <c r="F44" s="9" t="s">
        <v>54</v>
      </c>
      <c r="G44" s="1">
        <v>13.1</v>
      </c>
      <c r="H44" s="1">
        <v>3.1</v>
      </c>
      <c r="I44" s="9" t="s">
        <v>43</v>
      </c>
      <c r="J44" s="1">
        <v>1</v>
      </c>
      <c r="K44" s="10">
        <v>22</v>
      </c>
      <c r="L44" s="3">
        <v>0.25</v>
      </c>
      <c r="M44" s="11">
        <v>4.1852678571428568E-2</v>
      </c>
      <c r="N44">
        <v>489</v>
      </c>
      <c r="O44" s="11">
        <v>0.25541281188299542</v>
      </c>
      <c r="P44" s="11">
        <v>5.2631578947368418E-2</v>
      </c>
      <c r="Q44" s="11">
        <v>0.25654104459352312</v>
      </c>
      <c r="R44" s="11">
        <v>4.1557370301422127E-2</v>
      </c>
      <c r="S44" s="9" t="s">
        <v>40</v>
      </c>
      <c r="T44" s="9" t="s">
        <v>50</v>
      </c>
      <c r="U44" s="9" t="s">
        <v>305</v>
      </c>
      <c r="V44" s="9" t="s">
        <v>390</v>
      </c>
      <c r="W44" s="1">
        <v>12</v>
      </c>
      <c r="X44" s="1">
        <v>15</v>
      </c>
      <c r="Y44" s="3">
        <f>W44/X44</f>
        <v>0.8</v>
      </c>
      <c r="Z44" s="11">
        <v>0.30714755841697561</v>
      </c>
      <c r="AA44" s="11">
        <v>0.23553620749302201</v>
      </c>
      <c r="AB44" s="10">
        <v>2</v>
      </c>
      <c r="AC44" s="9" t="s">
        <v>41</v>
      </c>
      <c r="AD44" s="9" t="s">
        <v>35</v>
      </c>
    </row>
    <row r="45" spans="1:30" x14ac:dyDescent="0.25">
      <c r="A45" s="9" t="s">
        <v>538</v>
      </c>
      <c r="B45" s="10" t="s">
        <v>769</v>
      </c>
      <c r="C45" s="10">
        <v>2</v>
      </c>
      <c r="D45" s="10">
        <v>2008</v>
      </c>
      <c r="E45" s="9" t="s">
        <v>38</v>
      </c>
      <c r="F45" s="9" t="s">
        <v>29</v>
      </c>
      <c r="G45" s="1">
        <v>31.5</v>
      </c>
      <c r="H45" s="1">
        <v>11.1</v>
      </c>
      <c r="I45" s="9" t="s">
        <v>30</v>
      </c>
      <c r="J45" s="1">
        <v>0.56000000000000005</v>
      </c>
      <c r="K45" s="10">
        <v>27</v>
      </c>
      <c r="L45" s="3">
        <v>0.183</v>
      </c>
      <c r="M45" s="11">
        <v>3.5928596658499998E-2</v>
      </c>
      <c r="N45" t="s">
        <v>63</v>
      </c>
      <c r="O45" s="11">
        <v>0.185084884559192</v>
      </c>
      <c r="P45" s="11">
        <v>4.1666666666666657E-2</v>
      </c>
      <c r="Q45" s="11">
        <v>0.18687200428746539</v>
      </c>
      <c r="R45" s="11">
        <v>3.5822199787083668E-2</v>
      </c>
      <c r="S45" s="9" t="s">
        <v>40</v>
      </c>
      <c r="T45" s="9" t="s">
        <v>31</v>
      </c>
      <c r="U45" s="9" t="s">
        <v>305</v>
      </c>
      <c r="V45" s="9" t="s">
        <v>307</v>
      </c>
      <c r="W45" s="1">
        <v>15.9</v>
      </c>
      <c r="X45" s="1">
        <v>15</v>
      </c>
      <c r="Y45" s="3">
        <f>W45/X45</f>
        <v>1.06</v>
      </c>
      <c r="Z45" s="11">
        <v>0.17296038857048859</v>
      </c>
      <c r="AA45" s="11">
        <v>0.186562833927269</v>
      </c>
      <c r="AB45" s="10">
        <v>3</v>
      </c>
      <c r="AC45" s="9" t="s">
        <v>41</v>
      </c>
      <c r="AD45" s="9" t="s">
        <v>63</v>
      </c>
    </row>
    <row r="46" spans="1:30" x14ac:dyDescent="0.25">
      <c r="A46" s="9" t="s">
        <v>853</v>
      </c>
      <c r="B46" s="10" t="s">
        <v>770</v>
      </c>
      <c r="C46" s="10">
        <v>2</v>
      </c>
      <c r="D46" s="10">
        <v>2009</v>
      </c>
      <c r="E46" s="9" t="s">
        <v>38</v>
      </c>
      <c r="F46" s="9" t="s">
        <v>54</v>
      </c>
      <c r="G46" s="1">
        <v>14.6</v>
      </c>
      <c r="H46" s="1">
        <v>3.2</v>
      </c>
      <c r="I46" s="9" t="s">
        <v>30</v>
      </c>
      <c r="J46" s="1">
        <v>0.11</v>
      </c>
      <c r="K46" s="10">
        <v>9</v>
      </c>
      <c r="L46" s="3">
        <v>0.55000000000000004</v>
      </c>
      <c r="M46" s="11">
        <v>6.0813281249999997E-2</v>
      </c>
      <c r="N46" t="s">
        <v>63</v>
      </c>
      <c r="O46" s="11">
        <v>0.61838131357446358</v>
      </c>
      <c r="P46" s="11">
        <v>0.16666666666666671</v>
      </c>
      <c r="Q46" s="11">
        <v>0.58413369825303119</v>
      </c>
      <c r="R46" s="11">
        <v>5.4250174395030729E-2</v>
      </c>
      <c r="S46" s="9" t="s">
        <v>40</v>
      </c>
      <c r="T46" s="9" t="s">
        <v>31</v>
      </c>
      <c r="U46" s="9" t="s">
        <v>305</v>
      </c>
      <c r="V46" s="9" t="s">
        <v>394</v>
      </c>
      <c r="W46" s="1" t="s">
        <v>31</v>
      </c>
      <c r="X46" s="1" t="s">
        <v>31</v>
      </c>
      <c r="Y46" s="3" t="s">
        <v>31</v>
      </c>
      <c r="Z46" s="11" t="s">
        <v>31</v>
      </c>
      <c r="AA46" s="11" t="s">
        <v>31</v>
      </c>
      <c r="AB46" s="10">
        <v>0</v>
      </c>
      <c r="AC46" s="9" t="s">
        <v>34</v>
      </c>
      <c r="AD46" s="9" t="s">
        <v>63</v>
      </c>
    </row>
    <row r="47" spans="1:30" x14ac:dyDescent="0.25">
      <c r="A47" s="9" t="s">
        <v>853</v>
      </c>
      <c r="B47" s="10" t="s">
        <v>771</v>
      </c>
      <c r="C47" s="10">
        <v>2</v>
      </c>
      <c r="D47" s="10">
        <v>2009</v>
      </c>
      <c r="E47" s="9" t="s">
        <v>28</v>
      </c>
      <c r="F47" s="9" t="s">
        <v>54</v>
      </c>
      <c r="G47" s="1">
        <v>14.5</v>
      </c>
      <c r="H47" s="1">
        <v>1.5</v>
      </c>
      <c r="I47" s="9" t="s">
        <v>30</v>
      </c>
      <c r="J47" s="1">
        <v>0.08</v>
      </c>
      <c r="K47" s="10">
        <v>12</v>
      </c>
      <c r="L47" s="3">
        <v>0.38200000000000001</v>
      </c>
      <c r="M47" s="11">
        <v>6.6313255797818202E-2</v>
      </c>
      <c r="N47" t="s">
        <v>63</v>
      </c>
      <c r="O47" s="11">
        <v>0.40239927343496218</v>
      </c>
      <c r="P47" s="11">
        <v>0.1111111111111111</v>
      </c>
      <c r="Q47" s="11">
        <v>0.40196141918074002</v>
      </c>
      <c r="R47" s="11">
        <v>6.390544215068375E-2</v>
      </c>
      <c r="S47" s="9" t="s">
        <v>40</v>
      </c>
      <c r="T47" s="9" t="s">
        <v>31</v>
      </c>
      <c r="U47" s="9" t="s">
        <v>305</v>
      </c>
      <c r="V47" s="9" t="s">
        <v>394</v>
      </c>
      <c r="W47" s="1" t="s">
        <v>31</v>
      </c>
      <c r="X47" s="1" t="s">
        <v>31</v>
      </c>
      <c r="Y47" s="3" t="s">
        <v>31</v>
      </c>
      <c r="Z47" s="11" t="s">
        <v>31</v>
      </c>
      <c r="AA47" s="11" t="s">
        <v>31</v>
      </c>
      <c r="AB47" s="10">
        <v>0</v>
      </c>
      <c r="AC47" s="9" t="s">
        <v>34</v>
      </c>
      <c r="AD47" s="9" t="s">
        <v>63</v>
      </c>
    </row>
    <row r="48" spans="1:30" x14ac:dyDescent="0.25">
      <c r="A48" s="9" t="s">
        <v>541</v>
      </c>
      <c r="B48" s="10" t="s">
        <v>772</v>
      </c>
      <c r="C48" s="10">
        <v>2</v>
      </c>
      <c r="D48" s="10">
        <v>2009</v>
      </c>
      <c r="E48" s="9" t="s">
        <v>38</v>
      </c>
      <c r="F48" s="9" t="s">
        <v>54</v>
      </c>
      <c r="G48" s="1">
        <v>10.5</v>
      </c>
      <c r="H48" s="1">
        <v>1.27</v>
      </c>
      <c r="I48" s="9" t="s">
        <v>30</v>
      </c>
      <c r="J48" s="1">
        <v>0.53</v>
      </c>
      <c r="K48" s="10">
        <v>66</v>
      </c>
      <c r="L48" s="3">
        <v>0.123</v>
      </c>
      <c r="M48" s="11">
        <v>1.4922629025246161E-2</v>
      </c>
      <c r="N48" t="s">
        <v>63</v>
      </c>
      <c r="O48" s="11">
        <v>0.1236259811831301</v>
      </c>
      <c r="P48" s="11">
        <v>1.5873015873015869E-2</v>
      </c>
      <c r="Q48" s="11">
        <v>0.12398027903591879</v>
      </c>
      <c r="R48" s="11">
        <v>1.491529310508268E-2</v>
      </c>
      <c r="S48" s="9" t="s">
        <v>40</v>
      </c>
      <c r="T48" s="9" t="s">
        <v>50</v>
      </c>
      <c r="U48" s="9" t="s">
        <v>305</v>
      </c>
      <c r="V48" s="9" t="s">
        <v>391</v>
      </c>
      <c r="W48" s="1">
        <v>11.5</v>
      </c>
      <c r="X48" s="1">
        <v>15</v>
      </c>
      <c r="Y48" s="3">
        <f t="shared" ref="Y48:Y54" si="1">W48/X48</f>
        <v>0.76666666666666672</v>
      </c>
      <c r="Z48" s="11">
        <v>0.15959036421140529</v>
      </c>
      <c r="AA48" s="11">
        <v>0.159651309359396</v>
      </c>
      <c r="AB48" s="10">
        <v>0</v>
      </c>
      <c r="AC48" s="9" t="s">
        <v>34</v>
      </c>
      <c r="AD48" s="9" t="s">
        <v>63</v>
      </c>
    </row>
    <row r="49" spans="1:30" x14ac:dyDescent="0.25">
      <c r="A49" s="9" t="s">
        <v>541</v>
      </c>
      <c r="B49" s="10" t="s">
        <v>892</v>
      </c>
      <c r="C49" s="10">
        <v>2</v>
      </c>
      <c r="D49" s="10">
        <v>2009</v>
      </c>
      <c r="E49" s="9" t="s">
        <v>28</v>
      </c>
      <c r="F49" s="9" t="s">
        <v>54</v>
      </c>
      <c r="G49" s="1">
        <v>10.4</v>
      </c>
      <c r="H49" s="1">
        <v>1.24</v>
      </c>
      <c r="I49" s="9" t="s">
        <v>30</v>
      </c>
      <c r="J49" s="1">
        <v>0.56999999999999995</v>
      </c>
      <c r="K49" s="10">
        <v>47</v>
      </c>
      <c r="L49" s="3">
        <v>0.19800000000000001</v>
      </c>
      <c r="M49" s="11">
        <v>2.006802073078261E-2</v>
      </c>
      <c r="N49" t="s">
        <v>63</v>
      </c>
      <c r="O49" s="11">
        <v>0.20065008540443999</v>
      </c>
      <c r="P49" s="11">
        <v>2.2727272727272731E-2</v>
      </c>
      <c r="Q49" s="11">
        <v>0.20021999869185261</v>
      </c>
      <c r="R49" s="11">
        <v>2.0031107735438931E-2</v>
      </c>
      <c r="S49" s="9" t="s">
        <v>40</v>
      </c>
      <c r="T49" s="9" t="s">
        <v>50</v>
      </c>
      <c r="U49" s="9" t="s">
        <v>305</v>
      </c>
      <c r="V49" s="9" t="s">
        <v>391</v>
      </c>
      <c r="W49" s="1">
        <v>13.9</v>
      </c>
      <c r="X49" s="1">
        <v>15</v>
      </c>
      <c r="Y49" s="3">
        <f t="shared" si="1"/>
        <v>0.92666666666666664</v>
      </c>
      <c r="Z49" s="11">
        <v>0.2129832479865591</v>
      </c>
      <c r="AA49" s="11">
        <v>0.15618096300661599</v>
      </c>
      <c r="AB49" s="10">
        <v>0</v>
      </c>
      <c r="AC49" s="9" t="s">
        <v>34</v>
      </c>
      <c r="AD49" s="9" t="s">
        <v>63</v>
      </c>
    </row>
    <row r="50" spans="1:30" x14ac:dyDescent="0.25">
      <c r="A50" s="9" t="s">
        <v>543</v>
      </c>
      <c r="B50" s="10" t="s">
        <v>773</v>
      </c>
      <c r="C50" s="10">
        <v>2</v>
      </c>
      <c r="D50" s="10">
        <v>2009</v>
      </c>
      <c r="E50" s="9" t="s">
        <v>38</v>
      </c>
      <c r="F50" s="9" t="s">
        <v>54</v>
      </c>
      <c r="G50" s="1">
        <v>9.1</v>
      </c>
      <c r="H50" s="1">
        <v>0.1</v>
      </c>
      <c r="I50" s="9" t="s">
        <v>30</v>
      </c>
      <c r="J50" s="1">
        <v>0.5</v>
      </c>
      <c r="K50" s="10">
        <v>209</v>
      </c>
      <c r="L50" s="3">
        <v>0.28000000000000003</v>
      </c>
      <c r="M50" s="11">
        <v>4.0833969230769226E-3</v>
      </c>
      <c r="N50">
        <v>186</v>
      </c>
      <c r="O50" s="11">
        <v>0.28768207245178101</v>
      </c>
      <c r="P50" s="11">
        <v>4.8543689320388354E-3</v>
      </c>
      <c r="Q50" s="11">
        <v>0.28062960411750898</v>
      </c>
      <c r="R50" s="11">
        <v>4.0802696231294492E-3</v>
      </c>
      <c r="S50" s="9" t="s">
        <v>40</v>
      </c>
      <c r="T50" s="9" t="s">
        <v>50</v>
      </c>
      <c r="U50" s="9" t="s">
        <v>305</v>
      </c>
      <c r="V50" s="9" t="s">
        <v>392</v>
      </c>
      <c r="W50" s="1">
        <v>12</v>
      </c>
      <c r="X50" s="1">
        <v>15</v>
      </c>
      <c r="Y50" s="3">
        <f t="shared" si="1"/>
        <v>0.8</v>
      </c>
      <c r="Z50" s="11">
        <v>0.34252872381068972</v>
      </c>
      <c r="AA50" s="11">
        <v>7.8256616199010601E-2</v>
      </c>
      <c r="AB50" s="10">
        <v>1</v>
      </c>
      <c r="AC50" s="9" t="s">
        <v>41</v>
      </c>
      <c r="AD50" s="9" t="s">
        <v>35</v>
      </c>
    </row>
    <row r="51" spans="1:30" x14ac:dyDescent="0.25">
      <c r="A51" s="9" t="s">
        <v>544</v>
      </c>
      <c r="B51" s="10" t="s">
        <v>774</v>
      </c>
      <c r="C51" s="10">
        <v>2</v>
      </c>
      <c r="D51" s="10">
        <v>2009</v>
      </c>
      <c r="E51" s="9" t="s">
        <v>28</v>
      </c>
      <c r="F51" s="9" t="s">
        <v>29</v>
      </c>
      <c r="G51" s="1">
        <v>32</v>
      </c>
      <c r="H51" s="1">
        <v>5</v>
      </c>
      <c r="I51" s="9" t="s">
        <v>39</v>
      </c>
      <c r="J51" s="1">
        <v>0</v>
      </c>
      <c r="K51" s="10">
        <v>13</v>
      </c>
      <c r="L51" s="3">
        <v>0.157</v>
      </c>
      <c r="M51" s="11">
        <v>7.9275797766749992E-2</v>
      </c>
      <c r="N51" t="s">
        <v>63</v>
      </c>
      <c r="O51" s="11">
        <v>0.1583093845959106</v>
      </c>
      <c r="P51" s="11">
        <v>0.1</v>
      </c>
      <c r="Q51" s="11">
        <v>0.16566131676039161</v>
      </c>
      <c r="R51" s="11">
        <v>7.8822150948681488E-2</v>
      </c>
      <c r="S51" s="9" t="s">
        <v>40</v>
      </c>
      <c r="T51" s="9" t="s">
        <v>31</v>
      </c>
      <c r="U51" s="9" t="s">
        <v>305</v>
      </c>
      <c r="V51" s="9" t="s">
        <v>393</v>
      </c>
      <c r="W51" s="1">
        <v>17</v>
      </c>
      <c r="X51" s="1">
        <v>15</v>
      </c>
      <c r="Y51" s="3">
        <f t="shared" si="1"/>
        <v>1.1333333333333333</v>
      </c>
      <c r="Z51" s="11">
        <v>0.138909055182735</v>
      </c>
      <c r="AA51" s="11">
        <v>0.26507282953462302</v>
      </c>
      <c r="AB51" s="10">
        <v>0</v>
      </c>
      <c r="AC51" s="9" t="s">
        <v>34</v>
      </c>
      <c r="AD51" s="9" t="s">
        <v>63</v>
      </c>
    </row>
    <row r="52" spans="1:30" x14ac:dyDescent="0.25">
      <c r="A52" s="9" t="s">
        <v>544</v>
      </c>
      <c r="B52" s="10" t="s">
        <v>775</v>
      </c>
      <c r="C52" s="10">
        <v>2</v>
      </c>
      <c r="D52" s="10">
        <v>2009</v>
      </c>
      <c r="E52" s="9" t="s">
        <v>38</v>
      </c>
      <c r="F52" s="9" t="s">
        <v>29</v>
      </c>
      <c r="G52" s="1">
        <v>33</v>
      </c>
      <c r="H52" s="1">
        <v>7</v>
      </c>
      <c r="I52" s="9" t="s">
        <v>39</v>
      </c>
      <c r="J52" s="1">
        <v>0</v>
      </c>
      <c r="K52" s="10">
        <v>25</v>
      </c>
      <c r="L52" s="3">
        <v>0.23699999999999999</v>
      </c>
      <c r="M52" s="11">
        <v>3.7117373190041672E-2</v>
      </c>
      <c r="N52" t="s">
        <v>63</v>
      </c>
      <c r="O52" s="11">
        <v>0.2415931705540155</v>
      </c>
      <c r="P52" s="11">
        <v>4.5454545454545463E-2</v>
      </c>
      <c r="Q52" s="11">
        <v>0.24235226381825531</v>
      </c>
      <c r="R52" s="11">
        <v>3.6915854833532512E-2</v>
      </c>
      <c r="S52" s="9" t="s">
        <v>40</v>
      </c>
      <c r="T52" s="9" t="s">
        <v>31</v>
      </c>
      <c r="U52" s="9" t="s">
        <v>305</v>
      </c>
      <c r="V52" s="9" t="s">
        <v>393</v>
      </c>
      <c r="W52" s="1">
        <v>16</v>
      </c>
      <c r="X52" s="1">
        <v>15</v>
      </c>
      <c r="Y52" s="3">
        <f t="shared" si="1"/>
        <v>1.0666666666666667</v>
      </c>
      <c r="Z52" s="11">
        <v>0.22294700466260209</v>
      </c>
      <c r="AA52" s="11">
        <v>0.191907945508245</v>
      </c>
      <c r="AB52" s="10">
        <v>0</v>
      </c>
      <c r="AC52" s="9" t="s">
        <v>34</v>
      </c>
      <c r="AD52" s="9" t="s">
        <v>63</v>
      </c>
    </row>
    <row r="53" spans="1:30" x14ac:dyDescent="0.25">
      <c r="A53" s="9" t="s">
        <v>544</v>
      </c>
      <c r="B53" s="10" t="s">
        <v>776</v>
      </c>
      <c r="C53" s="10">
        <v>2</v>
      </c>
      <c r="D53" s="10">
        <v>2009</v>
      </c>
      <c r="E53" s="9" t="s">
        <v>28</v>
      </c>
      <c r="F53" s="9" t="s">
        <v>29</v>
      </c>
      <c r="G53" s="1">
        <v>32</v>
      </c>
      <c r="H53" s="1">
        <v>7</v>
      </c>
      <c r="I53" s="9" t="s">
        <v>39</v>
      </c>
      <c r="J53" s="1">
        <v>0</v>
      </c>
      <c r="K53" s="10">
        <v>10</v>
      </c>
      <c r="L53" s="3">
        <v>0.23400000000000001</v>
      </c>
      <c r="M53" s="11">
        <v>9.9276246615111099E-2</v>
      </c>
      <c r="N53" t="s">
        <v>63</v>
      </c>
      <c r="O53" s="11">
        <v>0.23841701736237089</v>
      </c>
      <c r="P53" s="11">
        <v>0.1428571428571429</v>
      </c>
      <c r="Q53" s="11">
        <v>0.25258587613786537</v>
      </c>
      <c r="R53" s="11">
        <v>9.7385682497673265E-2</v>
      </c>
      <c r="S53" s="9" t="s">
        <v>40</v>
      </c>
      <c r="T53" s="9" t="s">
        <v>31</v>
      </c>
      <c r="U53" s="9" t="s">
        <v>305</v>
      </c>
      <c r="V53" s="9" t="s">
        <v>393</v>
      </c>
      <c r="W53" s="1">
        <v>16</v>
      </c>
      <c r="X53" s="1">
        <v>15</v>
      </c>
      <c r="Y53" s="3">
        <f t="shared" si="1"/>
        <v>1.0666666666666667</v>
      </c>
      <c r="Z53" s="11">
        <v>0.22010593187377059</v>
      </c>
      <c r="AA53" s="11">
        <v>0.34373754522891398</v>
      </c>
      <c r="AB53" s="10">
        <v>0</v>
      </c>
      <c r="AC53" s="9" t="s">
        <v>34</v>
      </c>
      <c r="AD53" s="9" t="s">
        <v>63</v>
      </c>
    </row>
    <row r="54" spans="1:30" x14ac:dyDescent="0.25">
      <c r="A54" s="9" t="s">
        <v>854</v>
      </c>
      <c r="B54" s="10" t="s">
        <v>777</v>
      </c>
      <c r="C54" s="10">
        <v>2</v>
      </c>
      <c r="D54" s="10">
        <v>2010</v>
      </c>
      <c r="E54" s="9" t="s">
        <v>38</v>
      </c>
      <c r="F54" s="9" t="s">
        <v>54</v>
      </c>
      <c r="G54" s="1">
        <v>11.4</v>
      </c>
      <c r="H54" s="1" t="s">
        <v>31</v>
      </c>
      <c r="I54" s="9" t="s">
        <v>30</v>
      </c>
      <c r="J54" s="1">
        <v>0.52</v>
      </c>
      <c r="K54" s="10">
        <v>142</v>
      </c>
      <c r="L54" s="3">
        <v>0.42</v>
      </c>
      <c r="M54" s="11">
        <v>4.8107585815602844E-3</v>
      </c>
      <c r="N54">
        <v>140</v>
      </c>
      <c r="O54" s="11">
        <v>0.44769202352742071</v>
      </c>
      <c r="P54" s="11">
        <v>7.1942446043165471E-3</v>
      </c>
      <c r="Q54" s="11">
        <v>0.42125192008167939</v>
      </c>
      <c r="R54" s="11">
        <v>4.7984629135342629E-3</v>
      </c>
      <c r="S54" s="9" t="s">
        <v>40</v>
      </c>
      <c r="T54" s="9" t="s">
        <v>50</v>
      </c>
      <c r="U54" s="9" t="s">
        <v>305</v>
      </c>
      <c r="V54" s="9" t="s">
        <v>312</v>
      </c>
      <c r="W54" s="1">
        <v>11.5</v>
      </c>
      <c r="X54" s="1">
        <v>15</v>
      </c>
      <c r="Y54" s="3">
        <f t="shared" si="1"/>
        <v>0.76666666666666672</v>
      </c>
      <c r="Z54" s="11">
        <v>0.51679098014993474</v>
      </c>
      <c r="AA54" s="11">
        <v>8.3994679525870405E-2</v>
      </c>
      <c r="AB54" s="10">
        <v>2</v>
      </c>
      <c r="AC54" s="9" t="s">
        <v>41</v>
      </c>
      <c r="AD54" s="9" t="s">
        <v>35</v>
      </c>
    </row>
    <row r="55" spans="1:30" x14ac:dyDescent="0.25">
      <c r="A55" s="9" t="s">
        <v>545</v>
      </c>
      <c r="B55" s="10" t="s">
        <v>778</v>
      </c>
      <c r="C55" s="10">
        <v>2</v>
      </c>
      <c r="D55" s="10">
        <v>2010</v>
      </c>
      <c r="E55" s="9" t="s">
        <v>38</v>
      </c>
      <c r="F55" s="9" t="s">
        <v>29</v>
      </c>
      <c r="G55" s="1">
        <v>33.340000000000003</v>
      </c>
      <c r="H55" s="1">
        <v>12.6</v>
      </c>
      <c r="I55" s="9" t="s">
        <v>30</v>
      </c>
      <c r="J55" s="1">
        <v>0.42</v>
      </c>
      <c r="K55" s="10">
        <v>67</v>
      </c>
      <c r="L55" s="3">
        <v>0.33200000000000002</v>
      </c>
      <c r="M55" s="11">
        <v>1.199547469963636E-2</v>
      </c>
      <c r="N55" t="s">
        <v>63</v>
      </c>
      <c r="O55" s="11">
        <v>0.34507433878184451</v>
      </c>
      <c r="P55" s="11">
        <v>1.5625E-2</v>
      </c>
      <c r="Q55" s="11">
        <v>0.33434420987168623</v>
      </c>
      <c r="R55" s="11">
        <v>1.1953394239030409E-2</v>
      </c>
      <c r="S55" s="9" t="s">
        <v>40</v>
      </c>
      <c r="T55" s="9" t="s">
        <v>31</v>
      </c>
      <c r="U55" s="9" t="s">
        <v>305</v>
      </c>
      <c r="V55" s="9" t="s">
        <v>310</v>
      </c>
      <c r="W55" s="1" t="s">
        <v>31</v>
      </c>
      <c r="X55" s="1" t="s">
        <v>31</v>
      </c>
      <c r="Y55" s="3" t="s">
        <v>31</v>
      </c>
      <c r="Z55" s="11" t="s">
        <v>31</v>
      </c>
      <c r="AA55" s="11" t="s">
        <v>31</v>
      </c>
      <c r="AB55" s="10">
        <v>0</v>
      </c>
      <c r="AC55" s="9" t="s">
        <v>34</v>
      </c>
      <c r="AD55" s="9" t="s">
        <v>63</v>
      </c>
    </row>
    <row r="56" spans="1:30" x14ac:dyDescent="0.25">
      <c r="A56" s="9" t="s">
        <v>545</v>
      </c>
      <c r="B56" s="10" t="s">
        <v>779</v>
      </c>
      <c r="C56" s="10">
        <v>2</v>
      </c>
      <c r="D56" s="10">
        <v>2010</v>
      </c>
      <c r="E56" s="9" t="s">
        <v>28</v>
      </c>
      <c r="F56" s="9" t="s">
        <v>29</v>
      </c>
      <c r="G56" s="1">
        <v>36.090000000000003</v>
      </c>
      <c r="H56" s="1" t="s">
        <v>31</v>
      </c>
      <c r="I56" s="9" t="s">
        <v>30</v>
      </c>
      <c r="J56" s="1">
        <v>0.35</v>
      </c>
      <c r="K56" s="10">
        <v>77</v>
      </c>
      <c r="L56" s="3">
        <v>8.8999999999999996E-2</v>
      </c>
      <c r="M56" s="11">
        <v>1.2950272924223689E-2</v>
      </c>
      <c r="N56" t="s">
        <v>63</v>
      </c>
      <c r="O56" s="11">
        <v>8.9236112836501069E-2</v>
      </c>
      <c r="P56" s="11">
        <v>1.3513513513513511E-2</v>
      </c>
      <c r="Q56" s="11">
        <v>8.9606664857917198E-2</v>
      </c>
      <c r="R56" s="11">
        <v>1.294744423365728E-2</v>
      </c>
      <c r="S56" s="9" t="s">
        <v>40</v>
      </c>
      <c r="T56" s="9" t="s">
        <v>31</v>
      </c>
      <c r="U56" s="9" t="s">
        <v>305</v>
      </c>
      <c r="V56" s="9" t="s">
        <v>310</v>
      </c>
      <c r="W56" s="1" t="s">
        <v>31</v>
      </c>
      <c r="X56" s="1" t="s">
        <v>31</v>
      </c>
      <c r="Y56" s="3" t="s">
        <v>31</v>
      </c>
      <c r="Z56" s="11" t="s">
        <v>31</v>
      </c>
      <c r="AA56" s="11" t="s">
        <v>31</v>
      </c>
      <c r="AB56" s="10">
        <v>0</v>
      </c>
      <c r="AC56" s="9" t="s">
        <v>34</v>
      </c>
      <c r="AD56" s="9" t="s">
        <v>63</v>
      </c>
    </row>
    <row r="57" spans="1:30" x14ac:dyDescent="0.25">
      <c r="A57" s="9" t="s">
        <v>546</v>
      </c>
      <c r="B57" s="10" t="s">
        <v>780</v>
      </c>
      <c r="C57" s="10">
        <v>2</v>
      </c>
      <c r="D57" s="10">
        <v>2010</v>
      </c>
      <c r="E57" s="9" t="s">
        <v>38</v>
      </c>
      <c r="F57" s="9" t="s">
        <v>54</v>
      </c>
      <c r="G57" s="1">
        <v>15.75</v>
      </c>
      <c r="H57" s="1">
        <v>1.1299999999999999</v>
      </c>
      <c r="I57" s="9" t="s">
        <v>39</v>
      </c>
      <c r="J57" s="1">
        <v>0</v>
      </c>
      <c r="K57" s="10">
        <v>24</v>
      </c>
      <c r="L57" s="3">
        <v>0</v>
      </c>
      <c r="M57" s="11">
        <v>4.3478260869565223E-2</v>
      </c>
      <c r="N57" t="s">
        <v>63</v>
      </c>
      <c r="O57" s="11">
        <v>0</v>
      </c>
      <c r="P57" s="11">
        <v>4.7619047619047623E-2</v>
      </c>
      <c r="Q57" s="11">
        <v>0</v>
      </c>
      <c r="R57" s="11">
        <v>4.3478260869565223E-2</v>
      </c>
      <c r="S57" s="9" t="s">
        <v>40</v>
      </c>
      <c r="T57" s="9" t="s">
        <v>50</v>
      </c>
      <c r="U57" s="9" t="s">
        <v>305</v>
      </c>
      <c r="V57" s="9" t="s">
        <v>395</v>
      </c>
      <c r="W57" s="1">
        <v>13</v>
      </c>
      <c r="X57" s="1">
        <v>15</v>
      </c>
      <c r="Y57" s="3">
        <f>W57/X57</f>
        <v>0.8666666666666667</v>
      </c>
      <c r="Z57" s="11">
        <v>0</v>
      </c>
      <c r="AA57" s="11" t="s">
        <v>31</v>
      </c>
      <c r="AB57" s="10">
        <v>4</v>
      </c>
      <c r="AC57" s="9" t="s">
        <v>34</v>
      </c>
      <c r="AD57" s="9" t="s">
        <v>63</v>
      </c>
    </row>
    <row r="58" spans="1:30" x14ac:dyDescent="0.25">
      <c r="A58" s="9" t="s">
        <v>546</v>
      </c>
      <c r="B58" s="10" t="s">
        <v>781</v>
      </c>
      <c r="C58" s="10">
        <v>2</v>
      </c>
      <c r="D58" s="10">
        <v>2010</v>
      </c>
      <c r="E58" s="9" t="s">
        <v>38</v>
      </c>
      <c r="F58" s="9" t="s">
        <v>54</v>
      </c>
      <c r="G58" s="1">
        <v>15.75</v>
      </c>
      <c r="H58" s="1">
        <v>1.1299999999999999</v>
      </c>
      <c r="I58" s="9" t="s">
        <v>43</v>
      </c>
      <c r="J58" s="1">
        <v>1</v>
      </c>
      <c r="K58" s="10">
        <v>26</v>
      </c>
      <c r="L58" s="3">
        <v>0.187</v>
      </c>
      <c r="M58" s="11">
        <v>3.7251393238439998E-2</v>
      </c>
      <c r="N58">
        <v>360</v>
      </c>
      <c r="O58" s="11">
        <v>0.1892266425309288</v>
      </c>
      <c r="P58" s="11">
        <v>4.3478260869565223E-2</v>
      </c>
      <c r="Q58" s="11">
        <v>0.19113065765839679</v>
      </c>
      <c r="R58" s="11">
        <v>3.7130906085134918E-2</v>
      </c>
      <c r="S58" s="9" t="s">
        <v>40</v>
      </c>
      <c r="T58" s="9" t="s">
        <v>50</v>
      </c>
      <c r="U58" s="9" t="s">
        <v>305</v>
      </c>
      <c r="V58" s="9" t="s">
        <v>395</v>
      </c>
      <c r="W58" s="1">
        <v>14.8</v>
      </c>
      <c r="X58" s="1">
        <v>15</v>
      </c>
      <c r="Y58" s="3">
        <f>W58/X58</f>
        <v>0.98666666666666669</v>
      </c>
      <c r="Z58" s="11">
        <v>0.18943692440896959</v>
      </c>
      <c r="AA58" s="11">
        <v>0.202510083781479</v>
      </c>
      <c r="AB58" s="10">
        <v>4</v>
      </c>
      <c r="AC58" s="9" t="s">
        <v>34</v>
      </c>
      <c r="AD58" s="9" t="s">
        <v>35</v>
      </c>
    </row>
    <row r="59" spans="1:30" x14ac:dyDescent="0.25">
      <c r="A59" s="9" t="s">
        <v>548</v>
      </c>
      <c r="B59" s="10" t="s">
        <v>782</v>
      </c>
      <c r="C59" s="10">
        <v>2</v>
      </c>
      <c r="D59" s="10">
        <v>2010</v>
      </c>
      <c r="E59" s="9" t="s">
        <v>38</v>
      </c>
      <c r="F59" s="9" t="s">
        <v>54</v>
      </c>
      <c r="G59" s="1">
        <v>11.8</v>
      </c>
      <c r="H59" s="1">
        <v>3.8</v>
      </c>
      <c r="I59" s="9" t="s">
        <v>30</v>
      </c>
      <c r="J59" s="1">
        <v>0.48</v>
      </c>
      <c r="K59" s="10">
        <v>649</v>
      </c>
      <c r="L59" s="3">
        <v>0.14000000000000001</v>
      </c>
      <c r="M59" s="11">
        <v>1.4833088888888889E-3</v>
      </c>
      <c r="N59">
        <v>132</v>
      </c>
      <c r="O59" s="11">
        <v>0.14092557607049391</v>
      </c>
      <c r="P59" s="11">
        <v>1.5479876160990711E-3</v>
      </c>
      <c r="Q59" s="11">
        <v>0.1401064339080523</v>
      </c>
      <c r="R59" s="11">
        <v>1.4832186788681799E-3</v>
      </c>
      <c r="S59" s="9" t="s">
        <v>40</v>
      </c>
      <c r="T59" s="9" t="s">
        <v>50</v>
      </c>
      <c r="U59" s="9" t="s">
        <v>305</v>
      </c>
      <c r="V59" s="9" t="s">
        <v>390</v>
      </c>
      <c r="W59" s="1" t="s">
        <v>31</v>
      </c>
      <c r="X59" s="1" t="s">
        <v>31</v>
      </c>
      <c r="Y59" s="3" t="s">
        <v>31</v>
      </c>
      <c r="Z59" s="11" t="s">
        <v>31</v>
      </c>
      <c r="AA59" s="11" t="s">
        <v>31</v>
      </c>
      <c r="AB59" s="10">
        <v>0</v>
      </c>
      <c r="AC59" s="9" t="s">
        <v>41</v>
      </c>
      <c r="AD59" s="9" t="s">
        <v>35</v>
      </c>
    </row>
    <row r="60" spans="1:30" x14ac:dyDescent="0.25">
      <c r="A60" s="9" t="s">
        <v>255</v>
      </c>
      <c r="B60" s="10" t="s">
        <v>783</v>
      </c>
      <c r="C60" s="10">
        <v>2</v>
      </c>
      <c r="D60" s="10">
        <v>2012</v>
      </c>
      <c r="E60" s="9" t="s">
        <v>38</v>
      </c>
      <c r="F60" s="9" t="s">
        <v>54</v>
      </c>
      <c r="G60" s="1">
        <v>15.1</v>
      </c>
      <c r="H60" s="1">
        <v>0.75</v>
      </c>
      <c r="I60" s="9" t="s">
        <v>43</v>
      </c>
      <c r="J60" s="1">
        <v>1</v>
      </c>
      <c r="K60" s="10">
        <v>30</v>
      </c>
      <c r="L60" s="3">
        <v>0.34</v>
      </c>
      <c r="M60" s="11">
        <v>2.6971150344827589E-2</v>
      </c>
      <c r="N60">
        <v>1060</v>
      </c>
      <c r="O60" s="11">
        <v>0.35409252896224302</v>
      </c>
      <c r="P60" s="11">
        <v>3.7037037037037042E-2</v>
      </c>
      <c r="Q60" s="11">
        <v>0.34577500725214738</v>
      </c>
      <c r="R60" s="11">
        <v>2.673013680553004E-2</v>
      </c>
      <c r="S60" s="9" t="s">
        <v>40</v>
      </c>
      <c r="T60" s="9" t="s">
        <v>50</v>
      </c>
      <c r="U60" s="9" t="s">
        <v>305</v>
      </c>
      <c r="V60" s="9" t="s">
        <v>258</v>
      </c>
      <c r="W60" s="1">
        <v>13.84</v>
      </c>
      <c r="X60" s="1">
        <v>15</v>
      </c>
      <c r="Y60" s="3">
        <f t="shared" ref="Y60:Y74" si="2">W60/X60</f>
        <v>0.92266666666666663</v>
      </c>
      <c r="Z60" s="11">
        <v>0.36483250852279808</v>
      </c>
      <c r="AA60" s="11">
        <v>0.186989379928136</v>
      </c>
      <c r="AB60" s="10">
        <v>0</v>
      </c>
      <c r="AC60" s="9" t="s">
        <v>34</v>
      </c>
      <c r="AD60" s="9" t="s">
        <v>35</v>
      </c>
    </row>
    <row r="61" spans="1:30" x14ac:dyDescent="0.25">
      <c r="A61" s="9" t="s">
        <v>313</v>
      </c>
      <c r="B61" s="10" t="s">
        <v>784</v>
      </c>
      <c r="C61" s="10">
        <v>3</v>
      </c>
      <c r="D61" s="10">
        <v>2013</v>
      </c>
      <c r="E61" s="9" t="s">
        <v>28</v>
      </c>
      <c r="F61" s="9" t="s">
        <v>54</v>
      </c>
      <c r="G61" s="1">
        <v>10.66</v>
      </c>
      <c r="H61" s="1">
        <v>1.64</v>
      </c>
      <c r="I61" s="9" t="s">
        <v>30</v>
      </c>
      <c r="J61" s="1">
        <v>0.57999999999999996</v>
      </c>
      <c r="K61" s="10">
        <v>47</v>
      </c>
      <c r="L61" s="3">
        <v>0</v>
      </c>
      <c r="M61" s="11">
        <v>2.1739130434782612E-2</v>
      </c>
      <c r="N61">
        <v>447</v>
      </c>
      <c r="O61" s="11">
        <v>0</v>
      </c>
      <c r="P61" s="11">
        <v>2.2727272727272731E-2</v>
      </c>
      <c r="Q61" s="11">
        <v>0</v>
      </c>
      <c r="R61" s="11">
        <v>2.1739130434782612E-2</v>
      </c>
      <c r="S61" s="9" t="s">
        <v>40</v>
      </c>
      <c r="T61" s="9" t="s">
        <v>50</v>
      </c>
      <c r="U61" s="9" t="s">
        <v>305</v>
      </c>
      <c r="V61" s="9" t="s">
        <v>397</v>
      </c>
      <c r="W61" s="1">
        <v>14.8</v>
      </c>
      <c r="X61" s="1">
        <v>15</v>
      </c>
      <c r="Y61" s="3">
        <f t="shared" si="2"/>
        <v>0.98666666666666669</v>
      </c>
      <c r="Z61" s="11">
        <v>0</v>
      </c>
      <c r="AA61" s="11" t="s">
        <v>31</v>
      </c>
      <c r="AB61" s="10">
        <v>0</v>
      </c>
      <c r="AC61" s="9" t="s">
        <v>34</v>
      </c>
      <c r="AD61" s="9" t="s">
        <v>35</v>
      </c>
    </row>
    <row r="62" spans="1:30" x14ac:dyDescent="0.25">
      <c r="A62" s="9" t="s">
        <v>313</v>
      </c>
      <c r="B62" s="10" t="s">
        <v>785</v>
      </c>
      <c r="C62" s="10">
        <v>3</v>
      </c>
      <c r="D62" s="10">
        <v>2013</v>
      </c>
      <c r="E62" s="9" t="s">
        <v>28</v>
      </c>
      <c r="F62" s="9" t="s">
        <v>54</v>
      </c>
      <c r="G62" s="1">
        <v>10.67</v>
      </c>
      <c r="H62" s="1">
        <v>1.42</v>
      </c>
      <c r="I62" s="9" t="s">
        <v>30</v>
      </c>
      <c r="J62" s="1">
        <v>0.68</v>
      </c>
      <c r="K62" s="10">
        <v>32</v>
      </c>
      <c r="L62" s="3">
        <v>0</v>
      </c>
      <c r="M62" s="11">
        <v>3.2258064516129031E-2</v>
      </c>
      <c r="N62">
        <v>447</v>
      </c>
      <c r="O62" s="11">
        <v>0</v>
      </c>
      <c r="P62" s="11">
        <v>3.4482758620689662E-2</v>
      </c>
      <c r="Q62" s="11">
        <v>0</v>
      </c>
      <c r="R62" s="11">
        <v>3.2258064516129031E-2</v>
      </c>
      <c r="S62" s="9" t="s">
        <v>40</v>
      </c>
      <c r="T62" s="9" t="s">
        <v>50</v>
      </c>
      <c r="U62" s="9" t="s">
        <v>305</v>
      </c>
      <c r="V62" s="9" t="s">
        <v>397</v>
      </c>
      <c r="W62" s="1">
        <v>12.11</v>
      </c>
      <c r="X62" s="1">
        <v>15</v>
      </c>
      <c r="Y62" s="3">
        <f t="shared" si="2"/>
        <v>0.80733333333333335</v>
      </c>
      <c r="Z62" s="11">
        <v>0</v>
      </c>
      <c r="AA62" s="11" t="s">
        <v>31</v>
      </c>
      <c r="AB62" s="10">
        <v>0</v>
      </c>
      <c r="AC62" s="9" t="s">
        <v>34</v>
      </c>
      <c r="AD62" s="9" t="s">
        <v>35</v>
      </c>
    </row>
    <row r="63" spans="1:30" x14ac:dyDescent="0.25">
      <c r="A63" s="9" t="s">
        <v>313</v>
      </c>
      <c r="B63" s="10" t="s">
        <v>786</v>
      </c>
      <c r="C63" s="10">
        <v>3</v>
      </c>
      <c r="D63" s="10">
        <v>2013</v>
      </c>
      <c r="E63" s="9" t="s">
        <v>28</v>
      </c>
      <c r="F63" s="9" t="s">
        <v>54</v>
      </c>
      <c r="G63" s="1">
        <v>10.14</v>
      </c>
      <c r="H63" s="1">
        <v>1.52</v>
      </c>
      <c r="I63" s="9" t="s">
        <v>30</v>
      </c>
      <c r="J63" s="1">
        <v>0.57999999999999996</v>
      </c>
      <c r="K63" s="10">
        <v>27</v>
      </c>
      <c r="L63" s="3">
        <v>0</v>
      </c>
      <c r="M63" s="11">
        <v>3.8461538461538457E-2</v>
      </c>
      <c r="N63">
        <v>447</v>
      </c>
      <c r="O63" s="11">
        <v>0</v>
      </c>
      <c r="P63" s="11">
        <v>4.1666666666666657E-2</v>
      </c>
      <c r="Q63" s="11">
        <v>0</v>
      </c>
      <c r="R63" s="11">
        <v>3.8461538461538457E-2</v>
      </c>
      <c r="S63" s="9" t="s">
        <v>40</v>
      </c>
      <c r="T63" s="9" t="s">
        <v>50</v>
      </c>
      <c r="U63" s="9" t="s">
        <v>305</v>
      </c>
      <c r="V63" s="9" t="s">
        <v>397</v>
      </c>
      <c r="W63" s="1">
        <v>12.6</v>
      </c>
      <c r="X63" s="1">
        <v>15</v>
      </c>
      <c r="Y63" s="3">
        <f t="shared" si="2"/>
        <v>0.84</v>
      </c>
      <c r="Z63" s="11">
        <v>0</v>
      </c>
      <c r="AA63" s="11" t="s">
        <v>31</v>
      </c>
      <c r="AB63" s="10">
        <v>0</v>
      </c>
      <c r="AC63" s="9" t="s">
        <v>34</v>
      </c>
      <c r="AD63" s="9" t="s">
        <v>35</v>
      </c>
    </row>
    <row r="64" spans="1:30" x14ac:dyDescent="0.25">
      <c r="A64" s="9" t="s">
        <v>551</v>
      </c>
      <c r="B64" s="10" t="s">
        <v>787</v>
      </c>
      <c r="C64" s="10">
        <v>3</v>
      </c>
      <c r="D64" s="10">
        <v>2013</v>
      </c>
      <c r="E64" s="9" t="s">
        <v>38</v>
      </c>
      <c r="F64" s="9" t="s">
        <v>54</v>
      </c>
      <c r="G64" s="1">
        <v>14.9</v>
      </c>
      <c r="H64" s="1">
        <v>3.2</v>
      </c>
      <c r="I64" s="9" t="s">
        <v>30</v>
      </c>
      <c r="J64" s="1">
        <v>0.53</v>
      </c>
      <c r="K64" s="10">
        <v>36</v>
      </c>
      <c r="L64" s="3">
        <v>0.3</v>
      </c>
      <c r="M64" s="11">
        <v>2.366E-2</v>
      </c>
      <c r="N64">
        <v>696</v>
      </c>
      <c r="O64" s="11">
        <v>0.30951960420311181</v>
      </c>
      <c r="P64" s="11">
        <v>3.03030303030303E-2</v>
      </c>
      <c r="Q64" s="11">
        <v>0.3042697123088357</v>
      </c>
      <c r="R64" s="11">
        <v>2.3526027184300729E-2</v>
      </c>
      <c r="S64" s="9" t="s">
        <v>40</v>
      </c>
      <c r="T64" s="9" t="s">
        <v>50</v>
      </c>
      <c r="U64" s="9" t="s">
        <v>305</v>
      </c>
      <c r="V64" s="9" t="s">
        <v>396</v>
      </c>
      <c r="W64" s="1">
        <v>15.1</v>
      </c>
      <c r="X64" s="1">
        <v>15</v>
      </c>
      <c r="Y64" s="3">
        <f t="shared" si="2"/>
        <v>1.0066666666666666</v>
      </c>
      <c r="Z64" s="11">
        <v>0.29819043857244709</v>
      </c>
      <c r="AA64" s="11">
        <v>0.162722144547257</v>
      </c>
      <c r="AB64" s="10">
        <v>0</v>
      </c>
      <c r="AC64" s="9" t="s">
        <v>41</v>
      </c>
      <c r="AD64" s="9" t="s">
        <v>35</v>
      </c>
    </row>
    <row r="65" spans="1:30" x14ac:dyDescent="0.25">
      <c r="A65" s="9" t="s">
        <v>551</v>
      </c>
      <c r="B65" s="10" t="s">
        <v>788</v>
      </c>
      <c r="C65" s="10">
        <v>3</v>
      </c>
      <c r="D65" s="10">
        <v>2013</v>
      </c>
      <c r="E65" s="9" t="s">
        <v>28</v>
      </c>
      <c r="F65" s="9" t="s">
        <v>54</v>
      </c>
      <c r="G65" s="1">
        <v>14.6</v>
      </c>
      <c r="H65" s="1">
        <v>4.2</v>
      </c>
      <c r="I65" s="9" t="s">
        <v>30</v>
      </c>
      <c r="J65" s="1">
        <v>0.49</v>
      </c>
      <c r="K65" s="10">
        <v>108</v>
      </c>
      <c r="L65" s="3">
        <v>0.21</v>
      </c>
      <c r="M65" s="11">
        <v>8.5396711214953264E-3</v>
      </c>
      <c r="N65">
        <v>696</v>
      </c>
      <c r="O65" s="11">
        <v>0.21317134656485981</v>
      </c>
      <c r="P65" s="11">
        <v>9.5238095238095247E-3</v>
      </c>
      <c r="Q65" s="11">
        <v>0.2109664599496914</v>
      </c>
      <c r="R65" s="11">
        <v>8.5324034112372396E-3</v>
      </c>
      <c r="S65" s="9" t="s">
        <v>40</v>
      </c>
      <c r="T65" s="9" t="s">
        <v>50</v>
      </c>
      <c r="U65" s="9" t="s">
        <v>305</v>
      </c>
      <c r="V65" s="9" t="s">
        <v>396</v>
      </c>
      <c r="W65" s="1">
        <v>18.7</v>
      </c>
      <c r="X65" s="1">
        <v>15</v>
      </c>
      <c r="Y65" s="3">
        <f t="shared" si="2"/>
        <v>1.2466666666666666</v>
      </c>
      <c r="Z65" s="11">
        <v>0.16978944583346761</v>
      </c>
      <c r="AA65" s="11">
        <v>9.49627533736353E-2</v>
      </c>
      <c r="AB65" s="10">
        <v>0</v>
      </c>
      <c r="AC65" s="9" t="s">
        <v>41</v>
      </c>
      <c r="AD65" s="9" t="s">
        <v>35</v>
      </c>
    </row>
    <row r="66" spans="1:30" x14ac:dyDescent="0.25">
      <c r="A66" s="9" t="s">
        <v>552</v>
      </c>
      <c r="B66" s="10" t="s">
        <v>789</v>
      </c>
      <c r="C66" s="10">
        <v>3</v>
      </c>
      <c r="D66" s="10">
        <v>2014</v>
      </c>
      <c r="E66" s="9" t="s">
        <v>28</v>
      </c>
      <c r="F66" s="9" t="s">
        <v>29</v>
      </c>
      <c r="G66" s="1">
        <v>20.3</v>
      </c>
      <c r="H66" s="1">
        <v>0.99</v>
      </c>
      <c r="I66" s="9" t="s">
        <v>30</v>
      </c>
      <c r="J66" s="1">
        <v>0.41</v>
      </c>
      <c r="K66" s="10">
        <v>42</v>
      </c>
      <c r="L66" s="3">
        <v>0.47799999999999998</v>
      </c>
      <c r="M66" s="11">
        <v>1.4517974103804881E-2</v>
      </c>
      <c r="N66">
        <v>584</v>
      </c>
      <c r="O66" s="11">
        <v>0.52038875681275421</v>
      </c>
      <c r="P66" s="11">
        <v>2.564102564102564E-2</v>
      </c>
      <c r="Q66" s="11">
        <v>0.48281590883254832</v>
      </c>
      <c r="R66" s="11">
        <v>1.43443519212489E-2</v>
      </c>
      <c r="S66" s="9" t="s">
        <v>40</v>
      </c>
      <c r="T66" s="9" t="s">
        <v>46</v>
      </c>
      <c r="U66" s="9" t="s">
        <v>305</v>
      </c>
      <c r="V66" s="9" t="s">
        <v>398</v>
      </c>
      <c r="W66" s="1">
        <v>16.04</v>
      </c>
      <c r="X66" s="1">
        <v>15</v>
      </c>
      <c r="Y66" s="3">
        <f t="shared" si="2"/>
        <v>1.0693333333333332</v>
      </c>
      <c r="Z66" s="11">
        <v>0.45355610088531612</v>
      </c>
      <c r="AA66" s="11">
        <v>0.1356681903736269</v>
      </c>
      <c r="AB66" s="10">
        <v>2</v>
      </c>
      <c r="AC66" s="9" t="s">
        <v>41</v>
      </c>
      <c r="AD66" s="9" t="s">
        <v>35</v>
      </c>
    </row>
    <row r="67" spans="1:30" x14ac:dyDescent="0.25">
      <c r="A67" s="9" t="s">
        <v>555</v>
      </c>
      <c r="B67" s="10" t="s">
        <v>790</v>
      </c>
      <c r="C67" s="10">
        <v>3</v>
      </c>
      <c r="D67" s="10">
        <v>2014</v>
      </c>
      <c r="E67" s="9" t="s">
        <v>38</v>
      </c>
      <c r="F67" s="9" t="s">
        <v>54</v>
      </c>
      <c r="G67" s="1">
        <v>11.6</v>
      </c>
      <c r="H67" s="1">
        <v>3.6</v>
      </c>
      <c r="I67" s="9" t="s">
        <v>43</v>
      </c>
      <c r="J67" s="1">
        <v>1</v>
      </c>
      <c r="K67" s="10">
        <v>142</v>
      </c>
      <c r="L67" s="3">
        <v>0.28899999999999998</v>
      </c>
      <c r="M67" s="11">
        <v>5.95697700312766E-3</v>
      </c>
      <c r="N67">
        <v>57</v>
      </c>
      <c r="O67" s="11">
        <v>0.29747478656797322</v>
      </c>
      <c r="P67" s="11">
        <v>7.1942446043165471E-3</v>
      </c>
      <c r="Q67" s="11">
        <v>0.28996005287484822</v>
      </c>
      <c r="R67" s="11">
        <v>5.9497535404045548E-3</v>
      </c>
      <c r="S67" s="9" t="s">
        <v>40</v>
      </c>
      <c r="T67" s="9" t="s">
        <v>50</v>
      </c>
      <c r="U67" s="9" t="s">
        <v>305</v>
      </c>
      <c r="V67" s="9" t="s">
        <v>390</v>
      </c>
      <c r="W67" s="1">
        <v>12.78</v>
      </c>
      <c r="X67" s="1">
        <v>15</v>
      </c>
      <c r="Y67" s="3">
        <f t="shared" si="2"/>
        <v>0.85199999999999998</v>
      </c>
      <c r="Z67" s="11">
        <v>0.33397646301028672</v>
      </c>
      <c r="AA67" s="11">
        <v>9.0646993824214497E-2</v>
      </c>
      <c r="AB67" s="10">
        <v>0</v>
      </c>
      <c r="AC67" s="9" t="s">
        <v>34</v>
      </c>
      <c r="AD67" s="9" t="s">
        <v>35</v>
      </c>
    </row>
    <row r="68" spans="1:30" x14ac:dyDescent="0.25">
      <c r="A68" s="9" t="s">
        <v>555</v>
      </c>
      <c r="B68" s="10" t="s">
        <v>791</v>
      </c>
      <c r="C68" s="10">
        <v>3</v>
      </c>
      <c r="D68" s="10">
        <v>2014</v>
      </c>
      <c r="E68" s="9" t="s">
        <v>38</v>
      </c>
      <c r="F68" s="9" t="s">
        <v>54</v>
      </c>
      <c r="G68" s="1">
        <v>11.3</v>
      </c>
      <c r="H68" s="1">
        <v>3.5</v>
      </c>
      <c r="I68" s="9" t="s">
        <v>39</v>
      </c>
      <c r="J68" s="1">
        <v>0</v>
      </c>
      <c r="K68" s="10">
        <v>161</v>
      </c>
      <c r="L68" s="3">
        <v>0.185</v>
      </c>
      <c r="M68" s="11">
        <v>5.8295084414062507E-3</v>
      </c>
      <c r="N68">
        <v>57</v>
      </c>
      <c r="O68" s="11">
        <v>0.1871549701641845</v>
      </c>
      <c r="P68" s="11">
        <v>6.3291139240506328E-3</v>
      </c>
      <c r="Q68" s="11">
        <v>0.18556962770336599</v>
      </c>
      <c r="R68" s="11">
        <v>5.8269604413566656E-3</v>
      </c>
      <c r="S68" s="9" t="s">
        <v>40</v>
      </c>
      <c r="T68" s="9" t="s">
        <v>50</v>
      </c>
      <c r="U68" s="9" t="s">
        <v>305</v>
      </c>
      <c r="V68" s="9" t="s">
        <v>390</v>
      </c>
      <c r="W68" s="1">
        <v>12.58</v>
      </c>
      <c r="X68" s="1">
        <v>15</v>
      </c>
      <c r="Y68" s="3">
        <f t="shared" si="2"/>
        <v>0.83866666666666667</v>
      </c>
      <c r="Z68" s="11">
        <v>0.21901326102191501</v>
      </c>
      <c r="AA68" s="11">
        <v>9.0947462037447996E-2</v>
      </c>
      <c r="AB68" s="10">
        <v>0</v>
      </c>
      <c r="AC68" s="9" t="s">
        <v>34</v>
      </c>
      <c r="AD68" s="9" t="s">
        <v>35</v>
      </c>
    </row>
    <row r="69" spans="1:30" x14ac:dyDescent="0.25">
      <c r="A69" s="9" t="s">
        <v>559</v>
      </c>
      <c r="B69" s="10" t="s">
        <v>792</v>
      </c>
      <c r="C69" s="10">
        <v>3</v>
      </c>
      <c r="D69" s="10">
        <v>2015</v>
      </c>
      <c r="E69" s="9" t="s">
        <v>38</v>
      </c>
      <c r="F69" s="9" t="s">
        <v>29</v>
      </c>
      <c r="G69" s="1">
        <v>26.2</v>
      </c>
      <c r="H69" s="1">
        <v>5</v>
      </c>
      <c r="I69" s="9" t="s">
        <v>30</v>
      </c>
      <c r="J69" s="1">
        <v>0.51</v>
      </c>
      <c r="K69" s="10">
        <v>285</v>
      </c>
      <c r="L69" s="3">
        <v>0.3</v>
      </c>
      <c r="M69" s="11">
        <v>2.9158450704225348E-3</v>
      </c>
      <c r="N69">
        <v>1415</v>
      </c>
      <c r="O69" s="11">
        <v>0.30951960420311181</v>
      </c>
      <c r="P69" s="11">
        <v>3.5460992907801422E-3</v>
      </c>
      <c r="Q69" s="11">
        <v>0.30048584401700218</v>
      </c>
      <c r="R69" s="11">
        <v>2.9139757529798218E-3</v>
      </c>
      <c r="S69" s="9" t="s">
        <v>40</v>
      </c>
      <c r="T69" s="9" t="s">
        <v>50</v>
      </c>
      <c r="U69" s="9" t="s">
        <v>305</v>
      </c>
      <c r="V69" s="9" t="s">
        <v>399</v>
      </c>
      <c r="W69" s="1">
        <v>13.18</v>
      </c>
      <c r="X69" s="1">
        <v>15</v>
      </c>
      <c r="Y69" s="3">
        <f t="shared" si="2"/>
        <v>0.8786666666666666</v>
      </c>
      <c r="Z69" s="11">
        <v>0.33697865964584273</v>
      </c>
      <c r="AA69" s="11">
        <v>6.2049697399344399E-2</v>
      </c>
      <c r="AB69" s="10">
        <v>2</v>
      </c>
      <c r="AC69" s="9" t="s">
        <v>34</v>
      </c>
      <c r="AD69" s="9" t="s">
        <v>35</v>
      </c>
    </row>
    <row r="70" spans="1:30" x14ac:dyDescent="0.25">
      <c r="A70" s="9" t="s">
        <v>559</v>
      </c>
      <c r="B70" s="10" t="s">
        <v>793</v>
      </c>
      <c r="C70" s="10">
        <v>3</v>
      </c>
      <c r="D70" s="10">
        <v>2015</v>
      </c>
      <c r="E70" s="9" t="s">
        <v>38</v>
      </c>
      <c r="F70" s="9" t="s">
        <v>29</v>
      </c>
      <c r="G70" s="1">
        <v>21.7</v>
      </c>
      <c r="H70" s="1">
        <v>2.9</v>
      </c>
      <c r="I70" s="9" t="s">
        <v>30</v>
      </c>
      <c r="J70" s="1">
        <v>0.54</v>
      </c>
      <c r="K70" s="10">
        <v>125</v>
      </c>
      <c r="L70" s="3">
        <v>0.04</v>
      </c>
      <c r="M70" s="11">
        <v>8.0387303225806436E-3</v>
      </c>
      <c r="N70">
        <v>1415</v>
      </c>
      <c r="O70" s="11">
        <v>4.0021353836768282E-2</v>
      </c>
      <c r="P70" s="11">
        <v>8.1967213114754103E-3</v>
      </c>
      <c r="Q70" s="11">
        <v>4.0165359331861453E-2</v>
      </c>
      <c r="R70" s="11">
        <v>8.0385168581830462E-3</v>
      </c>
      <c r="S70" s="9" t="s">
        <v>40</v>
      </c>
      <c r="T70" s="9" t="s">
        <v>50</v>
      </c>
      <c r="U70" s="9" t="s">
        <v>305</v>
      </c>
      <c r="V70" s="9" t="s">
        <v>390</v>
      </c>
      <c r="W70" s="1">
        <v>13.76</v>
      </c>
      <c r="X70" s="1">
        <v>15</v>
      </c>
      <c r="Y70" s="3">
        <f t="shared" si="2"/>
        <v>0.91733333333333333</v>
      </c>
      <c r="Z70" s="11">
        <v>4.3598082176507041E-2</v>
      </c>
      <c r="AA70" s="11">
        <v>9.8173730471828799E-2</v>
      </c>
      <c r="AB70" s="10">
        <v>2</v>
      </c>
      <c r="AC70" s="9" t="s">
        <v>34</v>
      </c>
      <c r="AD70" s="9" t="s">
        <v>35</v>
      </c>
    </row>
    <row r="71" spans="1:30" x14ac:dyDescent="0.25">
      <c r="A71" s="9" t="s">
        <v>559</v>
      </c>
      <c r="B71" s="10" t="s">
        <v>794</v>
      </c>
      <c r="C71" s="10">
        <v>3</v>
      </c>
      <c r="D71" s="10">
        <v>2015</v>
      </c>
      <c r="E71" s="9" t="s">
        <v>38</v>
      </c>
      <c r="F71" s="9" t="s">
        <v>29</v>
      </c>
      <c r="G71" s="1">
        <v>23.5</v>
      </c>
      <c r="H71" s="1">
        <v>5.0999999999999996</v>
      </c>
      <c r="I71" s="9" t="s">
        <v>43</v>
      </c>
      <c r="J71" s="1">
        <v>1</v>
      </c>
      <c r="K71" s="10">
        <v>107</v>
      </c>
      <c r="L71" s="3">
        <v>0.04</v>
      </c>
      <c r="M71" s="11">
        <v>9.4037977358490555E-3</v>
      </c>
      <c r="N71">
        <v>1415</v>
      </c>
      <c r="O71" s="11">
        <v>4.0021353836768282E-2</v>
      </c>
      <c r="P71" s="11">
        <v>9.6153846153846159E-3</v>
      </c>
      <c r="Q71" s="11">
        <v>4.0194325391971548E-2</v>
      </c>
      <c r="R71" s="11">
        <v>9.403504174750596E-3</v>
      </c>
      <c r="S71" s="9" t="s">
        <v>40</v>
      </c>
      <c r="T71" s="9" t="s">
        <v>50</v>
      </c>
      <c r="U71" s="9" t="s">
        <v>305</v>
      </c>
      <c r="V71" s="9" t="s">
        <v>400</v>
      </c>
      <c r="W71" s="1">
        <v>12.76</v>
      </c>
      <c r="X71" s="1">
        <v>15</v>
      </c>
      <c r="Y71" s="3">
        <f t="shared" si="2"/>
        <v>0.85066666666666668</v>
      </c>
      <c r="Z71" s="11">
        <v>4.7007583465407843E-2</v>
      </c>
      <c r="AA71" s="11">
        <v>0.11450659833839399</v>
      </c>
      <c r="AB71" s="10">
        <v>2</v>
      </c>
      <c r="AC71" s="9" t="s">
        <v>34</v>
      </c>
      <c r="AD71" s="9" t="s">
        <v>35</v>
      </c>
    </row>
    <row r="72" spans="1:30" x14ac:dyDescent="0.25">
      <c r="A72" s="9" t="s">
        <v>560</v>
      </c>
      <c r="B72" s="10" t="s">
        <v>795</v>
      </c>
      <c r="C72" s="10">
        <v>3</v>
      </c>
      <c r="D72" s="10">
        <v>2015</v>
      </c>
      <c r="E72" s="9" t="s">
        <v>38</v>
      </c>
      <c r="F72" s="9" t="s">
        <v>54</v>
      </c>
      <c r="G72" s="1">
        <v>17</v>
      </c>
      <c r="H72" s="1" t="s">
        <v>31</v>
      </c>
      <c r="I72" s="9" t="s">
        <v>30</v>
      </c>
      <c r="J72" s="1">
        <v>0.83</v>
      </c>
      <c r="K72" s="10">
        <v>297</v>
      </c>
      <c r="L72" s="3">
        <v>0.18</v>
      </c>
      <c r="M72" s="11">
        <v>3.1630059459459461E-3</v>
      </c>
      <c r="N72">
        <v>131</v>
      </c>
      <c r="O72" s="11">
        <v>0.18198268860070571</v>
      </c>
      <c r="P72" s="11">
        <v>3.4013605442176869E-3</v>
      </c>
      <c r="Q72" s="11">
        <v>0.18029739367304939</v>
      </c>
      <c r="R72" s="11">
        <v>3.1623054543286479E-3</v>
      </c>
      <c r="S72" s="9" t="s">
        <v>40</v>
      </c>
      <c r="T72" s="9" t="s">
        <v>50</v>
      </c>
      <c r="U72" s="9" t="s">
        <v>305</v>
      </c>
      <c r="V72" s="9" t="s">
        <v>309</v>
      </c>
      <c r="W72" s="1">
        <v>13</v>
      </c>
      <c r="X72" s="1">
        <v>15</v>
      </c>
      <c r="Y72" s="3">
        <f t="shared" si="2"/>
        <v>0.8666666666666667</v>
      </c>
      <c r="Z72" s="11">
        <v>0.20658630325414429</v>
      </c>
      <c r="AA72" s="11">
        <v>6.6635523469809901E-2</v>
      </c>
      <c r="AB72" s="10">
        <v>0</v>
      </c>
      <c r="AC72" s="9" t="s">
        <v>41</v>
      </c>
      <c r="AD72" s="9" t="s">
        <v>35</v>
      </c>
    </row>
    <row r="73" spans="1:30" x14ac:dyDescent="0.25">
      <c r="A73" s="9" t="s">
        <v>560</v>
      </c>
      <c r="B73" s="10" t="s">
        <v>796</v>
      </c>
      <c r="C73" s="10">
        <v>3</v>
      </c>
      <c r="D73" s="10">
        <v>2015</v>
      </c>
      <c r="E73" s="9" t="s">
        <v>28</v>
      </c>
      <c r="F73" s="9" t="s">
        <v>54</v>
      </c>
      <c r="G73" s="1">
        <v>16.600000000000001</v>
      </c>
      <c r="H73" s="1" t="s">
        <v>31</v>
      </c>
      <c r="I73" s="9" t="s">
        <v>30</v>
      </c>
      <c r="J73" s="1">
        <v>0.88</v>
      </c>
      <c r="K73" s="10">
        <v>241</v>
      </c>
      <c r="L73" s="3">
        <v>0.17</v>
      </c>
      <c r="M73" s="11">
        <v>3.9293133749999992E-3</v>
      </c>
      <c r="N73">
        <v>131</v>
      </c>
      <c r="O73" s="11">
        <v>0.1716666635005791</v>
      </c>
      <c r="P73" s="11">
        <v>4.2016806722689074E-3</v>
      </c>
      <c r="Q73" s="11">
        <v>0.17034855496539519</v>
      </c>
      <c r="R73" s="11">
        <v>3.9283534189160727E-3</v>
      </c>
      <c r="S73" s="9" t="s">
        <v>40</v>
      </c>
      <c r="T73" s="9" t="s">
        <v>50</v>
      </c>
      <c r="U73" s="9" t="s">
        <v>305</v>
      </c>
      <c r="V73" s="9" t="s">
        <v>309</v>
      </c>
      <c r="W73" s="1">
        <v>17</v>
      </c>
      <c r="X73" s="1">
        <v>15</v>
      </c>
      <c r="Y73" s="3">
        <f t="shared" si="2"/>
        <v>1.1333333333333333</v>
      </c>
      <c r="Z73" s="11">
        <v>0.15048231635721149</v>
      </c>
      <c r="AA73" s="11">
        <v>5.5485409081229002E-2</v>
      </c>
      <c r="AB73" s="10">
        <v>0</v>
      </c>
      <c r="AC73" s="9" t="s">
        <v>41</v>
      </c>
      <c r="AD73" s="9" t="s">
        <v>35</v>
      </c>
    </row>
    <row r="74" spans="1:30" x14ac:dyDescent="0.25">
      <c r="A74" s="9" t="s">
        <v>563</v>
      </c>
      <c r="B74" s="10" t="s">
        <v>797</v>
      </c>
      <c r="C74" s="10">
        <v>3</v>
      </c>
      <c r="D74" s="10">
        <v>2016</v>
      </c>
      <c r="E74" s="9" t="s">
        <v>28</v>
      </c>
      <c r="F74" s="9" t="s">
        <v>29</v>
      </c>
      <c r="G74" s="1">
        <v>25.1</v>
      </c>
      <c r="H74" s="1">
        <v>12.05</v>
      </c>
      <c r="I74" s="9" t="s">
        <v>62</v>
      </c>
      <c r="J74" s="1">
        <v>0.67</v>
      </c>
      <c r="K74" s="10">
        <v>30</v>
      </c>
      <c r="L74" s="3">
        <v>0.72</v>
      </c>
      <c r="M74" s="11">
        <v>7.9978813793103454E-3</v>
      </c>
      <c r="N74">
        <v>90</v>
      </c>
      <c r="O74" s="11">
        <v>0.90764498331912447</v>
      </c>
      <c r="P74" s="11">
        <v>3.7037037037037042E-2</v>
      </c>
      <c r="Q74" s="11">
        <v>0.726431048501744</v>
      </c>
      <c r="R74" s="11">
        <v>7.6919081502320437E-3</v>
      </c>
      <c r="S74" s="9" t="s">
        <v>40</v>
      </c>
      <c r="T74" s="9" t="s">
        <v>46</v>
      </c>
      <c r="U74" s="9" t="s">
        <v>305</v>
      </c>
      <c r="V74" s="9" t="s">
        <v>390</v>
      </c>
      <c r="W74" s="1">
        <v>24.45</v>
      </c>
      <c r="X74" s="1">
        <v>15</v>
      </c>
      <c r="Y74" s="3">
        <f t="shared" si="2"/>
        <v>1.63</v>
      </c>
      <c r="Z74" s="11">
        <v>0.5369602246313584</v>
      </c>
      <c r="AA74" s="11">
        <v>0.144535454677684</v>
      </c>
      <c r="AB74" s="10">
        <v>2</v>
      </c>
      <c r="AC74" s="9" t="s">
        <v>41</v>
      </c>
      <c r="AD74" s="9" t="s">
        <v>35</v>
      </c>
    </row>
    <row r="75" spans="1:30" x14ac:dyDescent="0.25">
      <c r="A75" s="9" t="s">
        <v>566</v>
      </c>
      <c r="B75" s="10" t="s">
        <v>798</v>
      </c>
      <c r="C75" s="10">
        <v>3</v>
      </c>
      <c r="D75" s="10">
        <v>2016</v>
      </c>
      <c r="E75" s="9" t="s">
        <v>28</v>
      </c>
      <c r="F75" s="9" t="s">
        <v>54</v>
      </c>
      <c r="G75" s="1">
        <v>7.5</v>
      </c>
      <c r="H75" s="1">
        <v>0.2</v>
      </c>
      <c r="I75" s="9" t="s">
        <v>30</v>
      </c>
      <c r="J75" s="1">
        <v>0.5</v>
      </c>
      <c r="K75" s="10">
        <v>134</v>
      </c>
      <c r="L75" s="3">
        <v>0.31</v>
      </c>
      <c r="M75" s="11">
        <v>6.143121879699248E-3</v>
      </c>
      <c r="N75" t="s">
        <v>267</v>
      </c>
      <c r="O75" s="11">
        <v>0.32054540930194608</v>
      </c>
      <c r="P75" s="11">
        <v>7.6335877862595417E-3</v>
      </c>
      <c r="Q75" s="11">
        <v>0.3110779720253522</v>
      </c>
      <c r="R75" s="11">
        <v>6.1340250201284653E-3</v>
      </c>
      <c r="S75" s="9" t="s">
        <v>40</v>
      </c>
      <c r="T75" s="9" t="s">
        <v>46</v>
      </c>
      <c r="U75" s="9" t="s">
        <v>305</v>
      </c>
      <c r="V75" s="9" t="s">
        <v>390</v>
      </c>
      <c r="W75" s="1" t="s">
        <v>31</v>
      </c>
      <c r="X75" s="1" t="s">
        <v>31</v>
      </c>
      <c r="Y75" s="3" t="s">
        <v>31</v>
      </c>
      <c r="Z75" s="11" t="s">
        <v>31</v>
      </c>
      <c r="AA75" s="11" t="s">
        <v>31</v>
      </c>
      <c r="AB75" s="10">
        <v>2</v>
      </c>
      <c r="AC75" s="9" t="s">
        <v>41</v>
      </c>
      <c r="AD75" s="9" t="s">
        <v>35</v>
      </c>
    </row>
    <row r="76" spans="1:30" x14ac:dyDescent="0.25">
      <c r="A76" s="9" t="s">
        <v>855</v>
      </c>
      <c r="B76" s="10" t="s">
        <v>799</v>
      </c>
      <c r="C76" s="10">
        <v>3</v>
      </c>
      <c r="D76" s="10">
        <v>2017</v>
      </c>
      <c r="E76" s="9" t="s">
        <v>38</v>
      </c>
      <c r="F76" s="9" t="s">
        <v>29</v>
      </c>
      <c r="G76" s="1">
        <v>19.600000000000001</v>
      </c>
      <c r="H76" s="1">
        <v>1.4</v>
      </c>
      <c r="I76" s="9" t="s">
        <v>39</v>
      </c>
      <c r="J76" s="1">
        <v>0</v>
      </c>
      <c r="K76" s="10">
        <v>40</v>
      </c>
      <c r="L76" s="3">
        <v>0.38600000000000001</v>
      </c>
      <c r="M76" s="11">
        <v>1.8569430974769228E-2</v>
      </c>
      <c r="N76">
        <v>239</v>
      </c>
      <c r="O76" s="11">
        <v>0.40709112580135298</v>
      </c>
      <c r="P76" s="11">
        <v>2.7027027027027029E-2</v>
      </c>
      <c r="Q76" s="11">
        <v>0.39054902122679319</v>
      </c>
      <c r="R76" s="11">
        <v>1.8415586639391589E-2</v>
      </c>
      <c r="S76" s="9" t="s">
        <v>40</v>
      </c>
      <c r="T76" s="9" t="s">
        <v>50</v>
      </c>
      <c r="U76" s="9" t="s">
        <v>314</v>
      </c>
      <c r="V76" s="9" t="s">
        <v>315</v>
      </c>
      <c r="W76" s="1" t="s">
        <v>31</v>
      </c>
      <c r="X76" s="1" t="s">
        <v>31</v>
      </c>
      <c r="Y76" s="3" t="s">
        <v>31</v>
      </c>
      <c r="Z76" s="11" t="s">
        <v>31</v>
      </c>
      <c r="AA76" s="11" t="s">
        <v>31</v>
      </c>
      <c r="AB76" s="10">
        <v>0</v>
      </c>
      <c r="AC76" s="9" t="s">
        <v>41</v>
      </c>
      <c r="AD76" s="9" t="s">
        <v>35</v>
      </c>
    </row>
    <row r="77" spans="1:30" x14ac:dyDescent="0.25">
      <c r="A77" s="9" t="s">
        <v>855</v>
      </c>
      <c r="B77" s="10" t="s">
        <v>800</v>
      </c>
      <c r="C77" s="10">
        <v>3</v>
      </c>
      <c r="D77" s="10">
        <v>2017</v>
      </c>
      <c r="E77" s="9" t="s">
        <v>38</v>
      </c>
      <c r="F77" s="9" t="s">
        <v>29</v>
      </c>
      <c r="G77" s="1">
        <v>20.2</v>
      </c>
      <c r="H77" s="1">
        <v>2</v>
      </c>
      <c r="I77" s="9" t="s">
        <v>43</v>
      </c>
      <c r="J77" s="1">
        <v>1</v>
      </c>
      <c r="K77" s="10">
        <v>40</v>
      </c>
      <c r="L77" s="3">
        <v>0.23699999999999999</v>
      </c>
      <c r="M77" s="11">
        <v>2.2841460424641032E-2</v>
      </c>
      <c r="N77">
        <v>239</v>
      </c>
      <c r="O77" s="11">
        <v>0.2415931705540155</v>
      </c>
      <c r="P77" s="11">
        <v>2.7027027027027029E-2</v>
      </c>
      <c r="Q77" s="11">
        <v>0.24011647768170249</v>
      </c>
      <c r="R77" s="11">
        <v>2.276954768542672E-2</v>
      </c>
      <c r="S77" s="9" t="s">
        <v>40</v>
      </c>
      <c r="T77" s="9" t="s">
        <v>50</v>
      </c>
      <c r="U77" s="9" t="s">
        <v>314</v>
      </c>
      <c r="V77" s="9" t="s">
        <v>315</v>
      </c>
      <c r="W77" s="1" t="s">
        <v>31</v>
      </c>
      <c r="X77" s="1" t="s">
        <v>31</v>
      </c>
      <c r="Y77" s="3" t="s">
        <v>31</v>
      </c>
      <c r="Z77" s="11" t="s">
        <v>31</v>
      </c>
      <c r="AA77" s="11" t="s">
        <v>31</v>
      </c>
      <c r="AB77" s="10">
        <v>0</v>
      </c>
      <c r="AC77" s="9" t="s">
        <v>41</v>
      </c>
      <c r="AD77" s="9" t="s">
        <v>35</v>
      </c>
    </row>
    <row r="78" spans="1:30" x14ac:dyDescent="0.25">
      <c r="A78" s="9" t="s">
        <v>843</v>
      </c>
      <c r="B78" s="10" t="s">
        <v>801</v>
      </c>
      <c r="C78" s="10">
        <v>3</v>
      </c>
      <c r="D78" s="10">
        <v>2018</v>
      </c>
      <c r="E78" s="9" t="s">
        <v>38</v>
      </c>
      <c r="F78" s="9" t="s">
        <v>29</v>
      </c>
      <c r="G78" s="1">
        <v>24.91</v>
      </c>
      <c r="H78" s="1">
        <v>5.61</v>
      </c>
      <c r="I78" s="9" t="s">
        <v>30</v>
      </c>
      <c r="J78" s="1">
        <v>0.59</v>
      </c>
      <c r="K78" s="10">
        <v>56</v>
      </c>
      <c r="L78" s="3">
        <v>0.186</v>
      </c>
      <c r="M78" s="11">
        <v>1.6945543331199998E-2</v>
      </c>
      <c r="N78" t="s">
        <v>63</v>
      </c>
      <c r="O78" s="11">
        <v>0.18819060677756519</v>
      </c>
      <c r="P78" s="11">
        <v>1.886792452830189E-2</v>
      </c>
      <c r="Q78" s="11">
        <v>0.18773211107618051</v>
      </c>
      <c r="R78" s="11">
        <v>1.6922825497197199E-2</v>
      </c>
      <c r="S78" s="9" t="s">
        <v>40</v>
      </c>
      <c r="T78" s="9" t="s">
        <v>50</v>
      </c>
      <c r="U78" s="9" t="s">
        <v>305</v>
      </c>
      <c r="V78" s="9" t="s">
        <v>846</v>
      </c>
      <c r="W78" s="1" t="s">
        <v>31</v>
      </c>
      <c r="X78" s="1" t="s">
        <v>31</v>
      </c>
      <c r="Y78" s="3" t="s">
        <v>31</v>
      </c>
      <c r="Z78" s="11" t="s">
        <v>31</v>
      </c>
      <c r="AA78" s="11" t="s">
        <v>31</v>
      </c>
      <c r="AB78" s="10">
        <v>0</v>
      </c>
      <c r="AC78" s="9" t="s">
        <v>34</v>
      </c>
      <c r="AD78" s="9" t="s">
        <v>63</v>
      </c>
    </row>
    <row r="79" spans="1:30" x14ac:dyDescent="0.25">
      <c r="A79" s="9" t="s">
        <v>843</v>
      </c>
      <c r="B79" s="10" t="s">
        <v>802</v>
      </c>
      <c r="C79" s="10">
        <v>3</v>
      </c>
      <c r="D79" s="10">
        <v>2018</v>
      </c>
      <c r="E79" s="9" t="s">
        <v>28</v>
      </c>
      <c r="F79" s="9" t="s">
        <v>29</v>
      </c>
      <c r="G79" s="1">
        <v>24.69</v>
      </c>
      <c r="H79" s="1">
        <v>5.93</v>
      </c>
      <c r="I79" s="9" t="s">
        <v>30</v>
      </c>
      <c r="J79" s="1">
        <v>0.57399999999999995</v>
      </c>
      <c r="K79" s="10">
        <v>54</v>
      </c>
      <c r="L79" s="3">
        <v>0.2</v>
      </c>
      <c r="M79" s="11">
        <v>1.738867924528302E-2</v>
      </c>
      <c r="N79" t="s">
        <v>63</v>
      </c>
      <c r="O79" s="11">
        <v>0.20273255405408211</v>
      </c>
      <c r="P79" s="11">
        <v>1.9607843137254902E-2</v>
      </c>
      <c r="Q79" s="11">
        <v>0.20192589207871461</v>
      </c>
      <c r="R79" s="11">
        <v>1.736064891822223E-2</v>
      </c>
      <c r="S79" s="9" t="s">
        <v>40</v>
      </c>
      <c r="T79" s="9" t="s">
        <v>50</v>
      </c>
      <c r="U79" s="9" t="s">
        <v>305</v>
      </c>
      <c r="V79" s="9" t="s">
        <v>846</v>
      </c>
      <c r="W79" s="1" t="s">
        <v>31</v>
      </c>
      <c r="X79" s="1" t="s">
        <v>31</v>
      </c>
      <c r="Y79" s="3" t="s">
        <v>31</v>
      </c>
      <c r="Z79" s="11" t="s">
        <v>31</v>
      </c>
      <c r="AA79" s="11" t="s">
        <v>31</v>
      </c>
      <c r="AB79" s="10">
        <v>0</v>
      </c>
      <c r="AC79" s="9" t="s">
        <v>34</v>
      </c>
      <c r="AD79" s="9" t="s">
        <v>63</v>
      </c>
    </row>
    <row r="80" spans="1:30" x14ac:dyDescent="0.25">
      <c r="A80" s="9" t="s">
        <v>859</v>
      </c>
      <c r="B80" s="10" t="s">
        <v>803</v>
      </c>
      <c r="C80" s="10">
        <v>3</v>
      </c>
      <c r="D80" s="10">
        <v>2018</v>
      </c>
      <c r="E80" s="9" t="s">
        <v>28</v>
      </c>
      <c r="F80" s="9" t="s">
        <v>29</v>
      </c>
      <c r="G80" s="1">
        <v>62.3</v>
      </c>
      <c r="H80" s="1">
        <v>5.5</v>
      </c>
      <c r="I80" s="9" t="s">
        <v>30</v>
      </c>
      <c r="J80" s="1">
        <v>0.33</v>
      </c>
      <c r="K80" s="10">
        <v>93</v>
      </c>
      <c r="L80" s="3">
        <v>0.08</v>
      </c>
      <c r="M80" s="11">
        <v>1.073088E-2</v>
      </c>
      <c r="N80">
        <v>1667</v>
      </c>
      <c r="O80" s="11">
        <v>8.0171325037589738E-2</v>
      </c>
      <c r="P80" s="11">
        <v>1.111111111111111E-2</v>
      </c>
      <c r="Q80" s="11">
        <v>8.0447734923262515E-2</v>
      </c>
      <c r="R80" s="11">
        <v>1.072932835412211E-2</v>
      </c>
      <c r="S80" s="9" t="s">
        <v>40</v>
      </c>
      <c r="T80" s="9" t="s">
        <v>50</v>
      </c>
      <c r="U80" s="9" t="s">
        <v>305</v>
      </c>
      <c r="V80" s="9" t="s">
        <v>401</v>
      </c>
      <c r="W80" s="1">
        <v>0.85</v>
      </c>
      <c r="X80" s="1">
        <v>1</v>
      </c>
      <c r="Y80" s="3">
        <f>W80/X80</f>
        <v>0.85</v>
      </c>
      <c r="Z80" s="11">
        <v>9.4002183108550255E-2</v>
      </c>
      <c r="AA80" s="11">
        <v>0.1224804589497976</v>
      </c>
      <c r="AB80" s="10">
        <v>0</v>
      </c>
      <c r="AC80" s="9" t="s">
        <v>41</v>
      </c>
      <c r="AD80" s="9" t="s">
        <v>35</v>
      </c>
    </row>
    <row r="81" spans="1:30" x14ac:dyDescent="0.25">
      <c r="A81" s="9" t="s">
        <v>577</v>
      </c>
      <c r="B81" s="10" t="s">
        <v>804</v>
      </c>
      <c r="C81" s="10">
        <v>3</v>
      </c>
      <c r="D81" s="10">
        <v>2018</v>
      </c>
      <c r="E81" s="9" t="s">
        <v>28</v>
      </c>
      <c r="F81" s="9" t="s">
        <v>29</v>
      </c>
      <c r="G81" s="1">
        <v>70.010000000000005</v>
      </c>
      <c r="H81" s="1">
        <v>9.75</v>
      </c>
      <c r="I81" s="9" t="s">
        <v>30</v>
      </c>
      <c r="J81" s="1">
        <v>0.65</v>
      </c>
      <c r="K81" s="10">
        <v>115</v>
      </c>
      <c r="L81" s="3">
        <v>0.27500000000000002</v>
      </c>
      <c r="M81" s="11">
        <v>7.4953433388157886E-3</v>
      </c>
      <c r="N81">
        <v>1660</v>
      </c>
      <c r="O81" s="11">
        <v>0.2822649013689259</v>
      </c>
      <c r="P81" s="11">
        <v>8.9285714285714281E-3</v>
      </c>
      <c r="Q81" s="11">
        <v>0.27614583879521087</v>
      </c>
      <c r="R81" s="11">
        <v>7.4851053414740484E-3</v>
      </c>
      <c r="S81" s="9" t="s">
        <v>40</v>
      </c>
      <c r="T81" s="9" t="s">
        <v>50</v>
      </c>
      <c r="U81" s="9" t="s">
        <v>305</v>
      </c>
      <c r="V81" s="9" t="s">
        <v>402</v>
      </c>
      <c r="W81" s="1" t="s">
        <v>31</v>
      </c>
      <c r="X81" s="1" t="s">
        <v>31</v>
      </c>
      <c r="Y81" s="3" t="s">
        <v>31</v>
      </c>
      <c r="Z81" s="11" t="s">
        <v>31</v>
      </c>
      <c r="AA81" s="11" t="s">
        <v>31</v>
      </c>
      <c r="AB81" s="10">
        <v>4</v>
      </c>
      <c r="AC81" s="9" t="s">
        <v>34</v>
      </c>
      <c r="AD81" s="9" t="s">
        <v>35</v>
      </c>
    </row>
    <row r="82" spans="1:30" x14ac:dyDescent="0.25">
      <c r="A82" s="9" t="s">
        <v>578</v>
      </c>
      <c r="B82" s="10" t="s">
        <v>805</v>
      </c>
      <c r="C82" s="10">
        <v>3</v>
      </c>
      <c r="D82" s="10">
        <v>2019</v>
      </c>
      <c r="E82" s="9" t="s">
        <v>28</v>
      </c>
      <c r="F82" s="9" t="s">
        <v>29</v>
      </c>
      <c r="G82" s="1">
        <v>32.97</v>
      </c>
      <c r="H82" s="1">
        <v>11.12</v>
      </c>
      <c r="I82" s="9" t="s">
        <v>30</v>
      </c>
      <c r="J82" s="1">
        <v>0.42</v>
      </c>
      <c r="K82" s="10">
        <v>38</v>
      </c>
      <c r="L82" s="3">
        <v>0</v>
      </c>
      <c r="M82" s="11">
        <v>2.7027027027027029E-2</v>
      </c>
      <c r="N82">
        <v>3</v>
      </c>
      <c r="O82" s="11">
        <v>0</v>
      </c>
      <c r="P82" s="11">
        <v>2.8571428571428571E-2</v>
      </c>
      <c r="Q82" s="11">
        <v>0</v>
      </c>
      <c r="R82" s="11">
        <v>2.7027027027027029E-2</v>
      </c>
      <c r="S82" s="9" t="s">
        <v>40</v>
      </c>
      <c r="T82" s="9" t="s">
        <v>46</v>
      </c>
      <c r="U82" s="9" t="s">
        <v>305</v>
      </c>
      <c r="V82" s="9" t="s">
        <v>307</v>
      </c>
      <c r="W82" s="1">
        <v>16.53</v>
      </c>
      <c r="X82" s="1">
        <v>15</v>
      </c>
      <c r="Y82" s="3">
        <f>W82/X82</f>
        <v>1.1020000000000001</v>
      </c>
      <c r="Z82" s="11">
        <v>0</v>
      </c>
      <c r="AA82" s="11" t="s">
        <v>31</v>
      </c>
      <c r="AB82" s="10">
        <v>0</v>
      </c>
      <c r="AC82" s="9" t="s">
        <v>34</v>
      </c>
      <c r="AD82" s="9" t="s">
        <v>35</v>
      </c>
    </row>
    <row r="83" spans="1:30" x14ac:dyDescent="0.25">
      <c r="A83" s="9" t="s">
        <v>940</v>
      </c>
      <c r="B83" s="10" t="s">
        <v>806</v>
      </c>
      <c r="C83" s="10">
        <v>3</v>
      </c>
      <c r="D83" s="10">
        <v>2020</v>
      </c>
      <c r="E83" s="9" t="s">
        <v>38</v>
      </c>
      <c r="F83" s="9" t="s">
        <v>29</v>
      </c>
      <c r="G83" s="1">
        <v>79.400000000000006</v>
      </c>
      <c r="H83" s="1">
        <v>0.6</v>
      </c>
      <c r="I83" s="9" t="s">
        <v>30</v>
      </c>
      <c r="J83" s="1">
        <v>0.53100000000000003</v>
      </c>
      <c r="K83" s="10">
        <v>358</v>
      </c>
      <c r="L83" s="3">
        <v>0.115</v>
      </c>
      <c r="M83" s="11">
        <v>2.7275207300420171E-3</v>
      </c>
      <c r="N83" t="s">
        <v>919</v>
      </c>
      <c r="O83" s="11">
        <v>0.11551101944314481</v>
      </c>
      <c r="P83" s="11">
        <v>2.8169014084507039E-3</v>
      </c>
      <c r="Q83" s="11">
        <v>0.11516038072286</v>
      </c>
      <c r="R83" s="11">
        <v>2.7273166716179171E-3</v>
      </c>
      <c r="S83" s="9" t="s">
        <v>40</v>
      </c>
      <c r="T83" s="9" t="s">
        <v>50</v>
      </c>
      <c r="U83" s="9" t="s">
        <v>305</v>
      </c>
      <c r="V83" s="9" t="s">
        <v>921</v>
      </c>
      <c r="W83" s="1" t="s">
        <v>31</v>
      </c>
      <c r="X83" s="1" t="s">
        <v>31</v>
      </c>
      <c r="Y83" s="3" t="s">
        <v>31</v>
      </c>
      <c r="Z83" s="11" t="s">
        <v>31</v>
      </c>
      <c r="AA83" s="11" t="s">
        <v>31</v>
      </c>
      <c r="AB83" s="10">
        <v>1</v>
      </c>
      <c r="AC83" s="9" t="s">
        <v>34</v>
      </c>
      <c r="AD83" s="9" t="s">
        <v>35</v>
      </c>
    </row>
  </sheetData>
  <sortState xmlns:xlrd2="http://schemas.microsoft.com/office/spreadsheetml/2017/richdata2" ref="A2:AD82">
    <sortCondition ref="D1"/>
  </sortState>
  <phoneticPr fontId="2"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0559-2159-4763-89E4-BB688E58BE39}">
  <dimension ref="A1:AI204"/>
  <sheetViews>
    <sheetView topLeftCell="V1" workbookViewId="0">
      <selection activeCell="AG1" sqref="AG1:AG1048576"/>
    </sheetView>
  </sheetViews>
  <sheetFormatPr baseColWidth="10" defaultColWidth="10.7109375" defaultRowHeight="15" x14ac:dyDescent="0.25"/>
  <cols>
    <col min="1" max="1" width="11.42578125" style="9" customWidth="1"/>
    <col min="2" max="3" width="11.42578125" style="1" customWidth="1"/>
    <col min="4" max="5" width="11.42578125" style="10" customWidth="1"/>
    <col min="6" max="7" width="11.42578125" style="9" customWidth="1"/>
    <col min="8" max="9" width="11.42578125" style="1" customWidth="1"/>
    <col min="10" max="10" width="11.42578125" style="9" customWidth="1"/>
    <col min="11" max="11" width="11.42578125" style="1" customWidth="1"/>
    <col min="12" max="12" width="11.42578125" style="10" customWidth="1"/>
    <col min="13" max="13" width="11.42578125" style="3" customWidth="1"/>
    <col min="14" max="14" width="11.42578125" style="11" customWidth="1"/>
    <col min="15" max="15" width="11.42578125" customWidth="1"/>
    <col min="16" max="19" width="11.42578125" style="11" customWidth="1"/>
    <col min="20" max="23" width="11.42578125" style="9" customWidth="1"/>
    <col min="24" max="25" width="11.42578125" style="1" customWidth="1"/>
    <col min="26" max="26" width="11.42578125" style="3" customWidth="1"/>
    <col min="27" max="28" width="11.42578125" style="11" customWidth="1"/>
    <col min="29" max="33" width="11.42578125" style="10" customWidth="1"/>
    <col min="34" max="35" width="11.42578125" style="9" customWidth="1"/>
  </cols>
  <sheetData>
    <row r="1" spans="1:35" x14ac:dyDescent="0.25">
      <c r="A1" s="9" t="s">
        <v>0</v>
      </c>
      <c r="B1" s="1" t="s">
        <v>1</v>
      </c>
      <c r="C1" s="1" t="s">
        <v>2</v>
      </c>
      <c r="D1" s="10" t="s">
        <v>3</v>
      </c>
      <c r="E1" s="10" t="s">
        <v>4</v>
      </c>
      <c r="F1" s="9" t="s">
        <v>5</v>
      </c>
      <c r="G1" s="9" t="s">
        <v>6</v>
      </c>
      <c r="H1" s="1" t="s">
        <v>7</v>
      </c>
      <c r="I1" s="1" t="s">
        <v>8</v>
      </c>
      <c r="J1" s="9" t="s">
        <v>9</v>
      </c>
      <c r="K1" s="1" t="s">
        <v>273</v>
      </c>
      <c r="L1" s="10" t="s">
        <v>849</v>
      </c>
      <c r="M1" s="3" t="s">
        <v>10</v>
      </c>
      <c r="N1" s="11" t="s">
        <v>317</v>
      </c>
      <c r="O1" t="s">
        <v>11</v>
      </c>
      <c r="P1" s="11" t="s">
        <v>318</v>
      </c>
      <c r="Q1" s="11" t="s">
        <v>319</v>
      </c>
      <c r="R1" s="11" t="s">
        <v>320</v>
      </c>
      <c r="S1" s="11" t="s">
        <v>321</v>
      </c>
      <c r="T1" s="9" t="s">
        <v>12</v>
      </c>
      <c r="U1" s="9" t="s">
        <v>13</v>
      </c>
      <c r="V1" s="9" t="s">
        <v>14</v>
      </c>
      <c r="W1" s="9" t="s">
        <v>15</v>
      </c>
      <c r="X1" s="1" t="s">
        <v>16</v>
      </c>
      <c r="Y1" s="1" t="s">
        <v>17</v>
      </c>
      <c r="Z1" s="3" t="s">
        <v>18</v>
      </c>
      <c r="AA1" s="11" t="s">
        <v>322</v>
      </c>
      <c r="AB1" s="11" t="s">
        <v>501</v>
      </c>
      <c r="AC1" s="10" t="s">
        <v>19</v>
      </c>
      <c r="AD1" s="10" t="s">
        <v>20</v>
      </c>
      <c r="AE1" s="10" t="s">
        <v>21</v>
      </c>
      <c r="AF1" s="10" t="s">
        <v>22</v>
      </c>
      <c r="AG1" s="10" t="s">
        <v>23</v>
      </c>
      <c r="AH1" s="9" t="s">
        <v>24</v>
      </c>
      <c r="AI1" s="9" t="s">
        <v>25</v>
      </c>
    </row>
    <row r="2" spans="1:35" x14ac:dyDescent="0.25">
      <c r="A2" s="9" t="s">
        <v>502</v>
      </c>
      <c r="B2" s="1" t="s">
        <v>26</v>
      </c>
      <c r="C2" s="1" t="s">
        <v>27</v>
      </c>
      <c r="D2" s="10">
        <v>2</v>
      </c>
      <c r="E2" s="10">
        <v>1987</v>
      </c>
      <c r="F2" s="9" t="s">
        <v>28</v>
      </c>
      <c r="G2" s="9" t="s">
        <v>29</v>
      </c>
      <c r="H2" s="1">
        <v>38.4</v>
      </c>
      <c r="I2" s="1">
        <v>14.1</v>
      </c>
      <c r="J2" s="9" t="s">
        <v>30</v>
      </c>
      <c r="K2" s="1">
        <v>0.34</v>
      </c>
      <c r="L2" s="10">
        <v>41</v>
      </c>
      <c r="M2" s="3">
        <v>7.0000000000000007E-2</v>
      </c>
      <c r="N2" s="11">
        <v>2.4755600249999999E-2</v>
      </c>
      <c r="O2">
        <v>20</v>
      </c>
      <c r="P2" s="11">
        <v>7.0114670654325154E-2</v>
      </c>
      <c r="Q2" s="11">
        <v>2.6315789473684209E-2</v>
      </c>
      <c r="R2" s="11">
        <v>7.0947284734271754E-2</v>
      </c>
      <c r="S2" s="11">
        <v>2.4748957546829591E-2</v>
      </c>
      <c r="T2" s="9" t="s">
        <v>32</v>
      </c>
      <c r="U2" s="9" t="s">
        <v>31</v>
      </c>
      <c r="V2" s="9" t="s">
        <v>33</v>
      </c>
      <c r="W2" s="9" t="s">
        <v>950</v>
      </c>
      <c r="X2" s="1">
        <v>11.1</v>
      </c>
      <c r="Y2" s="1">
        <v>15</v>
      </c>
      <c r="Z2" s="3">
        <f>X2/Y2</f>
        <v>0.74</v>
      </c>
      <c r="AA2" s="11">
        <v>9.4403707996221192E-2</v>
      </c>
      <c r="AB2" s="11">
        <v>0.2145544555173757</v>
      </c>
      <c r="AC2" s="10">
        <v>4</v>
      </c>
      <c r="AD2" s="10">
        <v>4</v>
      </c>
      <c r="AE2" s="10">
        <v>3</v>
      </c>
      <c r="AF2" s="10">
        <v>4</v>
      </c>
      <c r="AG2" s="10">
        <v>1</v>
      </c>
      <c r="AH2" s="9" t="s">
        <v>34</v>
      </c>
      <c r="AI2" s="9" t="s">
        <v>35</v>
      </c>
    </row>
    <row r="3" spans="1:35" x14ac:dyDescent="0.25">
      <c r="A3" s="9" t="s">
        <v>907</v>
      </c>
      <c r="B3" s="1" t="s">
        <v>36</v>
      </c>
      <c r="C3" s="1" t="s">
        <v>37</v>
      </c>
      <c r="D3" s="10">
        <v>1</v>
      </c>
      <c r="E3" s="10">
        <v>1991</v>
      </c>
      <c r="F3" s="9" t="s">
        <v>38</v>
      </c>
      <c r="G3" s="9" t="s">
        <v>29</v>
      </c>
      <c r="H3" s="1">
        <v>18.899999999999999</v>
      </c>
      <c r="I3" s="1">
        <v>0.6</v>
      </c>
      <c r="J3" s="9" t="s">
        <v>39</v>
      </c>
      <c r="K3" s="1">
        <v>0</v>
      </c>
      <c r="L3" s="10">
        <v>20</v>
      </c>
      <c r="M3" s="3">
        <v>0.33</v>
      </c>
      <c r="N3" s="11">
        <v>4.1792589999999998E-2</v>
      </c>
      <c r="O3">
        <v>225</v>
      </c>
      <c r="P3" s="11">
        <v>0.34282825441539388</v>
      </c>
      <c r="Q3" s="11">
        <v>5.8823529411764712E-2</v>
      </c>
      <c r="R3" s="11">
        <v>0.33917015198391759</v>
      </c>
      <c r="S3" s="11">
        <v>4.1218978288950138E-2</v>
      </c>
      <c r="T3" s="9" t="s">
        <v>40</v>
      </c>
      <c r="U3" s="9" t="s">
        <v>31</v>
      </c>
      <c r="V3" s="9" t="s">
        <v>33</v>
      </c>
      <c r="W3" s="9" t="s">
        <v>952</v>
      </c>
      <c r="X3" s="1" t="s">
        <v>31</v>
      </c>
      <c r="Y3" s="1" t="s">
        <v>31</v>
      </c>
      <c r="Z3" s="3" t="s">
        <v>31</v>
      </c>
      <c r="AA3" s="11" t="s">
        <v>31</v>
      </c>
      <c r="AB3" s="11" t="s">
        <v>31</v>
      </c>
      <c r="AC3" s="10">
        <v>3</v>
      </c>
      <c r="AD3" s="10">
        <v>3</v>
      </c>
      <c r="AE3" s="10">
        <v>3</v>
      </c>
      <c r="AF3" s="10">
        <v>3</v>
      </c>
      <c r="AG3" s="10">
        <v>0</v>
      </c>
      <c r="AH3" s="9" t="s">
        <v>41</v>
      </c>
      <c r="AI3" s="9" t="s">
        <v>35</v>
      </c>
    </row>
    <row r="4" spans="1:35" x14ac:dyDescent="0.25">
      <c r="A4" s="9" t="s">
        <v>907</v>
      </c>
      <c r="B4" s="1" t="s">
        <v>44</v>
      </c>
      <c r="C4" s="1" t="s">
        <v>42</v>
      </c>
      <c r="D4" s="10">
        <v>1</v>
      </c>
      <c r="E4" s="10">
        <v>1991</v>
      </c>
      <c r="F4" s="9" t="s">
        <v>38</v>
      </c>
      <c r="G4" s="9" t="s">
        <v>29</v>
      </c>
      <c r="H4" s="1">
        <v>18.899999999999999</v>
      </c>
      <c r="I4" s="1">
        <v>0.6</v>
      </c>
      <c r="J4" s="9" t="s">
        <v>43</v>
      </c>
      <c r="K4" s="1">
        <v>1</v>
      </c>
      <c r="L4" s="10">
        <v>20</v>
      </c>
      <c r="M4" s="3">
        <v>0.51</v>
      </c>
      <c r="N4" s="11">
        <v>2.8813263684210531E-2</v>
      </c>
      <c r="O4">
        <v>225</v>
      </c>
      <c r="P4" s="11">
        <v>0.56272976935214891</v>
      </c>
      <c r="Q4" s="11">
        <v>5.8823529411764712E-2</v>
      </c>
      <c r="R4" s="11">
        <v>0.52150714845195456</v>
      </c>
      <c r="S4" s="11">
        <v>2.789621627089502E-2</v>
      </c>
      <c r="T4" s="9" t="s">
        <v>40</v>
      </c>
      <c r="U4" s="9" t="s">
        <v>31</v>
      </c>
      <c r="V4" s="9" t="s">
        <v>33</v>
      </c>
      <c r="W4" s="9" t="s">
        <v>952</v>
      </c>
      <c r="X4" s="1" t="s">
        <v>31</v>
      </c>
      <c r="Y4" s="1" t="s">
        <v>31</v>
      </c>
      <c r="Z4" s="3" t="s">
        <v>31</v>
      </c>
      <c r="AA4" s="11" t="s">
        <v>31</v>
      </c>
      <c r="AB4" s="11" t="s">
        <v>31</v>
      </c>
      <c r="AC4" s="10">
        <v>3</v>
      </c>
      <c r="AD4" s="10">
        <v>3</v>
      </c>
      <c r="AE4" s="10">
        <v>3</v>
      </c>
      <c r="AF4" s="10">
        <v>3</v>
      </c>
      <c r="AG4" s="10">
        <v>0</v>
      </c>
      <c r="AH4" s="9" t="s">
        <v>41</v>
      </c>
      <c r="AI4" s="9" t="s">
        <v>35</v>
      </c>
    </row>
    <row r="5" spans="1:35" x14ac:dyDescent="0.25">
      <c r="A5" s="9" t="s">
        <v>503</v>
      </c>
      <c r="B5" s="1" t="s">
        <v>48</v>
      </c>
      <c r="C5" s="1" t="s">
        <v>45</v>
      </c>
      <c r="D5" s="10">
        <v>1</v>
      </c>
      <c r="E5" s="10">
        <v>1993</v>
      </c>
      <c r="F5" s="9" t="s">
        <v>38</v>
      </c>
      <c r="G5" s="9" t="s">
        <v>29</v>
      </c>
      <c r="H5" s="1">
        <v>38</v>
      </c>
      <c r="I5" s="1">
        <v>16</v>
      </c>
      <c r="J5" s="9" t="s">
        <v>39</v>
      </c>
      <c r="K5" s="1">
        <v>0</v>
      </c>
      <c r="L5" s="10">
        <v>30</v>
      </c>
      <c r="M5" s="3">
        <v>0.44</v>
      </c>
      <c r="N5" s="11">
        <v>2.2423481379310349E-2</v>
      </c>
      <c r="O5">
        <v>132</v>
      </c>
      <c r="P5" s="11">
        <v>0.47223080442042559</v>
      </c>
      <c r="Q5" s="11">
        <v>3.7037037037037042E-2</v>
      </c>
      <c r="R5" s="11">
        <v>0.44676664666476429</v>
      </c>
      <c r="S5" s="11">
        <v>2.2091015901227851E-2</v>
      </c>
      <c r="T5" s="9" t="s">
        <v>40</v>
      </c>
      <c r="U5" s="9" t="s">
        <v>46</v>
      </c>
      <c r="V5" s="9" t="s">
        <v>33</v>
      </c>
      <c r="W5" s="9" t="s">
        <v>911</v>
      </c>
      <c r="X5" s="1">
        <v>14</v>
      </c>
      <c r="Y5" s="1">
        <v>15</v>
      </c>
      <c r="Z5" s="3">
        <f>X5/Y5</f>
        <v>0.93333333333333335</v>
      </c>
      <c r="AA5" s="11">
        <v>0.46481823974569431</v>
      </c>
      <c r="AB5" s="11">
        <v>0.17428549841488991</v>
      </c>
      <c r="AC5" s="10">
        <v>4</v>
      </c>
      <c r="AD5" s="10">
        <v>4</v>
      </c>
      <c r="AE5" s="10">
        <v>4</v>
      </c>
      <c r="AF5" s="10">
        <v>4</v>
      </c>
      <c r="AG5" s="10">
        <v>1</v>
      </c>
      <c r="AH5" s="9" t="s">
        <v>41</v>
      </c>
      <c r="AI5" s="9" t="s">
        <v>35</v>
      </c>
    </row>
    <row r="6" spans="1:35" x14ac:dyDescent="0.25">
      <c r="A6" s="9" t="s">
        <v>503</v>
      </c>
      <c r="B6" s="1" t="s">
        <v>52</v>
      </c>
      <c r="C6" s="1" t="s">
        <v>47</v>
      </c>
      <c r="D6" s="10">
        <v>1</v>
      </c>
      <c r="E6" s="10">
        <v>1993</v>
      </c>
      <c r="F6" s="9" t="s">
        <v>38</v>
      </c>
      <c r="G6" s="9" t="s">
        <v>29</v>
      </c>
      <c r="H6" s="1">
        <v>38</v>
      </c>
      <c r="I6" s="1">
        <v>16</v>
      </c>
      <c r="J6" s="9" t="s">
        <v>43</v>
      </c>
      <c r="K6" s="1">
        <v>1</v>
      </c>
      <c r="L6" s="10">
        <v>37</v>
      </c>
      <c r="M6" s="3">
        <v>0.4</v>
      </c>
      <c r="N6" s="11">
        <v>1.9599999999999999E-2</v>
      </c>
      <c r="O6">
        <v>132</v>
      </c>
      <c r="P6" s="11">
        <v>0.42364893019360178</v>
      </c>
      <c r="Q6" s="11">
        <v>2.9411764705882349E-2</v>
      </c>
      <c r="R6" s="11">
        <v>0.40507049738189937</v>
      </c>
      <c r="S6" s="11">
        <v>1.9409964511605669E-2</v>
      </c>
      <c r="T6" s="9" t="s">
        <v>40</v>
      </c>
      <c r="U6" s="9" t="s">
        <v>46</v>
      </c>
      <c r="V6" s="9" t="s">
        <v>33</v>
      </c>
      <c r="W6" s="9" t="s">
        <v>911</v>
      </c>
      <c r="X6" s="1">
        <v>14</v>
      </c>
      <c r="Y6" s="1">
        <v>15</v>
      </c>
      <c r="Z6" s="3">
        <f>X6/Y6</f>
        <v>0.93333333333333335</v>
      </c>
      <c r="AA6" s="11">
        <v>0.42358687104367881</v>
      </c>
      <c r="AB6" s="11">
        <v>0.1602605661164066</v>
      </c>
      <c r="AC6" s="10">
        <v>4</v>
      </c>
      <c r="AD6" s="10">
        <v>4</v>
      </c>
      <c r="AE6" s="10">
        <v>4</v>
      </c>
      <c r="AF6" s="10">
        <v>4</v>
      </c>
      <c r="AG6" s="10">
        <v>1</v>
      </c>
      <c r="AH6" s="9" t="s">
        <v>41</v>
      </c>
      <c r="AI6" s="9" t="s">
        <v>35</v>
      </c>
    </row>
    <row r="7" spans="1:35" x14ac:dyDescent="0.25">
      <c r="A7" s="9" t="s">
        <v>504</v>
      </c>
      <c r="B7" s="1" t="s">
        <v>56</v>
      </c>
      <c r="C7" s="1" t="s">
        <v>49</v>
      </c>
      <c r="D7" s="10">
        <v>1</v>
      </c>
      <c r="E7" s="10">
        <v>1993</v>
      </c>
      <c r="F7" s="9" t="s">
        <v>38</v>
      </c>
      <c r="G7" s="9" t="s">
        <v>29</v>
      </c>
      <c r="H7" s="1">
        <v>43.8</v>
      </c>
      <c r="I7" s="1">
        <v>21.5</v>
      </c>
      <c r="J7" s="9" t="s">
        <v>30</v>
      </c>
      <c r="K7" s="1">
        <v>0.59</v>
      </c>
      <c r="L7" s="10">
        <v>29</v>
      </c>
      <c r="M7" s="3">
        <v>0.43</v>
      </c>
      <c r="N7" s="11">
        <v>2.3728143214285711E-2</v>
      </c>
      <c r="O7">
        <v>415</v>
      </c>
      <c r="P7" s="11">
        <v>0.45989668121267852</v>
      </c>
      <c r="Q7" s="11">
        <v>3.8461538461538457E-2</v>
      </c>
      <c r="R7" s="11">
        <v>0.4369545233551767</v>
      </c>
      <c r="S7" s="11">
        <v>2.337840962990206E-2</v>
      </c>
      <c r="T7" s="9" t="s">
        <v>40</v>
      </c>
      <c r="U7" s="9" t="s">
        <v>50</v>
      </c>
      <c r="V7" s="9" t="s">
        <v>51</v>
      </c>
      <c r="W7" s="9" t="s">
        <v>324</v>
      </c>
      <c r="X7" s="1">
        <v>17.5</v>
      </c>
      <c r="Y7" s="1">
        <v>16</v>
      </c>
      <c r="Z7" s="3">
        <f>X7/Y7</f>
        <v>1.09375</v>
      </c>
      <c r="AA7" s="11">
        <v>0.39924580055286318</v>
      </c>
      <c r="AB7" s="11">
        <v>0.16637014686887761</v>
      </c>
      <c r="AC7" s="10">
        <v>4</v>
      </c>
      <c r="AD7" s="10">
        <v>2</v>
      </c>
      <c r="AE7" s="10">
        <v>2</v>
      </c>
      <c r="AF7" s="10">
        <v>2</v>
      </c>
      <c r="AG7" s="10">
        <v>0</v>
      </c>
      <c r="AH7" s="9" t="s">
        <v>41</v>
      </c>
      <c r="AI7" s="9" t="s">
        <v>35</v>
      </c>
    </row>
    <row r="8" spans="1:35" x14ac:dyDescent="0.25">
      <c r="A8" s="9" t="s">
        <v>55</v>
      </c>
      <c r="B8" s="1" t="s">
        <v>60</v>
      </c>
      <c r="C8" s="1" t="s">
        <v>53</v>
      </c>
      <c r="D8" s="10">
        <v>1</v>
      </c>
      <c r="E8" s="10">
        <v>1994</v>
      </c>
      <c r="F8" s="9" t="s">
        <v>38</v>
      </c>
      <c r="G8" s="9" t="s">
        <v>29</v>
      </c>
      <c r="H8" s="1">
        <v>25</v>
      </c>
      <c r="I8" s="1" t="s">
        <v>31</v>
      </c>
      <c r="J8" s="9" t="s">
        <v>39</v>
      </c>
      <c r="K8" s="1">
        <v>0</v>
      </c>
      <c r="L8" s="10">
        <v>40</v>
      </c>
      <c r="M8" s="3">
        <v>0.39500000000000002</v>
      </c>
      <c r="N8" s="11">
        <v>1.8263943605769231E-2</v>
      </c>
      <c r="O8">
        <v>834</v>
      </c>
      <c r="P8" s="11">
        <v>0.4177106181123123</v>
      </c>
      <c r="Q8" s="11">
        <v>2.7027027027027029E-2</v>
      </c>
      <c r="R8" s="11">
        <v>0.39961454619088549</v>
      </c>
      <c r="S8" s="11">
        <v>1.8105587059236351E-2</v>
      </c>
      <c r="T8" s="9" t="s">
        <v>40</v>
      </c>
      <c r="U8" s="9" t="s">
        <v>50</v>
      </c>
      <c r="V8" s="9" t="s">
        <v>33</v>
      </c>
      <c r="W8" s="9" t="s">
        <v>951</v>
      </c>
      <c r="X8" s="1">
        <v>11.42</v>
      </c>
      <c r="Y8" s="1">
        <v>15</v>
      </c>
      <c r="Z8" s="3">
        <f>X8/Y8</f>
        <v>0.76133333333333331</v>
      </c>
      <c r="AA8" s="11">
        <v>0.49174983513883108</v>
      </c>
      <c r="AB8" s="11">
        <v>0.1666725441234761</v>
      </c>
      <c r="AC8" s="10">
        <v>4</v>
      </c>
      <c r="AD8" s="10">
        <v>4</v>
      </c>
      <c r="AE8" s="10">
        <v>4</v>
      </c>
      <c r="AF8" s="10">
        <v>4</v>
      </c>
      <c r="AG8" s="10">
        <v>0</v>
      </c>
      <c r="AH8" s="9" t="s">
        <v>41</v>
      </c>
      <c r="AI8" s="9" t="s">
        <v>35</v>
      </c>
    </row>
    <row r="9" spans="1:35" x14ac:dyDescent="0.25">
      <c r="A9" s="9" t="s">
        <v>506</v>
      </c>
      <c r="B9" s="1" t="s">
        <v>64</v>
      </c>
      <c r="C9" s="1" t="s">
        <v>57</v>
      </c>
      <c r="D9" s="10">
        <v>2</v>
      </c>
      <c r="E9" s="10">
        <v>1995</v>
      </c>
      <c r="F9" s="9" t="s">
        <v>28</v>
      </c>
      <c r="G9" s="9" t="s">
        <v>29</v>
      </c>
      <c r="H9" s="1">
        <v>29.4</v>
      </c>
      <c r="I9" s="1">
        <v>11.7</v>
      </c>
      <c r="J9" s="9" t="s">
        <v>30</v>
      </c>
      <c r="K9" s="1">
        <v>0.71</v>
      </c>
      <c r="L9" s="10">
        <v>72</v>
      </c>
      <c r="M9" s="3">
        <v>-0.03</v>
      </c>
      <c r="N9" s="11">
        <v>1.4059166338028169E-2</v>
      </c>
      <c r="O9">
        <v>387</v>
      </c>
      <c r="P9" s="11">
        <v>-3.000900486312652E-2</v>
      </c>
      <c r="Q9" s="11">
        <v>1.4492753623188409E-2</v>
      </c>
      <c r="R9" s="11">
        <v>-3.0221187156945419E-2</v>
      </c>
      <c r="S9" s="11">
        <v>1.405879146263876E-2</v>
      </c>
      <c r="T9" s="9" t="s">
        <v>40</v>
      </c>
      <c r="U9" s="9" t="s">
        <v>50</v>
      </c>
      <c r="V9" s="9" t="s">
        <v>33</v>
      </c>
      <c r="W9" s="9" t="s">
        <v>911</v>
      </c>
      <c r="X9" s="1">
        <v>13.1</v>
      </c>
      <c r="Y9" s="1">
        <v>15</v>
      </c>
      <c r="Z9" s="3">
        <f>X9/Y9</f>
        <v>0.87333333333333329</v>
      </c>
      <c r="AA9" s="11">
        <v>-3.4346336867542092E-2</v>
      </c>
      <c r="AB9" s="11">
        <v>0.13673920291569619</v>
      </c>
      <c r="AC9" s="10">
        <v>4</v>
      </c>
      <c r="AD9" s="10">
        <v>4</v>
      </c>
      <c r="AE9" s="10">
        <v>4</v>
      </c>
      <c r="AF9" s="10">
        <v>4</v>
      </c>
      <c r="AG9" s="10">
        <v>0</v>
      </c>
      <c r="AH9" s="9" t="s">
        <v>41</v>
      </c>
      <c r="AI9" s="9" t="s">
        <v>35</v>
      </c>
    </row>
    <row r="10" spans="1:35" x14ac:dyDescent="0.25">
      <c r="A10" s="9" t="s">
        <v>58</v>
      </c>
      <c r="B10" s="1" t="s">
        <v>67</v>
      </c>
      <c r="C10" s="1" t="s">
        <v>59</v>
      </c>
      <c r="D10" s="10">
        <v>1</v>
      </c>
      <c r="E10" s="10">
        <v>1995</v>
      </c>
      <c r="F10" s="9" t="s">
        <v>38</v>
      </c>
      <c r="G10" s="9" t="s">
        <v>29</v>
      </c>
      <c r="H10" s="1">
        <v>22.5</v>
      </c>
      <c r="I10" s="1">
        <v>5</v>
      </c>
      <c r="J10" s="9" t="s">
        <v>43</v>
      </c>
      <c r="K10" s="1">
        <v>1</v>
      </c>
      <c r="L10" s="10">
        <v>40</v>
      </c>
      <c r="M10" s="3">
        <v>0.31</v>
      </c>
      <c r="N10" s="11">
        <v>2.0949620769230771E-2</v>
      </c>
      <c r="O10">
        <v>114</v>
      </c>
      <c r="P10" s="11">
        <v>0.32054540930194608</v>
      </c>
      <c r="Q10" s="11">
        <v>2.7027027027027029E-2</v>
      </c>
      <c r="R10" s="11">
        <v>0.31389376629318377</v>
      </c>
      <c r="S10" s="11">
        <v>2.083716485222659E-2</v>
      </c>
      <c r="T10" s="9" t="s">
        <v>40</v>
      </c>
      <c r="U10" s="9" t="s">
        <v>50</v>
      </c>
      <c r="V10" s="9" t="s">
        <v>33</v>
      </c>
      <c r="W10" s="9" t="s">
        <v>911</v>
      </c>
      <c r="X10" s="1">
        <v>9.3000000000000007</v>
      </c>
      <c r="Y10" s="1">
        <v>15</v>
      </c>
      <c r="Z10" s="3">
        <v>0.62</v>
      </c>
      <c r="AA10" s="11">
        <v>0.46546380743016469</v>
      </c>
      <c r="AB10" s="11">
        <v>0.2006894049941142</v>
      </c>
      <c r="AC10" s="10">
        <v>3</v>
      </c>
      <c r="AD10" s="10">
        <v>4</v>
      </c>
      <c r="AE10" s="10">
        <v>3</v>
      </c>
      <c r="AF10" s="10">
        <v>3</v>
      </c>
      <c r="AG10" s="10">
        <v>0</v>
      </c>
      <c r="AH10" s="9" t="s">
        <v>41</v>
      </c>
      <c r="AI10" s="9" t="s">
        <v>35</v>
      </c>
    </row>
    <row r="11" spans="1:35" x14ac:dyDescent="0.25">
      <c r="A11" s="9" t="s">
        <v>507</v>
      </c>
      <c r="B11" s="1" t="s">
        <v>69</v>
      </c>
      <c r="C11" s="1" t="s">
        <v>61</v>
      </c>
      <c r="D11" s="10">
        <v>2</v>
      </c>
      <c r="E11" s="10">
        <v>1995</v>
      </c>
      <c r="F11" s="9" t="s">
        <v>28</v>
      </c>
      <c r="G11" s="9" t="s">
        <v>29</v>
      </c>
      <c r="H11" s="1">
        <v>26.39</v>
      </c>
      <c r="I11" s="1">
        <v>6.73</v>
      </c>
      <c r="J11" s="9" t="s">
        <v>30</v>
      </c>
      <c r="K11" s="1">
        <v>0.54</v>
      </c>
      <c r="L11" s="10">
        <v>28</v>
      </c>
      <c r="M11" s="3">
        <v>0.65</v>
      </c>
      <c r="N11" s="11">
        <v>1.235208333333333E-2</v>
      </c>
      <c r="O11">
        <v>202</v>
      </c>
      <c r="P11" s="11">
        <v>0.7752987062055835</v>
      </c>
      <c r="Q11" s="11">
        <v>0.04</v>
      </c>
      <c r="R11" s="11">
        <v>0.65758407460778479</v>
      </c>
      <c r="S11" s="11">
        <v>1.193150635899771E-2</v>
      </c>
      <c r="T11" s="9" t="s">
        <v>40</v>
      </c>
      <c r="U11" s="9" t="s">
        <v>50</v>
      </c>
      <c r="V11" s="9" t="s">
        <v>33</v>
      </c>
      <c r="W11" s="9" t="s">
        <v>911</v>
      </c>
      <c r="X11" s="1">
        <v>9.0969999999999995</v>
      </c>
      <c r="Y11" s="1">
        <v>15</v>
      </c>
      <c r="Z11" s="3">
        <f>X11/Y11</f>
        <v>0.6064666666666666</v>
      </c>
      <c r="AA11" s="11">
        <v>0.81575321671654899</v>
      </c>
      <c r="AB11" s="11">
        <v>0.10835264232979699</v>
      </c>
      <c r="AC11" s="10">
        <v>4</v>
      </c>
      <c r="AD11" s="10">
        <v>4</v>
      </c>
      <c r="AE11" s="10">
        <v>4</v>
      </c>
      <c r="AF11" s="10">
        <v>4</v>
      </c>
      <c r="AG11" s="10">
        <v>0</v>
      </c>
      <c r="AH11" s="9" t="s">
        <v>41</v>
      </c>
      <c r="AI11" s="9" t="s">
        <v>35</v>
      </c>
    </row>
    <row r="12" spans="1:35" x14ac:dyDescent="0.25">
      <c r="A12" s="9" t="s">
        <v>508</v>
      </c>
      <c r="B12" s="1" t="s">
        <v>72</v>
      </c>
      <c r="C12" s="1" t="s">
        <v>65</v>
      </c>
      <c r="D12" s="10">
        <v>1</v>
      </c>
      <c r="E12" s="10">
        <v>1995</v>
      </c>
      <c r="F12" s="9" t="s">
        <v>38</v>
      </c>
      <c r="G12" s="9" t="s">
        <v>29</v>
      </c>
      <c r="H12" s="1">
        <v>27.66</v>
      </c>
      <c r="I12" s="1">
        <v>7.31</v>
      </c>
      <c r="J12" s="9" t="s">
        <v>30</v>
      </c>
      <c r="K12" s="1">
        <v>0.63</v>
      </c>
      <c r="L12" s="10">
        <v>68</v>
      </c>
      <c r="M12" s="3">
        <v>0.3</v>
      </c>
      <c r="N12" s="11">
        <v>1.235970149253731E-2</v>
      </c>
      <c r="O12" t="s">
        <v>63</v>
      </c>
      <c r="P12" s="11">
        <v>0.30951960420311181</v>
      </c>
      <c r="Q12" s="11">
        <v>1.5384615384615391E-2</v>
      </c>
      <c r="R12" s="11">
        <v>0.30213411933817091</v>
      </c>
      <c r="S12" s="11">
        <v>1.2324819460414589E-2</v>
      </c>
      <c r="T12" s="9" t="s">
        <v>40</v>
      </c>
      <c r="U12" s="9" t="s">
        <v>50</v>
      </c>
      <c r="V12" s="9" t="s">
        <v>33</v>
      </c>
      <c r="W12" s="9" t="s">
        <v>953</v>
      </c>
      <c r="X12" s="1" t="s">
        <v>31</v>
      </c>
      <c r="Y12" s="1" t="s">
        <v>31</v>
      </c>
      <c r="Z12" s="3" t="s">
        <v>31</v>
      </c>
      <c r="AA12" s="11" t="s">
        <v>31</v>
      </c>
      <c r="AB12" s="11" t="s">
        <v>31</v>
      </c>
      <c r="AC12" s="10" t="s">
        <v>31</v>
      </c>
      <c r="AD12" s="10" t="s">
        <v>31</v>
      </c>
      <c r="AE12" s="10" t="s">
        <v>31</v>
      </c>
      <c r="AF12" s="10" t="s">
        <v>31</v>
      </c>
      <c r="AG12" s="10">
        <v>0</v>
      </c>
      <c r="AH12" s="9" t="s">
        <v>41</v>
      </c>
      <c r="AI12" s="9" t="s">
        <v>63</v>
      </c>
    </row>
    <row r="13" spans="1:35" x14ac:dyDescent="0.25">
      <c r="A13" s="9" t="s">
        <v>66</v>
      </c>
      <c r="B13" s="1" t="s">
        <v>75</v>
      </c>
      <c r="C13" s="1" t="s">
        <v>68</v>
      </c>
      <c r="D13" s="10">
        <v>2</v>
      </c>
      <c r="E13" s="10">
        <v>1995</v>
      </c>
      <c r="F13" s="9" t="s">
        <v>28</v>
      </c>
      <c r="G13" s="9" t="s">
        <v>29</v>
      </c>
      <c r="H13" s="1">
        <v>35.200000000000003</v>
      </c>
      <c r="I13" s="1">
        <v>8.32</v>
      </c>
      <c r="J13" s="9" t="s">
        <v>30</v>
      </c>
      <c r="K13" s="1">
        <v>0.77</v>
      </c>
      <c r="L13" s="10">
        <v>11</v>
      </c>
      <c r="M13" s="3">
        <v>-0.24</v>
      </c>
      <c r="N13" s="11">
        <v>8.8811775999999995E-2</v>
      </c>
      <c r="O13">
        <v>363</v>
      </c>
      <c r="P13" s="11">
        <v>-0.24477411265935289</v>
      </c>
      <c r="Q13" s="11">
        <v>0.125</v>
      </c>
      <c r="R13" s="11">
        <v>-0.25628031443357258</v>
      </c>
      <c r="S13" s="11">
        <v>8.729546106668308E-2</v>
      </c>
      <c r="T13" s="9" t="s">
        <v>40</v>
      </c>
      <c r="U13" s="9" t="s">
        <v>46</v>
      </c>
      <c r="V13" s="9" t="s">
        <v>33</v>
      </c>
      <c r="W13" s="9" t="s">
        <v>325</v>
      </c>
      <c r="X13" s="1">
        <v>12.71</v>
      </c>
      <c r="Y13" s="1">
        <v>15</v>
      </c>
      <c r="Z13" s="3">
        <f>X13/Y13</f>
        <v>0.84733333333333338</v>
      </c>
      <c r="AA13" s="11">
        <v>-0.2800906320716347</v>
      </c>
      <c r="AB13" s="11">
        <v>0.36928952823281802</v>
      </c>
      <c r="AC13" s="10">
        <v>4</v>
      </c>
      <c r="AD13" s="10">
        <v>4</v>
      </c>
      <c r="AE13" s="10">
        <v>4</v>
      </c>
      <c r="AF13" s="10">
        <v>4</v>
      </c>
      <c r="AG13" s="10">
        <v>0</v>
      </c>
      <c r="AH13" s="9" t="s">
        <v>41</v>
      </c>
      <c r="AI13" s="9" t="s">
        <v>35</v>
      </c>
    </row>
    <row r="14" spans="1:35" x14ac:dyDescent="0.25">
      <c r="A14" s="9" t="s">
        <v>71</v>
      </c>
      <c r="B14" s="1" t="s">
        <v>79</v>
      </c>
      <c r="C14" s="1" t="s">
        <v>70</v>
      </c>
      <c r="D14" s="10">
        <v>2</v>
      </c>
      <c r="E14" s="10">
        <v>1995</v>
      </c>
      <c r="F14" s="9" t="s">
        <v>38</v>
      </c>
      <c r="G14" s="9" t="s">
        <v>54</v>
      </c>
      <c r="H14" s="1">
        <v>11.28</v>
      </c>
      <c r="I14" s="1" t="s">
        <v>31</v>
      </c>
      <c r="J14" s="9" t="s">
        <v>30</v>
      </c>
      <c r="K14" s="1">
        <v>0.42</v>
      </c>
      <c r="L14" s="10">
        <v>87</v>
      </c>
      <c r="M14" s="3">
        <v>0</v>
      </c>
      <c r="N14" s="11">
        <v>1.1627906976744189E-2</v>
      </c>
      <c r="O14" t="s">
        <v>63</v>
      </c>
      <c r="P14" s="11">
        <v>0</v>
      </c>
      <c r="Q14" s="11">
        <v>1.1904761904761901E-2</v>
      </c>
      <c r="R14" s="11">
        <v>0</v>
      </c>
      <c r="S14" s="11">
        <v>1.1627906976744189E-2</v>
      </c>
      <c r="T14" s="9" t="s">
        <v>40</v>
      </c>
      <c r="U14" s="9" t="s">
        <v>50</v>
      </c>
      <c r="V14" s="9" t="s">
        <v>33</v>
      </c>
      <c r="W14" s="9" t="s">
        <v>326</v>
      </c>
      <c r="X14" s="1" t="s">
        <v>31</v>
      </c>
      <c r="Y14" s="1" t="s">
        <v>31</v>
      </c>
      <c r="Z14" s="3" t="s">
        <v>31</v>
      </c>
      <c r="AA14" s="11" t="s">
        <v>31</v>
      </c>
      <c r="AB14" s="11" t="s">
        <v>31</v>
      </c>
      <c r="AC14" s="10" t="s">
        <v>31</v>
      </c>
      <c r="AD14" s="10" t="s">
        <v>31</v>
      </c>
      <c r="AE14" s="10" t="s">
        <v>31</v>
      </c>
      <c r="AF14" s="10" t="s">
        <v>31</v>
      </c>
      <c r="AG14" s="10">
        <v>0</v>
      </c>
      <c r="AH14" s="9" t="s">
        <v>34</v>
      </c>
      <c r="AI14" s="9" t="s">
        <v>63</v>
      </c>
    </row>
    <row r="15" spans="1:35" x14ac:dyDescent="0.25">
      <c r="A15" s="9" t="s">
        <v>71</v>
      </c>
      <c r="B15" s="1" t="s">
        <v>81</v>
      </c>
      <c r="C15" s="1" t="s">
        <v>73</v>
      </c>
      <c r="D15" s="10">
        <v>2</v>
      </c>
      <c r="E15" s="10">
        <v>1995</v>
      </c>
      <c r="F15" s="9" t="s">
        <v>28</v>
      </c>
      <c r="G15" s="9" t="s">
        <v>54</v>
      </c>
      <c r="H15" s="1">
        <v>10.8</v>
      </c>
      <c r="I15" s="1" t="s">
        <v>31</v>
      </c>
      <c r="J15" s="9" t="s">
        <v>30</v>
      </c>
      <c r="K15" s="1">
        <v>0.35</v>
      </c>
      <c r="L15" s="10">
        <v>51</v>
      </c>
      <c r="M15" s="3">
        <v>0.245</v>
      </c>
      <c r="N15" s="11">
        <v>1.76710600125E-2</v>
      </c>
      <c r="O15">
        <v>163</v>
      </c>
      <c r="P15" s="11">
        <v>0.25008652982489171</v>
      </c>
      <c r="Q15" s="11">
        <v>2.0833333333333329E-2</v>
      </c>
      <c r="R15" s="11">
        <v>0.2474554640907542</v>
      </c>
      <c r="S15" s="11">
        <v>1.762562429308925E-2</v>
      </c>
      <c r="T15" s="9" t="s">
        <v>40</v>
      </c>
      <c r="U15" s="9" t="s">
        <v>50</v>
      </c>
      <c r="V15" s="9" t="s">
        <v>33</v>
      </c>
      <c r="W15" s="9" t="s">
        <v>326</v>
      </c>
      <c r="X15" s="1">
        <v>17</v>
      </c>
      <c r="Y15" s="1">
        <v>15</v>
      </c>
      <c r="Z15" s="3">
        <f>X15/Y15</f>
        <v>1.1333333333333333</v>
      </c>
      <c r="AA15" s="11">
        <v>0.21762774337286189</v>
      </c>
      <c r="AB15" s="11">
        <v>0.1246866507720661</v>
      </c>
      <c r="AC15" s="10" t="s">
        <v>31</v>
      </c>
      <c r="AD15" s="10" t="s">
        <v>31</v>
      </c>
      <c r="AE15" s="10" t="s">
        <v>31</v>
      </c>
      <c r="AF15" s="10" t="s">
        <v>31</v>
      </c>
      <c r="AG15" s="10">
        <v>0</v>
      </c>
      <c r="AH15" s="9" t="s">
        <v>34</v>
      </c>
      <c r="AI15" s="9" t="s">
        <v>35</v>
      </c>
    </row>
    <row r="16" spans="1:35" x14ac:dyDescent="0.25">
      <c r="A16" s="9" t="s">
        <v>509</v>
      </c>
      <c r="B16" s="1" t="s">
        <v>83</v>
      </c>
      <c r="C16" s="1" t="s">
        <v>74</v>
      </c>
      <c r="D16" s="10">
        <v>1</v>
      </c>
      <c r="E16" s="10">
        <v>1996</v>
      </c>
      <c r="F16" s="9" t="s">
        <v>38</v>
      </c>
      <c r="G16" s="9" t="s">
        <v>54</v>
      </c>
      <c r="H16" s="1">
        <v>10.6</v>
      </c>
      <c r="I16" s="1">
        <v>2.7</v>
      </c>
      <c r="J16" s="9" t="s">
        <v>39</v>
      </c>
      <c r="K16" s="1">
        <v>0</v>
      </c>
      <c r="L16" s="10">
        <v>57</v>
      </c>
      <c r="M16" s="3">
        <v>0.37</v>
      </c>
      <c r="N16" s="11">
        <v>1.3302528750000001E-2</v>
      </c>
      <c r="O16" t="s">
        <v>63</v>
      </c>
      <c r="P16" s="11">
        <v>0.38842309971829619</v>
      </c>
      <c r="Q16" s="11">
        <v>1.8518518518518521E-2</v>
      </c>
      <c r="R16" s="11">
        <v>0.37300868284024669</v>
      </c>
      <c r="S16" s="11">
        <v>1.323370939542047E-2</v>
      </c>
      <c r="T16" s="9" t="s">
        <v>40</v>
      </c>
      <c r="U16" s="9" t="s">
        <v>50</v>
      </c>
      <c r="V16" s="9" t="s">
        <v>33</v>
      </c>
      <c r="W16" s="9" t="s">
        <v>77</v>
      </c>
      <c r="X16" s="1">
        <v>15</v>
      </c>
      <c r="Y16" s="1" t="s">
        <v>31</v>
      </c>
      <c r="Z16" s="3" t="s">
        <v>31</v>
      </c>
      <c r="AA16" s="11" t="s">
        <v>31</v>
      </c>
      <c r="AB16" s="11" t="s">
        <v>31</v>
      </c>
      <c r="AC16" s="10" t="s">
        <v>31</v>
      </c>
      <c r="AD16" s="10" t="s">
        <v>31</v>
      </c>
      <c r="AE16" s="10" t="s">
        <v>31</v>
      </c>
      <c r="AF16" s="10" t="s">
        <v>31</v>
      </c>
      <c r="AG16" s="10">
        <v>0</v>
      </c>
      <c r="AH16" s="9" t="s">
        <v>41</v>
      </c>
      <c r="AI16" s="9" t="s">
        <v>63</v>
      </c>
    </row>
    <row r="17" spans="1:35" x14ac:dyDescent="0.25">
      <c r="A17" s="9" t="s">
        <v>509</v>
      </c>
      <c r="B17" s="1" t="s">
        <v>85</v>
      </c>
      <c r="C17" s="1" t="s">
        <v>76</v>
      </c>
      <c r="D17" s="10">
        <v>2</v>
      </c>
      <c r="E17" s="10">
        <v>1996</v>
      </c>
      <c r="F17" s="9" t="s">
        <v>38</v>
      </c>
      <c r="G17" s="9" t="s">
        <v>54</v>
      </c>
      <c r="H17" s="1">
        <v>10.1</v>
      </c>
      <c r="I17" s="1">
        <v>2.7</v>
      </c>
      <c r="J17" s="9" t="s">
        <v>43</v>
      </c>
      <c r="K17" s="1">
        <v>1</v>
      </c>
      <c r="L17" s="10">
        <v>12</v>
      </c>
      <c r="M17" s="3">
        <v>0.52</v>
      </c>
      <c r="N17" s="11">
        <v>4.8392378181818192E-2</v>
      </c>
      <c r="O17" t="s">
        <v>63</v>
      </c>
      <c r="P17" s="11">
        <v>0.57633975496919276</v>
      </c>
      <c r="Q17" s="11">
        <v>0.1111111111111111</v>
      </c>
      <c r="R17" s="11">
        <v>0.54236991046820004</v>
      </c>
      <c r="S17" s="11">
        <v>4.5291170739397292E-2</v>
      </c>
      <c r="T17" s="9" t="s">
        <v>40</v>
      </c>
      <c r="U17" s="9" t="s">
        <v>50</v>
      </c>
      <c r="V17" s="9" t="s">
        <v>33</v>
      </c>
      <c r="W17" s="9" t="s">
        <v>77</v>
      </c>
      <c r="X17" s="1">
        <v>17</v>
      </c>
      <c r="Y17" s="1" t="s">
        <v>31</v>
      </c>
      <c r="Z17" s="3" t="s">
        <v>31</v>
      </c>
      <c r="AA17" s="11" t="s">
        <v>31</v>
      </c>
      <c r="AB17" s="11" t="s">
        <v>31</v>
      </c>
      <c r="AC17" s="10" t="s">
        <v>31</v>
      </c>
      <c r="AD17" s="10" t="s">
        <v>31</v>
      </c>
      <c r="AE17" s="10" t="s">
        <v>31</v>
      </c>
      <c r="AF17" s="10" t="s">
        <v>31</v>
      </c>
      <c r="AG17" s="10">
        <v>0</v>
      </c>
      <c r="AH17" s="9" t="s">
        <v>41</v>
      </c>
      <c r="AI17" s="9" t="s">
        <v>63</v>
      </c>
    </row>
    <row r="18" spans="1:35" x14ac:dyDescent="0.25">
      <c r="A18" s="9" t="s">
        <v>510</v>
      </c>
      <c r="B18" s="1" t="s">
        <v>88</v>
      </c>
      <c r="C18" s="1" t="s">
        <v>78</v>
      </c>
      <c r="D18" s="10">
        <v>2</v>
      </c>
      <c r="E18" s="10">
        <v>1997</v>
      </c>
      <c r="F18" s="9" t="s">
        <v>28</v>
      </c>
      <c r="G18" s="9" t="s">
        <v>29</v>
      </c>
      <c r="H18" s="1">
        <v>70.2</v>
      </c>
      <c r="I18" s="1">
        <v>7.1</v>
      </c>
      <c r="J18" s="9" t="s">
        <v>30</v>
      </c>
      <c r="K18" s="1">
        <v>0.38</v>
      </c>
      <c r="L18" s="10">
        <v>60</v>
      </c>
      <c r="M18" s="3">
        <v>0.39900000000000002</v>
      </c>
      <c r="N18" s="11">
        <v>1.198208404069492E-2</v>
      </c>
      <c r="O18">
        <v>21</v>
      </c>
      <c r="P18" s="11">
        <v>0.4224590200651368</v>
      </c>
      <c r="Q18" s="11">
        <v>1.754385964912281E-2</v>
      </c>
      <c r="R18" s="11">
        <v>0.40198886130584272</v>
      </c>
      <c r="S18" s="11">
        <v>1.191394693586194E-2</v>
      </c>
      <c r="T18" s="9" t="s">
        <v>40</v>
      </c>
      <c r="U18" s="9" t="s">
        <v>50</v>
      </c>
      <c r="V18" s="9" t="s">
        <v>33</v>
      </c>
      <c r="W18" s="9" t="s">
        <v>911</v>
      </c>
      <c r="X18" s="1">
        <v>12.5</v>
      </c>
      <c r="Y18" s="1">
        <v>15</v>
      </c>
      <c r="Z18" s="3">
        <f t="shared" ref="Z18:Z26" si="0">X18/Y18</f>
        <v>0.83333333333333337</v>
      </c>
      <c r="AA18" s="11">
        <v>0.46286295393275628</v>
      </c>
      <c r="AB18" s="11">
        <v>0.1305293529650027</v>
      </c>
      <c r="AC18" s="10">
        <v>4</v>
      </c>
      <c r="AD18" s="10">
        <v>4</v>
      </c>
      <c r="AE18" s="10">
        <v>4</v>
      </c>
      <c r="AF18" s="10">
        <v>4</v>
      </c>
      <c r="AG18" s="10">
        <v>3</v>
      </c>
      <c r="AH18" s="9" t="s">
        <v>34</v>
      </c>
      <c r="AI18" s="9" t="s">
        <v>35</v>
      </c>
    </row>
    <row r="19" spans="1:35" x14ac:dyDescent="0.25">
      <c r="A19" s="9" t="s">
        <v>511</v>
      </c>
      <c r="B19" s="1" t="s">
        <v>91</v>
      </c>
      <c r="C19" s="1" t="s">
        <v>80</v>
      </c>
      <c r="D19" s="10">
        <v>2</v>
      </c>
      <c r="E19" s="10">
        <v>1997</v>
      </c>
      <c r="F19" s="9" t="s">
        <v>38</v>
      </c>
      <c r="G19" s="9" t="s">
        <v>29</v>
      </c>
      <c r="H19" s="1">
        <v>24.8</v>
      </c>
      <c r="I19" s="1">
        <v>4.5</v>
      </c>
      <c r="J19" s="9" t="s">
        <v>30</v>
      </c>
      <c r="K19" s="1">
        <v>0.53</v>
      </c>
      <c r="L19" s="10">
        <v>62</v>
      </c>
      <c r="M19" s="3">
        <v>0.38</v>
      </c>
      <c r="N19" s="11">
        <v>1.200084196721312E-2</v>
      </c>
      <c r="O19">
        <v>4</v>
      </c>
      <c r="P19" s="11">
        <v>0.40005965005605648</v>
      </c>
      <c r="Q19" s="11">
        <v>1.6949152542372881E-2</v>
      </c>
      <c r="R19" s="11">
        <v>0.38279862848911328</v>
      </c>
      <c r="S19" s="11">
        <v>1.194103056928167E-2</v>
      </c>
      <c r="T19" s="9" t="s">
        <v>40</v>
      </c>
      <c r="U19" s="9" t="s">
        <v>50</v>
      </c>
      <c r="V19" s="9" t="s">
        <v>33</v>
      </c>
      <c r="W19" s="9" t="s">
        <v>911</v>
      </c>
      <c r="X19" s="1">
        <v>12.2</v>
      </c>
      <c r="Y19" s="1">
        <v>15</v>
      </c>
      <c r="Z19" s="3">
        <f t="shared" si="0"/>
        <v>0.81333333333333324</v>
      </c>
      <c r="AA19" s="11">
        <v>0.45085356817418942</v>
      </c>
      <c r="AB19" s="11">
        <v>0.1319327605223104</v>
      </c>
      <c r="AC19" s="10">
        <v>4</v>
      </c>
      <c r="AD19" s="10">
        <v>4</v>
      </c>
      <c r="AE19" s="10">
        <v>4</v>
      </c>
      <c r="AF19" s="10">
        <v>4</v>
      </c>
      <c r="AG19" s="10">
        <v>0</v>
      </c>
      <c r="AH19" s="9" t="s">
        <v>41</v>
      </c>
      <c r="AI19" s="9" t="s">
        <v>35</v>
      </c>
    </row>
    <row r="20" spans="1:35" x14ac:dyDescent="0.25">
      <c r="A20" s="9" t="s">
        <v>512</v>
      </c>
      <c r="B20" s="1" t="s">
        <v>95</v>
      </c>
      <c r="C20" s="1" t="s">
        <v>82</v>
      </c>
      <c r="D20" s="10">
        <v>1</v>
      </c>
      <c r="E20" s="10">
        <v>1998</v>
      </c>
      <c r="F20" s="9" t="s">
        <v>38</v>
      </c>
      <c r="G20" s="9" t="s">
        <v>29</v>
      </c>
      <c r="H20" s="1">
        <v>27</v>
      </c>
      <c r="I20" s="1">
        <v>10</v>
      </c>
      <c r="J20" s="9" t="s">
        <v>30</v>
      </c>
      <c r="K20" s="1">
        <v>0.53</v>
      </c>
      <c r="L20" s="10">
        <v>90</v>
      </c>
      <c r="M20" s="3">
        <v>0.25</v>
      </c>
      <c r="N20" s="11">
        <v>9.8753511235955063E-3</v>
      </c>
      <c r="O20">
        <v>152</v>
      </c>
      <c r="P20" s="11">
        <v>0.25541281188299542</v>
      </c>
      <c r="Q20" s="11">
        <v>1.149425287356322E-2</v>
      </c>
      <c r="R20" s="11">
        <v>0.2513643005523179</v>
      </c>
      <c r="S20" s="11">
        <v>9.8609460240063548E-3</v>
      </c>
      <c r="T20" s="9" t="s">
        <v>40</v>
      </c>
      <c r="U20" s="9" t="s">
        <v>50</v>
      </c>
      <c r="V20" s="9" t="s">
        <v>33</v>
      </c>
      <c r="W20" s="9" t="s">
        <v>911</v>
      </c>
      <c r="X20" s="1">
        <v>12</v>
      </c>
      <c r="Y20" s="1">
        <v>15</v>
      </c>
      <c r="Z20" s="3">
        <f t="shared" si="0"/>
        <v>0.8</v>
      </c>
      <c r="AA20" s="11">
        <v>0.30714755841697561</v>
      </c>
      <c r="AB20" s="11">
        <v>0.1225026411583235</v>
      </c>
      <c r="AC20" s="10">
        <v>4</v>
      </c>
      <c r="AD20" s="10">
        <v>4</v>
      </c>
      <c r="AE20" s="10">
        <v>4</v>
      </c>
      <c r="AF20" s="10">
        <v>4</v>
      </c>
      <c r="AG20" s="10">
        <v>1</v>
      </c>
      <c r="AH20" s="9" t="s">
        <v>41</v>
      </c>
      <c r="AI20" s="9" t="s">
        <v>35</v>
      </c>
    </row>
    <row r="21" spans="1:35" x14ac:dyDescent="0.25">
      <c r="A21" s="9" t="s">
        <v>513</v>
      </c>
      <c r="B21" s="1" t="s">
        <v>97</v>
      </c>
      <c r="C21" s="1" t="s">
        <v>84</v>
      </c>
      <c r="D21" s="10">
        <v>1</v>
      </c>
      <c r="E21" s="10">
        <v>1999</v>
      </c>
      <c r="F21" s="9" t="s">
        <v>38</v>
      </c>
      <c r="G21" s="9" t="s">
        <v>29</v>
      </c>
      <c r="H21" s="1">
        <v>25</v>
      </c>
      <c r="I21" s="1">
        <v>5.3</v>
      </c>
      <c r="J21" s="9" t="s">
        <v>39</v>
      </c>
      <c r="K21" s="1">
        <v>0</v>
      </c>
      <c r="L21" s="10">
        <v>40</v>
      </c>
      <c r="M21" s="3">
        <v>0.4</v>
      </c>
      <c r="N21" s="11">
        <v>1.8092307692307689E-2</v>
      </c>
      <c r="O21">
        <v>4069</v>
      </c>
      <c r="P21" s="11">
        <v>0.42364893019360178</v>
      </c>
      <c r="Q21" s="11">
        <v>2.7027027027027029E-2</v>
      </c>
      <c r="R21" s="11">
        <v>0.40464975908000661</v>
      </c>
      <c r="S21" s="11">
        <v>1.7931497436933879E-2</v>
      </c>
      <c r="T21" s="9" t="s">
        <v>40</v>
      </c>
      <c r="U21" s="9" t="s">
        <v>46</v>
      </c>
      <c r="V21" s="9" t="s">
        <v>33</v>
      </c>
      <c r="W21" s="9" t="s">
        <v>973</v>
      </c>
      <c r="X21" s="1">
        <v>12.9</v>
      </c>
      <c r="Y21" s="1">
        <v>15</v>
      </c>
      <c r="Z21" s="3">
        <f t="shared" si="0"/>
        <v>0.86</v>
      </c>
      <c r="AA21" s="11">
        <v>0.45254428518076062</v>
      </c>
      <c r="AB21" s="11">
        <v>0.1592384816671196</v>
      </c>
      <c r="AC21" s="10">
        <v>3</v>
      </c>
      <c r="AD21" s="10">
        <v>3</v>
      </c>
      <c r="AE21" s="10">
        <v>3</v>
      </c>
      <c r="AF21" s="10">
        <v>3</v>
      </c>
      <c r="AG21" s="10">
        <v>0</v>
      </c>
      <c r="AH21" s="9" t="s">
        <v>41</v>
      </c>
      <c r="AI21" s="9" t="s">
        <v>35</v>
      </c>
    </row>
    <row r="22" spans="1:35" x14ac:dyDescent="0.25">
      <c r="A22" s="9" t="s">
        <v>513</v>
      </c>
      <c r="B22" s="1" t="s">
        <v>100</v>
      </c>
      <c r="C22" s="1" t="s">
        <v>86</v>
      </c>
      <c r="D22" s="10">
        <v>1</v>
      </c>
      <c r="E22" s="10">
        <v>1999</v>
      </c>
      <c r="F22" s="9" t="s">
        <v>38</v>
      </c>
      <c r="G22" s="9" t="s">
        <v>29</v>
      </c>
      <c r="H22" s="1">
        <v>27</v>
      </c>
      <c r="I22" s="1">
        <v>5.7</v>
      </c>
      <c r="J22" s="9" t="s">
        <v>43</v>
      </c>
      <c r="K22" s="1">
        <v>1</v>
      </c>
      <c r="L22" s="10">
        <v>40</v>
      </c>
      <c r="M22" s="3">
        <v>0.39</v>
      </c>
      <c r="N22" s="11">
        <v>1.8434215641025639E-2</v>
      </c>
      <c r="O22">
        <v>4069</v>
      </c>
      <c r="P22" s="11">
        <v>0.41180003447869029</v>
      </c>
      <c r="Q22" s="11">
        <v>2.7027027027027029E-2</v>
      </c>
      <c r="R22" s="11">
        <v>0.39457848071424662</v>
      </c>
      <c r="S22" s="11">
        <v>1.8278351262342118E-2</v>
      </c>
      <c r="T22" s="9" t="s">
        <v>40</v>
      </c>
      <c r="U22" s="9" t="s">
        <v>46</v>
      </c>
      <c r="V22" s="9" t="s">
        <v>33</v>
      </c>
      <c r="W22" s="9" t="s">
        <v>973</v>
      </c>
      <c r="X22" s="1">
        <v>13.5</v>
      </c>
      <c r="Y22" s="1">
        <v>15</v>
      </c>
      <c r="Z22" s="3">
        <f t="shared" si="0"/>
        <v>0.9</v>
      </c>
      <c r="AA22" s="11">
        <v>0.42580403117336912</v>
      </c>
      <c r="AB22" s="11">
        <v>0.15747115871364911</v>
      </c>
      <c r="AC22" s="10">
        <v>3</v>
      </c>
      <c r="AD22" s="10">
        <v>3</v>
      </c>
      <c r="AE22" s="10">
        <v>3</v>
      </c>
      <c r="AF22" s="10">
        <v>3</v>
      </c>
      <c r="AG22" s="10">
        <v>0</v>
      </c>
      <c r="AH22" s="9" t="s">
        <v>41</v>
      </c>
      <c r="AI22" s="9" t="s">
        <v>35</v>
      </c>
    </row>
    <row r="23" spans="1:35" x14ac:dyDescent="0.25">
      <c r="A23" s="9" t="s">
        <v>514</v>
      </c>
      <c r="B23" s="1" t="s">
        <v>102</v>
      </c>
      <c r="C23" s="1" t="s">
        <v>87</v>
      </c>
      <c r="D23" s="10">
        <v>1</v>
      </c>
      <c r="E23" s="10">
        <v>1999</v>
      </c>
      <c r="F23" s="9" t="s">
        <v>38</v>
      </c>
      <c r="G23" s="9" t="s">
        <v>29</v>
      </c>
      <c r="H23" s="1">
        <v>22</v>
      </c>
      <c r="I23" s="1" t="s">
        <v>31</v>
      </c>
      <c r="J23" s="9" t="s">
        <v>39</v>
      </c>
      <c r="K23" s="1">
        <v>0</v>
      </c>
      <c r="L23" s="10">
        <v>54</v>
      </c>
      <c r="M23" s="3">
        <v>0.62</v>
      </c>
      <c r="N23" s="11">
        <v>7.1502520754716968E-3</v>
      </c>
      <c r="O23">
        <v>87</v>
      </c>
      <c r="P23" s="11">
        <v>0.72500508775299921</v>
      </c>
      <c r="Q23" s="11">
        <v>1.9607843137254902E-2</v>
      </c>
      <c r="R23" s="11">
        <v>0.62376867449294315</v>
      </c>
      <c r="S23" s="11">
        <v>7.041778388548919E-3</v>
      </c>
      <c r="T23" s="9" t="s">
        <v>40</v>
      </c>
      <c r="U23" s="9" t="s">
        <v>50</v>
      </c>
      <c r="V23" s="9" t="s">
        <v>51</v>
      </c>
      <c r="W23" s="9" t="s">
        <v>324</v>
      </c>
      <c r="X23" s="1">
        <v>18</v>
      </c>
      <c r="Y23" s="1">
        <v>16</v>
      </c>
      <c r="Z23" s="3">
        <f t="shared" si="0"/>
        <v>1.125</v>
      </c>
      <c r="AA23" s="11">
        <v>0.57478443142762869</v>
      </c>
      <c r="AB23" s="11">
        <v>0.10972171803399849</v>
      </c>
      <c r="AC23" s="10">
        <v>4</v>
      </c>
      <c r="AD23" s="10">
        <v>2</v>
      </c>
      <c r="AE23" s="10">
        <v>2</v>
      </c>
      <c r="AF23" s="10">
        <v>2</v>
      </c>
      <c r="AG23" s="10">
        <v>0</v>
      </c>
      <c r="AH23" s="9" t="s">
        <v>41</v>
      </c>
      <c r="AI23" s="9" t="s">
        <v>35</v>
      </c>
    </row>
    <row r="24" spans="1:35" x14ac:dyDescent="0.25">
      <c r="A24" s="9" t="s">
        <v>514</v>
      </c>
      <c r="B24" s="1" t="s">
        <v>104</v>
      </c>
      <c r="C24" s="1" t="s">
        <v>89</v>
      </c>
      <c r="D24" s="10">
        <v>1</v>
      </c>
      <c r="E24" s="10">
        <v>1999</v>
      </c>
      <c r="F24" s="9" t="s">
        <v>38</v>
      </c>
      <c r="G24" s="9" t="s">
        <v>29</v>
      </c>
      <c r="H24" s="1">
        <v>22</v>
      </c>
      <c r="I24" s="1" t="s">
        <v>31</v>
      </c>
      <c r="J24" s="9" t="s">
        <v>43</v>
      </c>
      <c r="K24" s="1">
        <v>1</v>
      </c>
      <c r="L24" s="10">
        <v>49</v>
      </c>
      <c r="M24" s="3">
        <v>0.28000000000000003</v>
      </c>
      <c r="N24" s="11">
        <v>1.7694720000000001E-2</v>
      </c>
      <c r="O24">
        <v>87</v>
      </c>
      <c r="P24" s="11">
        <v>0.28768207245178101</v>
      </c>
      <c r="Q24" s="11">
        <v>2.1739130434782612E-2</v>
      </c>
      <c r="R24" s="11">
        <v>0.28287119422869161</v>
      </c>
      <c r="S24" s="11">
        <v>1.7632715691974579E-2</v>
      </c>
      <c r="T24" s="9" t="s">
        <v>40</v>
      </c>
      <c r="U24" s="9" t="s">
        <v>50</v>
      </c>
      <c r="V24" s="9" t="s">
        <v>51</v>
      </c>
      <c r="W24" s="9" t="s">
        <v>324</v>
      </c>
      <c r="X24" s="1">
        <v>18</v>
      </c>
      <c r="Y24" s="1">
        <v>16</v>
      </c>
      <c r="Z24" s="3">
        <f t="shared" si="0"/>
        <v>1.125</v>
      </c>
      <c r="AA24" s="11">
        <v>0.25096215878372619</v>
      </c>
      <c r="AB24" s="11">
        <v>0.12760802276354491</v>
      </c>
      <c r="AC24" s="10">
        <v>4</v>
      </c>
      <c r="AD24" s="10">
        <v>2</v>
      </c>
      <c r="AE24" s="10">
        <v>2</v>
      </c>
      <c r="AF24" s="10">
        <v>2</v>
      </c>
      <c r="AG24" s="10">
        <v>0</v>
      </c>
      <c r="AH24" s="9" t="s">
        <v>41</v>
      </c>
      <c r="AI24" s="9" t="s">
        <v>35</v>
      </c>
    </row>
    <row r="25" spans="1:35" x14ac:dyDescent="0.25">
      <c r="A25" s="9" t="s">
        <v>515</v>
      </c>
      <c r="B25" s="1" t="s">
        <v>107</v>
      </c>
      <c r="C25" s="1" t="s">
        <v>90</v>
      </c>
      <c r="D25" s="10">
        <v>1</v>
      </c>
      <c r="E25" s="10">
        <v>2000</v>
      </c>
      <c r="F25" s="9" t="s">
        <v>38</v>
      </c>
      <c r="G25" s="9" t="s">
        <v>29</v>
      </c>
      <c r="H25" s="1">
        <v>80.7</v>
      </c>
      <c r="I25" s="1">
        <v>0.3</v>
      </c>
      <c r="J25" s="9" t="s">
        <v>39</v>
      </c>
      <c r="K25" s="1">
        <v>0</v>
      </c>
      <c r="L25" s="10">
        <v>22</v>
      </c>
      <c r="M25" s="3">
        <v>0.22</v>
      </c>
      <c r="N25" s="11">
        <v>4.3121074285714288E-2</v>
      </c>
      <c r="O25" t="s">
        <v>63</v>
      </c>
      <c r="P25" s="11">
        <v>0.22365610902183239</v>
      </c>
      <c r="Q25" s="11">
        <v>5.2631578947368418E-2</v>
      </c>
      <c r="R25" s="11">
        <v>0.2258540587709644</v>
      </c>
      <c r="S25" s="11">
        <v>4.2884853051073452E-2</v>
      </c>
      <c r="T25" s="9" t="s">
        <v>40</v>
      </c>
      <c r="U25" s="9" t="s">
        <v>31</v>
      </c>
      <c r="V25" s="9" t="s">
        <v>33</v>
      </c>
      <c r="W25" s="9" t="s">
        <v>950</v>
      </c>
      <c r="X25" s="1">
        <v>14.2</v>
      </c>
      <c r="Y25" s="1">
        <v>15</v>
      </c>
      <c r="Z25" s="3">
        <f t="shared" si="0"/>
        <v>0.94666666666666666</v>
      </c>
      <c r="AA25" s="11">
        <v>0.23174555934907609</v>
      </c>
      <c r="AB25" s="11">
        <v>0.22849284764605621</v>
      </c>
      <c r="AC25" s="10">
        <v>4</v>
      </c>
      <c r="AD25" s="10">
        <v>4</v>
      </c>
      <c r="AE25" s="10">
        <v>4</v>
      </c>
      <c r="AF25" s="10">
        <v>4</v>
      </c>
      <c r="AG25" s="10">
        <v>0</v>
      </c>
      <c r="AH25" s="9" t="s">
        <v>34</v>
      </c>
      <c r="AI25" s="9" t="s">
        <v>63</v>
      </c>
    </row>
    <row r="26" spans="1:35" x14ac:dyDescent="0.25">
      <c r="A26" s="9" t="s">
        <v>515</v>
      </c>
      <c r="B26" s="1" t="s">
        <v>111</v>
      </c>
      <c r="C26" s="1" t="s">
        <v>92</v>
      </c>
      <c r="D26" s="10">
        <v>1</v>
      </c>
      <c r="E26" s="10">
        <v>2000</v>
      </c>
      <c r="F26" s="9" t="s">
        <v>38</v>
      </c>
      <c r="G26" s="9" t="s">
        <v>29</v>
      </c>
      <c r="H26" s="1">
        <v>80.7</v>
      </c>
      <c r="I26" s="1">
        <v>0.3</v>
      </c>
      <c r="J26" s="9" t="s">
        <v>43</v>
      </c>
      <c r="K26" s="1">
        <v>1</v>
      </c>
      <c r="L26" s="10">
        <v>46</v>
      </c>
      <c r="M26" s="3">
        <v>7.0000000000000007E-2</v>
      </c>
      <c r="N26" s="11">
        <v>2.2004978000000001E-2</v>
      </c>
      <c r="O26" t="s">
        <v>63</v>
      </c>
      <c r="P26" s="11">
        <v>7.0114670654325154E-2</v>
      </c>
      <c r="Q26" s="11">
        <v>2.3255813953488368E-2</v>
      </c>
      <c r="R26" s="11">
        <v>7.0833896185650461E-2</v>
      </c>
      <c r="S26" s="11">
        <v>2.1999784289222061E-2</v>
      </c>
      <c r="T26" s="9" t="s">
        <v>40</v>
      </c>
      <c r="U26" s="9" t="s">
        <v>31</v>
      </c>
      <c r="V26" s="9" t="s">
        <v>33</v>
      </c>
      <c r="W26" s="9" t="s">
        <v>950</v>
      </c>
      <c r="X26" s="1">
        <v>14.2</v>
      </c>
      <c r="Y26" s="1">
        <v>15</v>
      </c>
      <c r="Z26" s="3">
        <f t="shared" si="0"/>
        <v>0.94666666666666666</v>
      </c>
      <c r="AA26" s="11">
        <v>7.3922683283234064E-2</v>
      </c>
      <c r="AB26" s="11">
        <v>0.1587231389846708</v>
      </c>
      <c r="AC26" s="10">
        <v>4</v>
      </c>
      <c r="AD26" s="10">
        <v>4</v>
      </c>
      <c r="AE26" s="10">
        <v>4</v>
      </c>
      <c r="AF26" s="10">
        <v>4</v>
      </c>
      <c r="AG26" s="10">
        <v>0</v>
      </c>
      <c r="AH26" s="9" t="s">
        <v>34</v>
      </c>
      <c r="AI26" s="9" t="s">
        <v>63</v>
      </c>
    </row>
    <row r="27" spans="1:35" x14ac:dyDescent="0.25">
      <c r="A27" s="9" t="s">
        <v>943</v>
      </c>
      <c r="B27" s="1" t="s">
        <v>113</v>
      </c>
      <c r="C27" s="1" t="s">
        <v>93</v>
      </c>
      <c r="D27" s="10">
        <v>2</v>
      </c>
      <c r="E27" s="10">
        <v>2000</v>
      </c>
      <c r="F27" s="9" t="s">
        <v>38</v>
      </c>
      <c r="G27" s="9" t="s">
        <v>54</v>
      </c>
      <c r="H27" s="1">
        <v>7.75</v>
      </c>
      <c r="I27" s="1" t="s">
        <v>31</v>
      </c>
      <c r="J27" s="9" t="s">
        <v>30</v>
      </c>
      <c r="K27" s="1">
        <v>0.73</v>
      </c>
      <c r="L27" s="10">
        <v>11</v>
      </c>
      <c r="M27" s="3">
        <v>-2.7E-2</v>
      </c>
      <c r="N27" s="11">
        <v>9.98542531441E-2</v>
      </c>
      <c r="O27" t="s">
        <v>63</v>
      </c>
      <c r="P27" s="11">
        <v>-2.7006563871276541E-2</v>
      </c>
      <c r="Q27" s="11">
        <v>0.125</v>
      </c>
      <c r="R27" s="11">
        <v>-2.8990124509301319E-2</v>
      </c>
      <c r="S27" s="11">
        <v>9.9831985167994908E-2</v>
      </c>
      <c r="T27" s="9" t="s">
        <v>40</v>
      </c>
      <c r="U27" s="9" t="s">
        <v>31</v>
      </c>
      <c r="V27" s="9" t="s">
        <v>33</v>
      </c>
      <c r="W27" s="9" t="s">
        <v>264</v>
      </c>
      <c r="X27" s="1" t="s">
        <v>31</v>
      </c>
      <c r="Y27" s="1" t="s">
        <v>31</v>
      </c>
      <c r="Z27" s="3" t="s">
        <v>31</v>
      </c>
      <c r="AA27" s="11" t="s">
        <v>31</v>
      </c>
      <c r="AB27" s="11" t="s">
        <v>31</v>
      </c>
      <c r="AC27" s="10">
        <v>4</v>
      </c>
      <c r="AD27" s="10">
        <v>4</v>
      </c>
      <c r="AE27" s="10">
        <v>4</v>
      </c>
      <c r="AF27" s="10">
        <v>4</v>
      </c>
      <c r="AG27" s="10">
        <v>0</v>
      </c>
      <c r="AH27" s="9" t="s">
        <v>34</v>
      </c>
      <c r="AI27" s="9" t="s">
        <v>63</v>
      </c>
    </row>
    <row r="28" spans="1:35" x14ac:dyDescent="0.25">
      <c r="A28" s="9" t="s">
        <v>943</v>
      </c>
      <c r="B28" s="1" t="s">
        <v>116</v>
      </c>
      <c r="C28" s="1" t="s">
        <v>96</v>
      </c>
      <c r="D28" s="10">
        <v>2</v>
      </c>
      <c r="E28" s="10">
        <v>2000</v>
      </c>
      <c r="F28" s="9" t="s">
        <v>38</v>
      </c>
      <c r="G28" s="9" t="s">
        <v>54</v>
      </c>
      <c r="H28" s="1">
        <v>7.75</v>
      </c>
      <c r="I28" s="1" t="s">
        <v>31</v>
      </c>
      <c r="J28" s="9" t="s">
        <v>30</v>
      </c>
      <c r="K28" s="1">
        <v>0.38</v>
      </c>
      <c r="L28" s="10">
        <v>8</v>
      </c>
      <c r="M28" s="3">
        <v>0.54800000000000004</v>
      </c>
      <c r="N28" s="11">
        <v>6.9939213202285688E-2</v>
      </c>
      <c r="O28" t="s">
        <v>63</v>
      </c>
      <c r="P28" s="11">
        <v>0.61551843715872068</v>
      </c>
      <c r="Q28" s="11">
        <v>0.2</v>
      </c>
      <c r="R28" s="11">
        <v>0.58922233995307449</v>
      </c>
      <c r="S28" s="11">
        <v>6.0881440001630337E-2</v>
      </c>
      <c r="T28" s="9" t="s">
        <v>40</v>
      </c>
      <c r="U28" s="9" t="s">
        <v>31</v>
      </c>
      <c r="V28" s="9" t="s">
        <v>33</v>
      </c>
      <c r="W28" s="9" t="s">
        <v>264</v>
      </c>
      <c r="X28" s="1" t="s">
        <v>31</v>
      </c>
      <c r="Y28" s="1" t="s">
        <v>31</v>
      </c>
      <c r="Z28" s="3" t="s">
        <v>31</v>
      </c>
      <c r="AA28" s="11" t="s">
        <v>31</v>
      </c>
      <c r="AB28" s="11" t="s">
        <v>31</v>
      </c>
      <c r="AC28" s="10">
        <v>4</v>
      </c>
      <c r="AD28" s="10">
        <v>4</v>
      </c>
      <c r="AE28" s="10">
        <v>4</v>
      </c>
      <c r="AF28" s="10">
        <v>4</v>
      </c>
      <c r="AG28" s="10">
        <v>0</v>
      </c>
      <c r="AH28" s="9" t="s">
        <v>34</v>
      </c>
      <c r="AI28" s="9" t="s">
        <v>63</v>
      </c>
    </row>
    <row r="29" spans="1:35" x14ac:dyDescent="0.25">
      <c r="A29" s="9" t="s">
        <v>944</v>
      </c>
      <c r="B29" s="1" t="s">
        <v>120</v>
      </c>
      <c r="C29" s="1" t="s">
        <v>98</v>
      </c>
      <c r="D29" s="10">
        <v>2</v>
      </c>
      <c r="E29" s="10">
        <v>2000</v>
      </c>
      <c r="F29" s="9" t="s">
        <v>28</v>
      </c>
      <c r="G29" s="9" t="s">
        <v>54</v>
      </c>
      <c r="H29" s="1">
        <v>12.3</v>
      </c>
      <c r="I29" s="1">
        <v>2.9</v>
      </c>
      <c r="J29" s="9" t="s">
        <v>30</v>
      </c>
      <c r="K29" s="1">
        <v>0.81</v>
      </c>
      <c r="L29" s="10">
        <v>27</v>
      </c>
      <c r="M29" s="3">
        <v>0</v>
      </c>
      <c r="N29" s="11">
        <v>3.8461538461538457E-2</v>
      </c>
      <c r="O29">
        <v>1471</v>
      </c>
      <c r="P29" s="11">
        <v>0</v>
      </c>
      <c r="Q29" s="11">
        <v>4.1666666666666657E-2</v>
      </c>
      <c r="R29" s="11">
        <v>0</v>
      </c>
      <c r="S29" s="11">
        <v>3.8461538461538457E-2</v>
      </c>
      <c r="T29" s="9" t="s">
        <v>40</v>
      </c>
      <c r="U29" s="9" t="s">
        <v>50</v>
      </c>
      <c r="V29" s="9" t="s">
        <v>33</v>
      </c>
      <c r="W29" s="9" t="s">
        <v>328</v>
      </c>
      <c r="X29" s="1" t="s">
        <v>31</v>
      </c>
      <c r="Y29" s="1" t="s">
        <v>31</v>
      </c>
      <c r="Z29" s="3" t="s">
        <v>31</v>
      </c>
      <c r="AA29" s="11" t="s">
        <v>31</v>
      </c>
      <c r="AB29" s="11" t="s">
        <v>31</v>
      </c>
      <c r="AC29" s="10">
        <v>3</v>
      </c>
      <c r="AD29" s="10">
        <v>3</v>
      </c>
      <c r="AE29" s="10">
        <v>3</v>
      </c>
      <c r="AF29" s="10">
        <v>3</v>
      </c>
      <c r="AG29" s="10">
        <v>0</v>
      </c>
      <c r="AH29" s="9" t="s">
        <v>34</v>
      </c>
      <c r="AI29" s="9" t="s">
        <v>63</v>
      </c>
    </row>
    <row r="30" spans="1:35" x14ac:dyDescent="0.25">
      <c r="A30" s="9" t="s">
        <v>944</v>
      </c>
      <c r="B30" s="1" t="s">
        <v>122</v>
      </c>
      <c r="C30" s="1" t="s">
        <v>99</v>
      </c>
      <c r="D30" s="10">
        <v>2</v>
      </c>
      <c r="E30" s="10">
        <v>2000</v>
      </c>
      <c r="F30" s="9" t="s">
        <v>28</v>
      </c>
      <c r="G30" s="9" t="s">
        <v>54</v>
      </c>
      <c r="H30" s="1">
        <v>14.4</v>
      </c>
      <c r="I30" s="1">
        <v>2.2999999999999998</v>
      </c>
      <c r="J30" s="9" t="s">
        <v>30</v>
      </c>
      <c r="K30" s="1">
        <v>0.56999999999999995</v>
      </c>
      <c r="L30" s="10">
        <v>44</v>
      </c>
      <c r="M30" s="3">
        <v>0</v>
      </c>
      <c r="N30" s="11">
        <v>2.3255813953488368E-2</v>
      </c>
      <c r="O30">
        <v>1471</v>
      </c>
      <c r="P30" s="11">
        <v>0</v>
      </c>
      <c r="Q30" s="11">
        <v>2.4390243902439029E-2</v>
      </c>
      <c r="R30" s="11">
        <v>0</v>
      </c>
      <c r="S30" s="11">
        <v>2.3255813953488368E-2</v>
      </c>
      <c r="T30" s="9" t="s">
        <v>40</v>
      </c>
      <c r="U30" s="9" t="s">
        <v>50</v>
      </c>
      <c r="V30" s="9" t="s">
        <v>33</v>
      </c>
      <c r="W30" s="9" t="s">
        <v>328</v>
      </c>
      <c r="X30" s="1" t="s">
        <v>31</v>
      </c>
      <c r="Y30" s="1" t="s">
        <v>31</v>
      </c>
      <c r="Z30" s="3" t="s">
        <v>31</v>
      </c>
      <c r="AA30" s="11" t="s">
        <v>31</v>
      </c>
      <c r="AB30" s="11" t="s">
        <v>31</v>
      </c>
      <c r="AC30" s="10">
        <v>3</v>
      </c>
      <c r="AD30" s="10">
        <v>3</v>
      </c>
      <c r="AE30" s="10">
        <v>3</v>
      </c>
      <c r="AF30" s="10">
        <v>3</v>
      </c>
      <c r="AG30" s="10">
        <v>0</v>
      </c>
      <c r="AH30" s="9" t="s">
        <v>34</v>
      </c>
      <c r="AI30" s="9" t="s">
        <v>63</v>
      </c>
    </row>
    <row r="31" spans="1:35" x14ac:dyDescent="0.25">
      <c r="A31" s="9" t="s">
        <v>516</v>
      </c>
      <c r="B31" s="1" t="s">
        <v>124</v>
      </c>
      <c r="C31" s="1" t="s">
        <v>101</v>
      </c>
      <c r="D31" s="10">
        <v>2</v>
      </c>
      <c r="E31" s="10">
        <v>2000</v>
      </c>
      <c r="F31" s="9" t="s">
        <v>28</v>
      </c>
      <c r="G31" s="9" t="s">
        <v>54</v>
      </c>
      <c r="H31" s="1" t="s">
        <v>31</v>
      </c>
      <c r="I31" s="1" t="s">
        <v>31</v>
      </c>
      <c r="J31" s="9" t="s">
        <v>31</v>
      </c>
      <c r="K31" s="1" t="s">
        <v>31</v>
      </c>
      <c r="L31" s="10">
        <v>47</v>
      </c>
      <c r="M31" s="3">
        <v>0.43</v>
      </c>
      <c r="N31" s="11">
        <v>1.4443217608695651E-2</v>
      </c>
      <c r="O31">
        <v>1459</v>
      </c>
      <c r="P31" s="11">
        <v>0.45989668121267852</v>
      </c>
      <c r="Q31" s="11">
        <v>2.2727272727272731E-2</v>
      </c>
      <c r="R31" s="11">
        <v>0.43405804319303692</v>
      </c>
      <c r="S31" s="11">
        <v>1.43192216551107E-2</v>
      </c>
      <c r="T31" s="9" t="s">
        <v>40</v>
      </c>
      <c r="U31" s="9" t="s">
        <v>50</v>
      </c>
      <c r="V31" s="9" t="s">
        <v>33</v>
      </c>
      <c r="W31" s="9" t="s">
        <v>904</v>
      </c>
      <c r="X31" s="1" t="s">
        <v>31</v>
      </c>
      <c r="Y31" s="1" t="s">
        <v>31</v>
      </c>
      <c r="Z31" s="3" t="s">
        <v>31</v>
      </c>
      <c r="AA31" s="11" t="s">
        <v>31</v>
      </c>
      <c r="AB31" s="11" t="s">
        <v>31</v>
      </c>
      <c r="AC31" s="10" t="s">
        <v>31</v>
      </c>
      <c r="AD31" s="10" t="s">
        <v>31</v>
      </c>
      <c r="AE31" s="10" t="s">
        <v>31</v>
      </c>
      <c r="AF31" s="10" t="s">
        <v>31</v>
      </c>
      <c r="AG31" s="10">
        <v>0</v>
      </c>
      <c r="AH31" s="9" t="s">
        <v>34</v>
      </c>
      <c r="AI31" s="9" t="s">
        <v>35</v>
      </c>
    </row>
    <row r="32" spans="1:35" x14ac:dyDescent="0.25">
      <c r="A32" s="9" t="s">
        <v>945</v>
      </c>
      <c r="B32" s="1" t="s">
        <v>131</v>
      </c>
      <c r="C32" s="1" t="s">
        <v>103</v>
      </c>
      <c r="D32" s="10">
        <v>1</v>
      </c>
      <c r="E32" s="10">
        <v>2000</v>
      </c>
      <c r="F32" s="9" t="s">
        <v>38</v>
      </c>
      <c r="G32" s="9" t="s">
        <v>29</v>
      </c>
      <c r="H32" s="1">
        <v>19.059999999999999</v>
      </c>
      <c r="I32" s="1">
        <v>3.7</v>
      </c>
      <c r="J32" s="9" t="s">
        <v>30</v>
      </c>
      <c r="K32" s="1">
        <v>0.44</v>
      </c>
      <c r="L32" s="10">
        <v>36</v>
      </c>
      <c r="M32" s="3">
        <v>0.309</v>
      </c>
      <c r="N32" s="11">
        <v>2.3375846324599998E-2</v>
      </c>
      <c r="O32">
        <v>229</v>
      </c>
      <c r="P32" s="11">
        <v>0.31943947107111492</v>
      </c>
      <c r="Q32" s="11">
        <v>3.03030303030303E-2</v>
      </c>
      <c r="R32" s="11">
        <v>0.31336955018916379</v>
      </c>
      <c r="S32" s="11">
        <v>2.3235496666168889E-2</v>
      </c>
      <c r="T32" s="9" t="s">
        <v>40</v>
      </c>
      <c r="U32" s="9" t="s">
        <v>50</v>
      </c>
      <c r="V32" s="9" t="s">
        <v>33</v>
      </c>
      <c r="W32" s="9" t="s">
        <v>327</v>
      </c>
      <c r="X32" s="1">
        <v>9.7650000000000006</v>
      </c>
      <c r="Y32" s="1">
        <v>15</v>
      </c>
      <c r="Z32" s="3">
        <f>X32/Y32</f>
        <v>0.65100000000000002</v>
      </c>
      <c r="AA32" s="11">
        <v>0.44655368038594567</v>
      </c>
      <c r="AB32" s="11">
        <v>0.20863009052553039</v>
      </c>
      <c r="AC32" s="10">
        <v>4</v>
      </c>
      <c r="AD32" s="10">
        <v>4</v>
      </c>
      <c r="AE32" s="10">
        <v>4</v>
      </c>
      <c r="AF32" s="10">
        <v>4</v>
      </c>
      <c r="AG32" s="10">
        <v>0</v>
      </c>
      <c r="AH32" s="9" t="s">
        <v>41</v>
      </c>
      <c r="AI32" s="9" t="s">
        <v>35</v>
      </c>
    </row>
    <row r="33" spans="1:35" x14ac:dyDescent="0.25">
      <c r="A33" s="9" t="s">
        <v>945</v>
      </c>
      <c r="B33" s="1" t="s">
        <v>133</v>
      </c>
      <c r="C33" s="1" t="s">
        <v>105</v>
      </c>
      <c r="D33" s="10">
        <v>2</v>
      </c>
      <c r="E33" s="10">
        <v>2000</v>
      </c>
      <c r="F33" s="9" t="s">
        <v>38</v>
      </c>
      <c r="G33" s="9" t="s">
        <v>54</v>
      </c>
      <c r="H33" s="1">
        <v>16.97</v>
      </c>
      <c r="I33" s="1">
        <v>4.0999999999999996</v>
      </c>
      <c r="J33" s="9" t="s">
        <v>30</v>
      </c>
      <c r="K33" s="1">
        <v>0.57999999999999996</v>
      </c>
      <c r="L33" s="10">
        <v>96</v>
      </c>
      <c r="M33" s="3">
        <v>0.42299999999999999</v>
      </c>
      <c r="N33" s="11">
        <v>7.0963956530631584E-3</v>
      </c>
      <c r="O33">
        <v>229</v>
      </c>
      <c r="P33" s="11">
        <v>0.45134016579087638</v>
      </c>
      <c r="Q33" s="11">
        <v>1.075268817204301E-2</v>
      </c>
      <c r="R33" s="11">
        <v>0.424884268947745</v>
      </c>
      <c r="S33" s="11">
        <v>7.0688061523474684E-3</v>
      </c>
      <c r="T33" s="9" t="s">
        <v>40</v>
      </c>
      <c r="U33" s="9" t="s">
        <v>50</v>
      </c>
      <c r="V33" s="9" t="s">
        <v>33</v>
      </c>
      <c r="W33" s="9" t="s">
        <v>327</v>
      </c>
      <c r="X33" s="1">
        <v>9.8510000000000009</v>
      </c>
      <c r="Y33" s="1">
        <v>15</v>
      </c>
      <c r="Z33" s="3">
        <f>X33/Y33</f>
        <v>0.65673333333333339</v>
      </c>
      <c r="AA33" s="11">
        <v>0.57936735137610818</v>
      </c>
      <c r="AB33" s="11">
        <v>0.1035727486953017</v>
      </c>
      <c r="AC33" s="10">
        <v>4</v>
      </c>
      <c r="AD33" s="10">
        <v>4</v>
      </c>
      <c r="AE33" s="10">
        <v>4</v>
      </c>
      <c r="AF33" s="10">
        <v>4</v>
      </c>
      <c r="AG33" s="10">
        <v>0</v>
      </c>
      <c r="AH33" s="9" t="s">
        <v>41</v>
      </c>
      <c r="AI33" s="9" t="s">
        <v>35</v>
      </c>
    </row>
    <row r="34" spans="1:35" x14ac:dyDescent="0.25">
      <c r="A34" s="9" t="s">
        <v>517</v>
      </c>
      <c r="B34" s="1" t="s">
        <v>137</v>
      </c>
      <c r="C34" s="1" t="s">
        <v>106</v>
      </c>
      <c r="D34" s="10">
        <v>1</v>
      </c>
      <c r="E34" s="10">
        <v>2000</v>
      </c>
      <c r="F34" s="9" t="s">
        <v>38</v>
      </c>
      <c r="G34" s="9" t="s">
        <v>29</v>
      </c>
      <c r="H34" s="1">
        <v>23.2</v>
      </c>
      <c r="I34" s="1">
        <v>5.0999999999999996</v>
      </c>
      <c r="J34" s="9" t="s">
        <v>39</v>
      </c>
      <c r="K34" s="1">
        <v>0</v>
      </c>
      <c r="L34" s="10">
        <v>72</v>
      </c>
      <c r="M34" s="3">
        <v>0.21</v>
      </c>
      <c r="N34" s="11">
        <v>1.286964521126761E-2</v>
      </c>
      <c r="O34" t="s">
        <v>63</v>
      </c>
      <c r="P34" s="11">
        <v>0.21317134656485981</v>
      </c>
      <c r="Q34" s="11">
        <v>1.4492753623188409E-2</v>
      </c>
      <c r="R34" s="11">
        <v>0.2114791848419722</v>
      </c>
      <c r="S34" s="11">
        <v>1.285286331472398E-2</v>
      </c>
      <c r="T34" s="9" t="s">
        <v>40</v>
      </c>
      <c r="U34" s="9" t="s">
        <v>50</v>
      </c>
      <c r="V34" s="9" t="s">
        <v>51</v>
      </c>
      <c r="W34" s="9" t="s">
        <v>115</v>
      </c>
      <c r="X34" s="1" t="s">
        <v>31</v>
      </c>
      <c r="Y34" s="1" t="s">
        <v>31</v>
      </c>
      <c r="Z34" s="3" t="s">
        <v>31</v>
      </c>
      <c r="AA34" s="11" t="s">
        <v>31</v>
      </c>
      <c r="AB34" s="11" t="s">
        <v>31</v>
      </c>
      <c r="AC34" s="10">
        <v>1</v>
      </c>
      <c r="AD34" s="10">
        <v>1</v>
      </c>
      <c r="AE34" s="10">
        <v>2</v>
      </c>
      <c r="AF34" s="10">
        <v>2</v>
      </c>
      <c r="AG34" s="10">
        <v>0</v>
      </c>
      <c r="AH34" s="9" t="s">
        <v>41</v>
      </c>
      <c r="AI34" s="9" t="s">
        <v>63</v>
      </c>
    </row>
    <row r="35" spans="1:35" x14ac:dyDescent="0.25">
      <c r="A35" s="9" t="s">
        <v>94</v>
      </c>
      <c r="B35" s="1" t="s">
        <v>140</v>
      </c>
      <c r="C35" s="1" t="s">
        <v>108</v>
      </c>
      <c r="D35" s="10">
        <v>1</v>
      </c>
      <c r="E35" s="10">
        <v>2000</v>
      </c>
      <c r="F35" s="9" t="s">
        <v>38</v>
      </c>
      <c r="G35" s="9" t="s">
        <v>29</v>
      </c>
      <c r="H35" s="1">
        <v>24.97</v>
      </c>
      <c r="I35" s="1">
        <v>4.47</v>
      </c>
      <c r="J35" s="9" t="s">
        <v>43</v>
      </c>
      <c r="K35" s="1">
        <v>1</v>
      </c>
      <c r="L35" s="10">
        <v>68</v>
      </c>
      <c r="M35" s="3">
        <v>0.34799999999999998</v>
      </c>
      <c r="N35" s="11">
        <v>1.152922654949254E-2</v>
      </c>
      <c r="O35">
        <v>1106</v>
      </c>
      <c r="P35" s="11">
        <v>0.36316636477279962</v>
      </c>
      <c r="Q35" s="11">
        <v>1.5384615384615391E-2</v>
      </c>
      <c r="R35" s="11">
        <v>0.35038829055086579</v>
      </c>
      <c r="S35" s="11">
        <v>1.148550812562329E-2</v>
      </c>
      <c r="T35" s="9" t="s">
        <v>40</v>
      </c>
      <c r="U35" s="9" t="s">
        <v>50</v>
      </c>
      <c r="V35" s="9" t="s">
        <v>33</v>
      </c>
      <c r="W35" s="9" t="s">
        <v>951</v>
      </c>
      <c r="X35" s="1">
        <v>10.91</v>
      </c>
      <c r="Y35" s="1">
        <v>15</v>
      </c>
      <c r="Z35" s="3">
        <f>X35/Y35</f>
        <v>0.72733333333333339</v>
      </c>
      <c r="AA35" s="11">
        <v>0.45458084668824861</v>
      </c>
      <c r="AB35" s="11">
        <v>0.13606907330497911</v>
      </c>
      <c r="AC35" s="10">
        <v>4</v>
      </c>
      <c r="AD35" s="10">
        <v>4</v>
      </c>
      <c r="AE35" s="10">
        <v>4</v>
      </c>
      <c r="AF35" s="10">
        <v>4</v>
      </c>
      <c r="AG35" s="10">
        <v>0</v>
      </c>
      <c r="AH35" s="9" t="s">
        <v>41</v>
      </c>
      <c r="AI35" s="9" t="s">
        <v>35</v>
      </c>
    </row>
    <row r="36" spans="1:35" x14ac:dyDescent="0.25">
      <c r="A36" s="9" t="s">
        <v>110</v>
      </c>
      <c r="B36" s="1" t="s">
        <v>143</v>
      </c>
      <c r="C36" s="1" t="s">
        <v>109</v>
      </c>
      <c r="D36" s="10">
        <v>1</v>
      </c>
      <c r="E36" s="10">
        <v>2001</v>
      </c>
      <c r="F36" s="9" t="s">
        <v>28</v>
      </c>
      <c r="G36" s="9" t="s">
        <v>54</v>
      </c>
      <c r="H36" s="1">
        <v>9.6999999999999993</v>
      </c>
      <c r="I36" s="1">
        <v>2.6</v>
      </c>
      <c r="J36" s="9" t="s">
        <v>39</v>
      </c>
      <c r="K36" s="1">
        <v>0</v>
      </c>
      <c r="L36" s="10">
        <v>40</v>
      </c>
      <c r="M36" s="3">
        <v>0.36</v>
      </c>
      <c r="N36" s="11">
        <v>1.9425542564102571E-2</v>
      </c>
      <c r="O36">
        <v>291</v>
      </c>
      <c r="P36" s="11">
        <v>0.37688590118818999</v>
      </c>
      <c r="Q36" s="11">
        <v>2.7027027027027029E-2</v>
      </c>
      <c r="R36" s="11">
        <v>0.36434474851285642</v>
      </c>
      <c r="S36" s="11">
        <v>1.9285323074289321E-2</v>
      </c>
      <c r="T36" s="9" t="s">
        <v>40</v>
      </c>
      <c r="U36" s="9" t="s">
        <v>50</v>
      </c>
      <c r="V36" s="9" t="s">
        <v>33</v>
      </c>
      <c r="W36" s="9" t="s">
        <v>329</v>
      </c>
      <c r="X36" s="1">
        <v>15.1</v>
      </c>
      <c r="Y36" s="1">
        <v>15</v>
      </c>
      <c r="Z36" s="3">
        <f>X36/Y36</f>
        <v>1.0066666666666666</v>
      </c>
      <c r="AA36" s="11">
        <v>0.35792220470862551</v>
      </c>
      <c r="AB36" s="11">
        <v>0.15072921687724991</v>
      </c>
      <c r="AC36" s="10">
        <v>3</v>
      </c>
      <c r="AD36" s="10">
        <v>3</v>
      </c>
      <c r="AE36" s="10">
        <v>3</v>
      </c>
      <c r="AF36" s="10">
        <v>3</v>
      </c>
      <c r="AG36" s="10">
        <v>0</v>
      </c>
      <c r="AH36" s="9" t="s">
        <v>34</v>
      </c>
      <c r="AI36" s="9" t="s">
        <v>35</v>
      </c>
    </row>
    <row r="37" spans="1:35" x14ac:dyDescent="0.25">
      <c r="A37" s="9" t="s">
        <v>518</v>
      </c>
      <c r="B37" s="1" t="s">
        <v>146</v>
      </c>
      <c r="C37" s="1" t="s">
        <v>112</v>
      </c>
      <c r="D37" s="10">
        <v>1</v>
      </c>
      <c r="E37" s="10">
        <v>2002</v>
      </c>
      <c r="F37" s="9" t="s">
        <v>38</v>
      </c>
      <c r="G37" s="9" t="s">
        <v>29</v>
      </c>
      <c r="H37" s="1" t="s">
        <v>31</v>
      </c>
      <c r="I37" s="1" t="s">
        <v>31</v>
      </c>
      <c r="J37" s="9" t="s">
        <v>43</v>
      </c>
      <c r="K37" s="1">
        <v>1</v>
      </c>
      <c r="L37" s="10">
        <v>46</v>
      </c>
      <c r="M37" s="3">
        <v>-0.13</v>
      </c>
      <c r="N37" s="11">
        <v>2.1477458000000001E-2</v>
      </c>
      <c r="O37" t="s">
        <v>63</v>
      </c>
      <c r="P37" s="11">
        <v>-0.13073985002887839</v>
      </c>
      <c r="Q37" s="11">
        <v>2.3255813953488368E-2</v>
      </c>
      <c r="R37" s="11">
        <v>-0.13152895625569849</v>
      </c>
      <c r="S37" s="11">
        <v>2.1459990060171939E-2</v>
      </c>
      <c r="T37" s="9" t="s">
        <v>40</v>
      </c>
      <c r="U37" s="9" t="s">
        <v>50</v>
      </c>
      <c r="V37" s="9" t="s">
        <v>33</v>
      </c>
      <c r="W37" s="9" t="s">
        <v>77</v>
      </c>
      <c r="X37" s="1" t="s">
        <v>31</v>
      </c>
      <c r="Y37" s="1" t="s">
        <v>31</v>
      </c>
      <c r="Z37" s="3" t="s">
        <v>31</v>
      </c>
      <c r="AA37" s="11" t="s">
        <v>31</v>
      </c>
      <c r="AB37" s="11" t="s">
        <v>31</v>
      </c>
      <c r="AC37" s="10" t="s">
        <v>31</v>
      </c>
      <c r="AD37" s="10" t="s">
        <v>31</v>
      </c>
      <c r="AE37" s="10" t="s">
        <v>31</v>
      </c>
      <c r="AF37" s="10" t="s">
        <v>31</v>
      </c>
      <c r="AG37" s="10">
        <v>0</v>
      </c>
      <c r="AH37" s="9" t="s">
        <v>34</v>
      </c>
      <c r="AI37" s="9" t="s">
        <v>63</v>
      </c>
    </row>
    <row r="38" spans="1:35" x14ac:dyDescent="0.25">
      <c r="A38" s="9" t="s">
        <v>518</v>
      </c>
      <c r="B38" s="1" t="s">
        <v>149</v>
      </c>
      <c r="C38" s="1" t="s">
        <v>114</v>
      </c>
      <c r="D38" s="10">
        <v>1</v>
      </c>
      <c r="E38" s="10">
        <v>2002</v>
      </c>
      <c r="F38" s="9" t="s">
        <v>38</v>
      </c>
      <c r="G38" s="9" t="s">
        <v>29</v>
      </c>
      <c r="H38" s="1" t="s">
        <v>31</v>
      </c>
      <c r="I38" s="1" t="s">
        <v>31</v>
      </c>
      <c r="J38" s="9" t="s">
        <v>30</v>
      </c>
      <c r="K38" s="1" t="s">
        <v>31</v>
      </c>
      <c r="L38" s="10">
        <v>30</v>
      </c>
      <c r="M38" s="3">
        <v>0.08</v>
      </c>
      <c r="N38" s="11">
        <v>3.4042791724137933E-2</v>
      </c>
      <c r="O38" t="s">
        <v>63</v>
      </c>
      <c r="P38" s="11">
        <v>8.0171325037589738E-2</v>
      </c>
      <c r="Q38" s="11">
        <v>3.7037037037037042E-2</v>
      </c>
      <c r="R38" s="11">
        <v>8.1542097115406303E-2</v>
      </c>
      <c r="S38" s="11">
        <v>3.4025723569232252E-2</v>
      </c>
      <c r="T38" s="9" t="s">
        <v>40</v>
      </c>
      <c r="U38" s="9" t="s">
        <v>50</v>
      </c>
      <c r="V38" s="9" t="s">
        <v>33</v>
      </c>
      <c r="W38" s="9" t="s">
        <v>77</v>
      </c>
      <c r="X38" s="1" t="s">
        <v>31</v>
      </c>
      <c r="Y38" s="1" t="s">
        <v>31</v>
      </c>
      <c r="Z38" s="3" t="s">
        <v>31</v>
      </c>
      <c r="AA38" s="11" t="s">
        <v>31</v>
      </c>
      <c r="AB38" s="11" t="s">
        <v>31</v>
      </c>
      <c r="AC38" s="10" t="s">
        <v>31</v>
      </c>
      <c r="AD38" s="10" t="s">
        <v>31</v>
      </c>
      <c r="AE38" s="10" t="s">
        <v>31</v>
      </c>
      <c r="AF38" s="10" t="s">
        <v>31</v>
      </c>
      <c r="AG38" s="10">
        <v>0</v>
      </c>
      <c r="AH38" s="9" t="s">
        <v>34</v>
      </c>
      <c r="AI38" s="9" t="s">
        <v>63</v>
      </c>
    </row>
    <row r="39" spans="1:35" x14ac:dyDescent="0.25">
      <c r="A39" s="9" t="s">
        <v>518</v>
      </c>
      <c r="B39" s="1" t="s">
        <v>154</v>
      </c>
      <c r="C39" s="1" t="s">
        <v>117</v>
      </c>
      <c r="D39" s="10">
        <v>1</v>
      </c>
      <c r="E39" s="10">
        <v>2002</v>
      </c>
      <c r="F39" s="9" t="s">
        <v>28</v>
      </c>
      <c r="G39" s="9" t="s">
        <v>29</v>
      </c>
      <c r="H39" s="1">
        <v>18.8</v>
      </c>
      <c r="I39" s="1">
        <v>10</v>
      </c>
      <c r="J39" s="9" t="s">
        <v>30</v>
      </c>
      <c r="K39" s="1">
        <v>0.87</v>
      </c>
      <c r="L39" s="10">
        <v>67</v>
      </c>
      <c r="M39" s="3">
        <v>0.1</v>
      </c>
      <c r="N39" s="11">
        <v>1.485E-2</v>
      </c>
      <c r="O39">
        <v>179</v>
      </c>
      <c r="P39" s="11">
        <v>0.10033534773107559</v>
      </c>
      <c r="Q39" s="11">
        <v>1.5625E-2</v>
      </c>
      <c r="R39" s="11">
        <v>0.100788516085159</v>
      </c>
      <c r="S39" s="11">
        <v>1.4845250630560511E-2</v>
      </c>
      <c r="T39" s="9" t="s">
        <v>40</v>
      </c>
      <c r="U39" s="9" t="s">
        <v>50</v>
      </c>
      <c r="V39" s="9" t="s">
        <v>33</v>
      </c>
      <c r="W39" s="9" t="s">
        <v>77</v>
      </c>
      <c r="X39" s="1">
        <v>15.5</v>
      </c>
      <c r="Y39" s="1" t="s">
        <v>31</v>
      </c>
      <c r="Z39" s="3" t="s">
        <v>31</v>
      </c>
      <c r="AA39" s="11" t="s">
        <v>31</v>
      </c>
      <c r="AB39" s="11" t="s">
        <v>31</v>
      </c>
      <c r="AC39" s="10" t="s">
        <v>31</v>
      </c>
      <c r="AD39" s="10" t="s">
        <v>31</v>
      </c>
      <c r="AE39" s="10" t="s">
        <v>31</v>
      </c>
      <c r="AF39" s="10" t="s">
        <v>31</v>
      </c>
      <c r="AG39" s="10">
        <v>0</v>
      </c>
      <c r="AH39" s="9" t="s">
        <v>34</v>
      </c>
      <c r="AI39" s="9" t="s">
        <v>35</v>
      </c>
    </row>
    <row r="40" spans="1:35" x14ac:dyDescent="0.25">
      <c r="A40" s="9" t="s">
        <v>519</v>
      </c>
      <c r="B40" s="1" t="s">
        <v>158</v>
      </c>
      <c r="C40" s="1" t="s">
        <v>118</v>
      </c>
      <c r="D40" s="10">
        <v>1</v>
      </c>
      <c r="E40" s="10">
        <v>2002</v>
      </c>
      <c r="F40" s="9" t="s">
        <v>38</v>
      </c>
      <c r="G40" s="9" t="s">
        <v>29</v>
      </c>
      <c r="H40" s="1">
        <v>67.8</v>
      </c>
      <c r="I40" s="1" t="s">
        <v>31</v>
      </c>
      <c r="J40" s="9" t="s">
        <v>43</v>
      </c>
      <c r="K40" s="1">
        <v>1</v>
      </c>
      <c r="L40" s="10">
        <v>95</v>
      </c>
      <c r="M40" s="3">
        <v>0.39</v>
      </c>
      <c r="N40" s="11">
        <v>7.6482384042553192E-3</v>
      </c>
      <c r="O40">
        <v>172</v>
      </c>
      <c r="P40" s="11">
        <v>0.41180003447869029</v>
      </c>
      <c r="Q40" s="11">
        <v>1.0869565217391301E-2</v>
      </c>
      <c r="R40" s="11">
        <v>0.39181493107308069</v>
      </c>
      <c r="S40" s="11">
        <v>7.6226615380866943E-3</v>
      </c>
      <c r="T40" s="9" t="s">
        <v>40</v>
      </c>
      <c r="U40" s="9" t="s">
        <v>46</v>
      </c>
      <c r="V40" s="9" t="s">
        <v>51</v>
      </c>
      <c r="W40" s="9" t="s">
        <v>115</v>
      </c>
      <c r="X40" s="1">
        <v>8.6</v>
      </c>
      <c r="Y40" s="1">
        <v>7.5</v>
      </c>
      <c r="Z40" s="3">
        <f>X40/Y40</f>
        <v>1.1466666666666667</v>
      </c>
      <c r="AA40" s="11">
        <v>0.34648444091771091</v>
      </c>
      <c r="AB40" s="11">
        <v>8.8036467789018247E-2</v>
      </c>
      <c r="AC40" s="10">
        <v>1</v>
      </c>
      <c r="AD40" s="10">
        <v>1</v>
      </c>
      <c r="AE40" s="10">
        <v>2</v>
      </c>
      <c r="AF40" s="10">
        <v>2</v>
      </c>
      <c r="AG40" s="10">
        <v>0</v>
      </c>
      <c r="AH40" s="9" t="s">
        <v>41</v>
      </c>
      <c r="AI40" s="9" t="s">
        <v>35</v>
      </c>
    </row>
    <row r="41" spans="1:35" x14ac:dyDescent="0.25">
      <c r="A41" s="9" t="s">
        <v>520</v>
      </c>
      <c r="B41" s="1" t="s">
        <v>161</v>
      </c>
      <c r="C41" s="1" t="s">
        <v>119</v>
      </c>
      <c r="D41" s="10">
        <v>1</v>
      </c>
      <c r="E41" s="10">
        <v>2002</v>
      </c>
      <c r="F41" s="9" t="s">
        <v>38</v>
      </c>
      <c r="G41" s="9" t="s">
        <v>54</v>
      </c>
      <c r="H41" s="1">
        <v>14.9</v>
      </c>
      <c r="I41" s="1">
        <v>0.43</v>
      </c>
      <c r="J41" s="9" t="s">
        <v>30</v>
      </c>
      <c r="K41" s="1">
        <v>0.65</v>
      </c>
      <c r="L41" s="10">
        <v>42</v>
      </c>
      <c r="M41" s="3">
        <v>0.37</v>
      </c>
      <c r="N41" s="11">
        <v>1.8169307560975609E-2</v>
      </c>
      <c r="O41" t="s">
        <v>63</v>
      </c>
      <c r="P41" s="11">
        <v>0.38842309971829619</v>
      </c>
      <c r="Q41" s="11">
        <v>2.564102564102564E-2</v>
      </c>
      <c r="R41" s="11">
        <v>0.37419353737240518</v>
      </c>
      <c r="S41" s="11">
        <v>1.803815167232662E-2</v>
      </c>
      <c r="T41" s="9" t="s">
        <v>40</v>
      </c>
      <c r="U41" s="9" t="s">
        <v>31</v>
      </c>
      <c r="V41" s="9" t="s">
        <v>33</v>
      </c>
      <c r="W41" s="9" t="s">
        <v>77</v>
      </c>
      <c r="X41" s="1" t="s">
        <v>31</v>
      </c>
      <c r="Y41" s="1" t="s">
        <v>31</v>
      </c>
      <c r="Z41" s="3" t="s">
        <v>31</v>
      </c>
      <c r="AA41" s="11" t="s">
        <v>31</v>
      </c>
      <c r="AB41" s="11" t="s">
        <v>31</v>
      </c>
      <c r="AC41" s="10" t="s">
        <v>31</v>
      </c>
      <c r="AD41" s="10" t="s">
        <v>31</v>
      </c>
      <c r="AE41" s="10" t="s">
        <v>31</v>
      </c>
      <c r="AF41" s="10" t="s">
        <v>31</v>
      </c>
      <c r="AG41" s="10">
        <v>0</v>
      </c>
      <c r="AH41" s="9" t="s">
        <v>34</v>
      </c>
      <c r="AI41" s="9" t="s">
        <v>63</v>
      </c>
    </row>
    <row r="42" spans="1:35" x14ac:dyDescent="0.25">
      <c r="A42" s="9" t="s">
        <v>946</v>
      </c>
      <c r="B42" s="1" t="s">
        <v>163</v>
      </c>
      <c r="C42" s="1" t="s">
        <v>121</v>
      </c>
      <c r="D42" s="10">
        <v>1</v>
      </c>
      <c r="E42" s="10">
        <v>2002</v>
      </c>
      <c r="F42" s="9" t="s">
        <v>38</v>
      </c>
      <c r="G42" s="9" t="s">
        <v>29</v>
      </c>
      <c r="H42" s="1">
        <v>33.299999999999997</v>
      </c>
      <c r="I42" s="1">
        <v>8.6999999999999993</v>
      </c>
      <c r="J42" s="9" t="s">
        <v>43</v>
      </c>
      <c r="K42" s="1">
        <v>1</v>
      </c>
      <c r="L42" s="10">
        <v>23</v>
      </c>
      <c r="M42" s="3">
        <v>0.13</v>
      </c>
      <c r="N42" s="11">
        <v>4.3931164090909088E-2</v>
      </c>
      <c r="O42" t="s">
        <v>63</v>
      </c>
      <c r="P42" s="11">
        <v>0.13073985002887839</v>
      </c>
      <c r="Q42" s="11">
        <v>0.05</v>
      </c>
      <c r="R42" s="11">
        <v>0.1333986751469553</v>
      </c>
      <c r="S42" s="11">
        <v>4.38511934687979E-2</v>
      </c>
      <c r="T42" s="9" t="s">
        <v>40</v>
      </c>
      <c r="U42" s="9" t="s">
        <v>31</v>
      </c>
      <c r="V42" s="9" t="s">
        <v>33</v>
      </c>
      <c r="W42" s="9" t="s">
        <v>77</v>
      </c>
      <c r="X42" s="1" t="s">
        <v>31</v>
      </c>
      <c r="Y42" s="1" t="s">
        <v>31</v>
      </c>
      <c r="Z42" s="3" t="s">
        <v>31</v>
      </c>
      <c r="AA42" s="11" t="s">
        <v>31</v>
      </c>
      <c r="AB42" s="11" t="s">
        <v>31</v>
      </c>
      <c r="AC42" s="10" t="s">
        <v>31</v>
      </c>
      <c r="AD42" s="10" t="s">
        <v>31</v>
      </c>
      <c r="AE42" s="10" t="s">
        <v>31</v>
      </c>
      <c r="AF42" s="10" t="s">
        <v>31</v>
      </c>
      <c r="AG42" s="10">
        <v>0</v>
      </c>
      <c r="AH42" s="9" t="s">
        <v>34</v>
      </c>
      <c r="AI42" s="9" t="s">
        <v>63</v>
      </c>
    </row>
    <row r="43" spans="1:35" x14ac:dyDescent="0.25">
      <c r="A43" s="9" t="s">
        <v>136</v>
      </c>
      <c r="B43" s="1" t="s">
        <v>166</v>
      </c>
      <c r="C43" s="1" t="s">
        <v>1036</v>
      </c>
      <c r="D43" s="10">
        <v>2</v>
      </c>
      <c r="E43" s="10">
        <v>2003</v>
      </c>
      <c r="F43" s="9" t="s">
        <v>38</v>
      </c>
      <c r="G43" s="9" t="s">
        <v>54</v>
      </c>
      <c r="H43" s="1">
        <v>16.399999999999999</v>
      </c>
      <c r="I43" s="1">
        <v>1.7</v>
      </c>
      <c r="J43" s="9" t="s">
        <v>30</v>
      </c>
      <c r="K43" s="1">
        <v>0.6</v>
      </c>
      <c r="L43" s="10">
        <v>22</v>
      </c>
      <c r="M43" s="3">
        <v>-0.13100000000000001</v>
      </c>
      <c r="N43" s="11">
        <v>4.599869047242857E-2</v>
      </c>
      <c r="O43" t="s">
        <v>63</v>
      </c>
      <c r="P43" s="11">
        <v>-0.13175717542536419</v>
      </c>
      <c r="Q43" s="11">
        <v>5.2631578947368418E-2</v>
      </c>
      <c r="R43" s="11">
        <v>-0.134615950137952</v>
      </c>
      <c r="S43" s="11">
        <v>4.5908832334910957E-2</v>
      </c>
      <c r="T43" s="9" t="s">
        <v>40</v>
      </c>
      <c r="U43" s="9" t="s">
        <v>50</v>
      </c>
      <c r="V43" s="9" t="s">
        <v>33</v>
      </c>
      <c r="W43" s="9" t="s">
        <v>954</v>
      </c>
      <c r="X43" s="1" t="s">
        <v>31</v>
      </c>
      <c r="Y43" s="1" t="s">
        <v>31</v>
      </c>
      <c r="Z43" s="3" t="s">
        <v>31</v>
      </c>
      <c r="AA43" s="11" t="s">
        <v>31</v>
      </c>
      <c r="AB43" s="11" t="s">
        <v>31</v>
      </c>
      <c r="AC43" s="10">
        <v>4</v>
      </c>
      <c r="AD43" s="10">
        <v>4</v>
      </c>
      <c r="AE43" s="10">
        <v>4</v>
      </c>
      <c r="AF43" s="10">
        <v>4</v>
      </c>
      <c r="AG43" s="10">
        <v>0</v>
      </c>
      <c r="AH43" s="9" t="s">
        <v>34</v>
      </c>
      <c r="AI43" s="9" t="s">
        <v>63</v>
      </c>
    </row>
    <row r="44" spans="1:35" x14ac:dyDescent="0.25">
      <c r="A44" s="9" t="s">
        <v>136</v>
      </c>
      <c r="B44" s="1" t="s">
        <v>170</v>
      </c>
      <c r="C44" s="1" t="s">
        <v>123</v>
      </c>
      <c r="D44" s="10">
        <v>2</v>
      </c>
      <c r="E44" s="10">
        <v>2003</v>
      </c>
      <c r="F44" s="9" t="s">
        <v>28</v>
      </c>
      <c r="G44" s="9" t="s">
        <v>54</v>
      </c>
      <c r="H44" s="1">
        <v>16.8</v>
      </c>
      <c r="I44" s="1">
        <v>1.4</v>
      </c>
      <c r="J44" s="9" t="s">
        <v>30</v>
      </c>
      <c r="K44" s="1">
        <v>0.67</v>
      </c>
      <c r="L44" s="10">
        <v>32</v>
      </c>
      <c r="M44" s="3">
        <v>-0.27100000000000002</v>
      </c>
      <c r="N44" s="11">
        <v>2.7693921951000001E-2</v>
      </c>
      <c r="O44" t="s">
        <v>63</v>
      </c>
      <c r="P44" s="11">
        <v>-0.27794276959039788</v>
      </c>
      <c r="Q44" s="11">
        <v>3.4482758620689662E-2</v>
      </c>
      <c r="R44" s="11">
        <v>-0.27549471727996022</v>
      </c>
      <c r="S44" s="11">
        <v>2.754728153570234E-2</v>
      </c>
      <c r="T44" s="9" t="s">
        <v>40</v>
      </c>
      <c r="U44" s="9" t="s">
        <v>50</v>
      </c>
      <c r="V44" s="9" t="s">
        <v>33</v>
      </c>
      <c r="W44" s="9" t="s">
        <v>954</v>
      </c>
      <c r="X44" s="1" t="s">
        <v>31</v>
      </c>
      <c r="Y44" s="1" t="s">
        <v>31</v>
      </c>
      <c r="Z44" s="3" t="s">
        <v>31</v>
      </c>
      <c r="AA44" s="11" t="s">
        <v>31</v>
      </c>
      <c r="AB44" s="11" t="s">
        <v>31</v>
      </c>
      <c r="AC44" s="10">
        <v>4</v>
      </c>
      <c r="AD44" s="10">
        <v>4</v>
      </c>
      <c r="AE44" s="10">
        <v>4</v>
      </c>
      <c r="AF44" s="10">
        <v>4</v>
      </c>
      <c r="AG44" s="10">
        <v>0</v>
      </c>
      <c r="AH44" s="9" t="s">
        <v>34</v>
      </c>
      <c r="AI44" s="9" t="s">
        <v>63</v>
      </c>
    </row>
    <row r="45" spans="1:35" x14ac:dyDescent="0.25">
      <c r="A45" s="9" t="s">
        <v>947</v>
      </c>
      <c r="B45" s="1" t="s">
        <v>172</v>
      </c>
      <c r="C45" s="1" t="s">
        <v>125</v>
      </c>
      <c r="D45" s="10">
        <v>1</v>
      </c>
      <c r="E45" s="10">
        <v>2003</v>
      </c>
      <c r="F45" s="9" t="s">
        <v>38</v>
      </c>
      <c r="G45" s="9" t="s">
        <v>54</v>
      </c>
      <c r="H45" s="1" t="s">
        <v>31</v>
      </c>
      <c r="I45" s="1" t="s">
        <v>31</v>
      </c>
      <c r="J45" s="9" t="s">
        <v>39</v>
      </c>
      <c r="K45" s="1">
        <v>0</v>
      </c>
      <c r="L45" s="10">
        <v>8</v>
      </c>
      <c r="M45" s="3">
        <v>0.46</v>
      </c>
      <c r="N45" s="11">
        <v>8.8796365714285716E-2</v>
      </c>
      <c r="O45" t="s">
        <v>63</v>
      </c>
      <c r="P45" s="11">
        <v>0.49731128757203102</v>
      </c>
      <c r="Q45" s="11">
        <v>0.2</v>
      </c>
      <c r="R45" s="11">
        <v>0.50086807510919862</v>
      </c>
      <c r="S45" s="11">
        <v>8.0171073123979419E-2</v>
      </c>
      <c r="T45" s="9" t="s">
        <v>31</v>
      </c>
      <c r="U45" s="9" t="s">
        <v>31</v>
      </c>
      <c r="V45" s="9" t="s">
        <v>33</v>
      </c>
      <c r="W45" s="9" t="s">
        <v>77</v>
      </c>
      <c r="X45" s="1" t="s">
        <v>31</v>
      </c>
      <c r="Y45" s="1" t="s">
        <v>31</v>
      </c>
      <c r="Z45" s="3" t="s">
        <v>31</v>
      </c>
      <c r="AA45" s="11" t="s">
        <v>31</v>
      </c>
      <c r="AB45" s="11" t="s">
        <v>31</v>
      </c>
      <c r="AC45" s="10" t="s">
        <v>31</v>
      </c>
      <c r="AD45" s="10" t="s">
        <v>31</v>
      </c>
      <c r="AE45" s="10" t="s">
        <v>31</v>
      </c>
      <c r="AF45" s="10" t="s">
        <v>31</v>
      </c>
      <c r="AG45" s="10">
        <v>0</v>
      </c>
      <c r="AH45" s="9" t="s">
        <v>34</v>
      </c>
      <c r="AI45" s="9" t="s">
        <v>63</v>
      </c>
    </row>
    <row r="46" spans="1:35" x14ac:dyDescent="0.25">
      <c r="A46" s="9" t="s">
        <v>947</v>
      </c>
      <c r="B46" s="1" t="s">
        <v>177</v>
      </c>
      <c r="C46" s="1" t="s">
        <v>126</v>
      </c>
      <c r="D46" s="10">
        <v>1</v>
      </c>
      <c r="E46" s="10">
        <v>2003</v>
      </c>
      <c r="F46" s="9" t="s">
        <v>38</v>
      </c>
      <c r="G46" s="9" t="s">
        <v>54</v>
      </c>
      <c r="H46" s="1" t="s">
        <v>31</v>
      </c>
      <c r="I46" s="1" t="s">
        <v>31</v>
      </c>
      <c r="J46" s="9" t="s">
        <v>43</v>
      </c>
      <c r="K46" s="1">
        <v>1</v>
      </c>
      <c r="L46" s="10">
        <v>7</v>
      </c>
      <c r="M46" s="3">
        <v>0.17</v>
      </c>
      <c r="N46" s="11">
        <v>0.157172535</v>
      </c>
      <c r="O46" t="s">
        <v>63</v>
      </c>
      <c r="P46" s="11">
        <v>0.1716666635005791</v>
      </c>
      <c r="Q46" s="11">
        <v>0.25</v>
      </c>
      <c r="R46" s="11">
        <v>0.19806183957302911</v>
      </c>
      <c r="S46" s="11">
        <v>0.15384698166960639</v>
      </c>
      <c r="T46" s="9" t="s">
        <v>31</v>
      </c>
      <c r="U46" s="9" t="s">
        <v>31</v>
      </c>
      <c r="V46" s="9" t="s">
        <v>33</v>
      </c>
      <c r="W46" s="9" t="s">
        <v>77</v>
      </c>
      <c r="X46" s="1" t="s">
        <v>31</v>
      </c>
      <c r="Y46" s="1" t="s">
        <v>31</v>
      </c>
      <c r="Z46" s="3" t="s">
        <v>31</v>
      </c>
      <c r="AA46" s="11" t="s">
        <v>31</v>
      </c>
      <c r="AB46" s="11" t="s">
        <v>31</v>
      </c>
      <c r="AC46" s="10" t="s">
        <v>31</v>
      </c>
      <c r="AD46" s="10" t="s">
        <v>31</v>
      </c>
      <c r="AE46" s="10" t="s">
        <v>31</v>
      </c>
      <c r="AF46" s="10" t="s">
        <v>31</v>
      </c>
      <c r="AG46" s="10">
        <v>0</v>
      </c>
      <c r="AH46" s="9" t="s">
        <v>34</v>
      </c>
      <c r="AI46" s="9" t="s">
        <v>63</v>
      </c>
    </row>
    <row r="47" spans="1:35" x14ac:dyDescent="0.25">
      <c r="A47" s="9" t="s">
        <v>947</v>
      </c>
      <c r="B47" s="1" t="s">
        <v>180</v>
      </c>
      <c r="C47" s="1" t="s">
        <v>127</v>
      </c>
      <c r="D47" s="10">
        <v>1</v>
      </c>
      <c r="E47" s="10">
        <v>2003</v>
      </c>
      <c r="F47" s="9" t="s">
        <v>38</v>
      </c>
      <c r="G47" s="9" t="s">
        <v>54</v>
      </c>
      <c r="H47" s="1" t="s">
        <v>31</v>
      </c>
      <c r="I47" s="1" t="s">
        <v>31</v>
      </c>
      <c r="J47" s="9" t="s">
        <v>39</v>
      </c>
      <c r="K47" s="1">
        <v>0</v>
      </c>
      <c r="L47" s="10">
        <v>7</v>
      </c>
      <c r="M47" s="3">
        <v>-0.67</v>
      </c>
      <c r="N47" s="11">
        <v>5.0618534999999992E-2</v>
      </c>
      <c r="O47" t="s">
        <v>63</v>
      </c>
      <c r="P47" s="11">
        <v>-0.81074312547513749</v>
      </c>
      <c r="Q47" s="11">
        <v>0.25</v>
      </c>
      <c r="R47" s="11">
        <v>-0.71592987316488788</v>
      </c>
      <c r="S47" s="11">
        <v>3.960034323030949E-2</v>
      </c>
      <c r="T47" s="9" t="s">
        <v>31</v>
      </c>
      <c r="U47" s="9" t="s">
        <v>31</v>
      </c>
      <c r="V47" s="9" t="s">
        <v>33</v>
      </c>
      <c r="W47" s="9" t="s">
        <v>77</v>
      </c>
      <c r="X47" s="1" t="s">
        <v>31</v>
      </c>
      <c r="Y47" s="1" t="s">
        <v>31</v>
      </c>
      <c r="Z47" s="3" t="s">
        <v>31</v>
      </c>
      <c r="AA47" s="11" t="s">
        <v>31</v>
      </c>
      <c r="AB47" s="11" t="s">
        <v>31</v>
      </c>
      <c r="AC47" s="10" t="s">
        <v>31</v>
      </c>
      <c r="AD47" s="10" t="s">
        <v>31</v>
      </c>
      <c r="AE47" s="10" t="s">
        <v>31</v>
      </c>
      <c r="AF47" s="10" t="s">
        <v>31</v>
      </c>
      <c r="AG47" s="10">
        <v>0</v>
      </c>
      <c r="AH47" s="9" t="s">
        <v>34</v>
      </c>
      <c r="AI47" s="9" t="s">
        <v>63</v>
      </c>
    </row>
    <row r="48" spans="1:35" x14ac:dyDescent="0.25">
      <c r="A48" s="9" t="s">
        <v>947</v>
      </c>
      <c r="B48" s="1" t="s">
        <v>183</v>
      </c>
      <c r="C48" s="1" t="s">
        <v>128</v>
      </c>
      <c r="D48" s="10">
        <v>1</v>
      </c>
      <c r="E48" s="10">
        <v>2003</v>
      </c>
      <c r="F48" s="9" t="s">
        <v>38</v>
      </c>
      <c r="G48" s="9" t="s">
        <v>54</v>
      </c>
      <c r="H48" s="1" t="s">
        <v>31</v>
      </c>
      <c r="I48" s="1" t="s">
        <v>31</v>
      </c>
      <c r="J48" s="9" t="s">
        <v>43</v>
      </c>
      <c r="K48" s="1">
        <v>1</v>
      </c>
      <c r="L48" s="10">
        <v>7</v>
      </c>
      <c r="M48" s="3">
        <v>0.67</v>
      </c>
      <c r="N48" s="11">
        <v>5.0618534999999992E-2</v>
      </c>
      <c r="O48" t="s">
        <v>63</v>
      </c>
      <c r="P48" s="11">
        <v>0.81074312547513749</v>
      </c>
      <c r="Q48" s="11">
        <v>0.25</v>
      </c>
      <c r="R48" s="11">
        <v>0.71592987316488788</v>
      </c>
      <c r="S48" s="11">
        <v>3.960034323030949E-2</v>
      </c>
      <c r="T48" s="9" t="s">
        <v>31</v>
      </c>
      <c r="U48" s="9" t="s">
        <v>31</v>
      </c>
      <c r="V48" s="9" t="s">
        <v>33</v>
      </c>
      <c r="W48" s="9" t="s">
        <v>77</v>
      </c>
      <c r="X48" s="1" t="s">
        <v>31</v>
      </c>
      <c r="Y48" s="1" t="s">
        <v>31</v>
      </c>
      <c r="Z48" s="3" t="s">
        <v>31</v>
      </c>
      <c r="AA48" s="11" t="s">
        <v>31</v>
      </c>
      <c r="AB48" s="11" t="s">
        <v>31</v>
      </c>
      <c r="AC48" s="10" t="s">
        <v>31</v>
      </c>
      <c r="AD48" s="10" t="s">
        <v>31</v>
      </c>
      <c r="AE48" s="10" t="s">
        <v>31</v>
      </c>
      <c r="AF48" s="10" t="s">
        <v>31</v>
      </c>
      <c r="AG48" s="10">
        <v>0</v>
      </c>
      <c r="AH48" s="9" t="s">
        <v>34</v>
      </c>
      <c r="AI48" s="9" t="s">
        <v>63</v>
      </c>
    </row>
    <row r="49" spans="1:35" x14ac:dyDescent="0.25">
      <c r="A49" s="9" t="s">
        <v>947</v>
      </c>
      <c r="B49" s="1" t="s">
        <v>185</v>
      </c>
      <c r="C49" s="1" t="s">
        <v>129</v>
      </c>
      <c r="D49" s="10">
        <v>1</v>
      </c>
      <c r="E49" s="10">
        <v>2003</v>
      </c>
      <c r="F49" s="9" t="s">
        <v>38</v>
      </c>
      <c r="G49" s="9" t="s">
        <v>54</v>
      </c>
      <c r="H49" s="1" t="s">
        <v>31</v>
      </c>
      <c r="I49" s="1" t="s">
        <v>31</v>
      </c>
      <c r="J49" s="9" t="s">
        <v>39</v>
      </c>
      <c r="K49" s="1">
        <v>0</v>
      </c>
      <c r="L49" s="10">
        <v>39</v>
      </c>
      <c r="M49" s="3">
        <v>0.34</v>
      </c>
      <c r="N49" s="11">
        <v>2.058324631578947E-2</v>
      </c>
      <c r="O49" t="s">
        <v>63</v>
      </c>
      <c r="P49" s="11">
        <v>0.35409252896224302</v>
      </c>
      <c r="Q49" s="11">
        <v>2.777777777777778E-2</v>
      </c>
      <c r="R49" s="11">
        <v>0.34429223684412652</v>
      </c>
      <c r="S49" s="11">
        <v>2.044675699706992E-2</v>
      </c>
      <c r="T49" s="9" t="s">
        <v>31</v>
      </c>
      <c r="U49" s="9" t="s">
        <v>31</v>
      </c>
      <c r="V49" s="9" t="s">
        <v>33</v>
      </c>
      <c r="W49" s="9" t="s">
        <v>77</v>
      </c>
      <c r="X49" s="1" t="s">
        <v>31</v>
      </c>
      <c r="Y49" s="1" t="s">
        <v>31</v>
      </c>
      <c r="Z49" s="3" t="s">
        <v>31</v>
      </c>
      <c r="AA49" s="11" t="s">
        <v>31</v>
      </c>
      <c r="AB49" s="11" t="s">
        <v>31</v>
      </c>
      <c r="AC49" s="10" t="s">
        <v>31</v>
      </c>
      <c r="AD49" s="10" t="s">
        <v>31</v>
      </c>
      <c r="AE49" s="10" t="s">
        <v>31</v>
      </c>
      <c r="AF49" s="10" t="s">
        <v>31</v>
      </c>
      <c r="AG49" s="10">
        <v>0</v>
      </c>
      <c r="AH49" s="9" t="s">
        <v>34</v>
      </c>
      <c r="AI49" s="9" t="s">
        <v>63</v>
      </c>
    </row>
    <row r="50" spans="1:35" x14ac:dyDescent="0.25">
      <c r="A50" s="9" t="s">
        <v>947</v>
      </c>
      <c r="B50" s="1" t="s">
        <v>187</v>
      </c>
      <c r="C50" s="1" t="s">
        <v>130</v>
      </c>
      <c r="D50" s="10">
        <v>1</v>
      </c>
      <c r="E50" s="10">
        <v>2003</v>
      </c>
      <c r="F50" s="9" t="s">
        <v>38</v>
      </c>
      <c r="G50" s="9" t="s">
        <v>54</v>
      </c>
      <c r="H50" s="1" t="s">
        <v>31</v>
      </c>
      <c r="I50" s="1" t="s">
        <v>31</v>
      </c>
      <c r="J50" s="9" t="s">
        <v>43</v>
      </c>
      <c r="K50" s="1">
        <v>1</v>
      </c>
      <c r="L50" s="10">
        <v>63</v>
      </c>
      <c r="M50" s="3">
        <v>0.27</v>
      </c>
      <c r="N50" s="11">
        <v>1.3863135645161289E-2</v>
      </c>
      <c r="O50" t="s">
        <v>63</v>
      </c>
      <c r="P50" s="11">
        <v>0.27686382265510012</v>
      </c>
      <c r="Q50" s="11">
        <v>1.666666666666667E-2</v>
      </c>
      <c r="R50" s="11">
        <v>0.27212413718205369</v>
      </c>
      <c r="S50" s="11">
        <v>1.382871837736011E-2</v>
      </c>
      <c r="T50" s="9" t="s">
        <v>31</v>
      </c>
      <c r="U50" s="9" t="s">
        <v>31</v>
      </c>
      <c r="V50" s="9" t="s">
        <v>33</v>
      </c>
      <c r="W50" s="9" t="s">
        <v>77</v>
      </c>
      <c r="X50" s="1" t="s">
        <v>31</v>
      </c>
      <c r="Y50" s="1" t="s">
        <v>31</v>
      </c>
      <c r="Z50" s="3" t="s">
        <v>31</v>
      </c>
      <c r="AA50" s="11" t="s">
        <v>31</v>
      </c>
      <c r="AB50" s="11" t="s">
        <v>31</v>
      </c>
      <c r="AC50" s="10" t="s">
        <v>31</v>
      </c>
      <c r="AD50" s="10" t="s">
        <v>31</v>
      </c>
      <c r="AE50" s="10" t="s">
        <v>31</v>
      </c>
      <c r="AF50" s="10" t="s">
        <v>31</v>
      </c>
      <c r="AG50" s="10">
        <v>0</v>
      </c>
      <c r="AH50" s="9" t="s">
        <v>34</v>
      </c>
      <c r="AI50" s="9" t="s">
        <v>63</v>
      </c>
    </row>
    <row r="51" spans="1:35" x14ac:dyDescent="0.25">
      <c r="A51" s="9" t="s">
        <v>521</v>
      </c>
      <c r="B51" s="1" t="s">
        <v>190</v>
      </c>
      <c r="C51" s="1" t="s">
        <v>132</v>
      </c>
      <c r="D51" s="10">
        <v>2</v>
      </c>
      <c r="E51" s="10">
        <v>2003</v>
      </c>
      <c r="F51" s="9" t="s">
        <v>28</v>
      </c>
      <c r="G51" s="9" t="s">
        <v>29</v>
      </c>
      <c r="H51" s="1">
        <v>26.16</v>
      </c>
      <c r="I51" s="1">
        <v>8.8000000000000007</v>
      </c>
      <c r="J51" s="9" t="s">
        <v>30</v>
      </c>
      <c r="K51" s="1">
        <v>0.52</v>
      </c>
      <c r="L51" s="10">
        <v>25</v>
      </c>
      <c r="M51" s="3">
        <v>0.47</v>
      </c>
      <c r="N51" s="11">
        <v>2.5291533750000001E-2</v>
      </c>
      <c r="O51">
        <v>157</v>
      </c>
      <c r="P51" s="11">
        <v>0.51007033661330714</v>
      </c>
      <c r="Q51" s="11">
        <v>4.5454545454545463E-2</v>
      </c>
      <c r="R51" s="11">
        <v>0.47859968647828072</v>
      </c>
      <c r="S51" s="11">
        <v>2.4764670490138429E-2</v>
      </c>
      <c r="T51" s="9" t="s">
        <v>40</v>
      </c>
      <c r="U51" s="9" t="s">
        <v>46</v>
      </c>
      <c r="V51" s="9" t="s">
        <v>33</v>
      </c>
      <c r="W51" s="9" t="s">
        <v>955</v>
      </c>
      <c r="X51" s="1">
        <v>16.3</v>
      </c>
      <c r="Y51" s="1">
        <v>15</v>
      </c>
      <c r="Z51" s="3">
        <f>X51/Y51</f>
        <v>1.0866666666666667</v>
      </c>
      <c r="AA51" s="11">
        <v>0.44002246230507869</v>
      </c>
      <c r="AB51" s="11">
        <v>0.17834311254252491</v>
      </c>
      <c r="AC51" s="10">
        <v>4</v>
      </c>
      <c r="AD51" s="10">
        <v>4</v>
      </c>
      <c r="AE51" s="10">
        <v>4</v>
      </c>
      <c r="AF51" s="10">
        <v>4</v>
      </c>
      <c r="AG51" s="10">
        <v>0</v>
      </c>
      <c r="AH51" s="9" t="s">
        <v>41</v>
      </c>
      <c r="AI51" s="9" t="s">
        <v>35</v>
      </c>
    </row>
    <row r="52" spans="1:35" x14ac:dyDescent="0.25">
      <c r="A52" s="9" t="s">
        <v>522</v>
      </c>
      <c r="B52" s="1" t="s">
        <v>193</v>
      </c>
      <c r="C52" s="1" t="s">
        <v>134</v>
      </c>
      <c r="D52" s="10">
        <v>2</v>
      </c>
      <c r="E52" s="10">
        <v>2003</v>
      </c>
      <c r="F52" s="9" t="s">
        <v>38</v>
      </c>
      <c r="G52" s="9" t="s">
        <v>54</v>
      </c>
      <c r="H52" s="1">
        <v>14.6</v>
      </c>
      <c r="I52" s="1">
        <v>1.5</v>
      </c>
      <c r="J52" s="9" t="s">
        <v>39</v>
      </c>
      <c r="K52" s="1">
        <v>0</v>
      </c>
      <c r="L52" s="10">
        <v>24</v>
      </c>
      <c r="M52" s="3">
        <v>0.2</v>
      </c>
      <c r="N52" s="11">
        <v>4.0069565217391301E-2</v>
      </c>
      <c r="O52">
        <v>10</v>
      </c>
      <c r="P52" s="11">
        <v>0.20273255405408211</v>
      </c>
      <c r="Q52" s="11">
        <v>4.7619047619047623E-2</v>
      </c>
      <c r="R52" s="11">
        <v>0.20483431563978169</v>
      </c>
      <c r="S52" s="11">
        <v>3.99063567065212E-2</v>
      </c>
      <c r="T52" s="9" t="s">
        <v>40</v>
      </c>
      <c r="U52" s="9" t="s">
        <v>50</v>
      </c>
      <c r="V52" s="9" t="s">
        <v>33</v>
      </c>
      <c r="W52" s="9" t="s">
        <v>330</v>
      </c>
      <c r="X52" s="1" t="s">
        <v>31</v>
      </c>
      <c r="Y52" s="1" t="s">
        <v>31</v>
      </c>
      <c r="Z52" s="3" t="s">
        <v>31</v>
      </c>
      <c r="AA52" s="11" t="s">
        <v>31</v>
      </c>
      <c r="AB52" s="11" t="s">
        <v>31</v>
      </c>
      <c r="AC52" s="10">
        <v>3</v>
      </c>
      <c r="AD52" s="10">
        <v>3</v>
      </c>
      <c r="AE52" s="10">
        <v>3</v>
      </c>
      <c r="AF52" s="10">
        <v>3</v>
      </c>
      <c r="AG52" s="10">
        <v>0</v>
      </c>
      <c r="AH52" s="9" t="s">
        <v>41</v>
      </c>
      <c r="AI52" s="9" t="s">
        <v>35</v>
      </c>
    </row>
    <row r="53" spans="1:35" x14ac:dyDescent="0.25">
      <c r="A53" s="9" t="s">
        <v>522</v>
      </c>
      <c r="B53" s="1" t="s">
        <v>198</v>
      </c>
      <c r="C53" s="1" t="s">
        <v>135</v>
      </c>
      <c r="D53" s="10">
        <v>2</v>
      </c>
      <c r="E53" s="10">
        <v>2003</v>
      </c>
      <c r="F53" s="9" t="s">
        <v>38</v>
      </c>
      <c r="G53" s="9" t="s">
        <v>54</v>
      </c>
      <c r="H53" s="1">
        <v>14.5</v>
      </c>
      <c r="I53" s="1">
        <v>1.6</v>
      </c>
      <c r="J53" s="9" t="s">
        <v>43</v>
      </c>
      <c r="K53" s="1">
        <v>1</v>
      </c>
      <c r="L53" s="10">
        <v>13</v>
      </c>
      <c r="M53" s="3">
        <v>0.26</v>
      </c>
      <c r="N53" s="11">
        <v>7.2447479999999995E-2</v>
      </c>
      <c r="O53">
        <v>10</v>
      </c>
      <c r="P53" s="11">
        <v>0.26610840687365411</v>
      </c>
      <c r="Q53" s="11">
        <v>0.1</v>
      </c>
      <c r="R53" s="11">
        <v>0.27353254418483419</v>
      </c>
      <c r="S53" s="11">
        <v>7.1329827902816542E-2</v>
      </c>
      <c r="T53" s="9" t="s">
        <v>40</v>
      </c>
      <c r="U53" s="9" t="s">
        <v>50</v>
      </c>
      <c r="V53" s="9" t="s">
        <v>33</v>
      </c>
      <c r="W53" s="9" t="s">
        <v>330</v>
      </c>
      <c r="X53" s="1" t="s">
        <v>31</v>
      </c>
      <c r="Y53" s="1" t="s">
        <v>31</v>
      </c>
      <c r="Z53" s="3" t="s">
        <v>31</v>
      </c>
      <c r="AA53" s="11" t="s">
        <v>31</v>
      </c>
      <c r="AB53" s="11" t="s">
        <v>31</v>
      </c>
      <c r="AC53" s="10">
        <v>3</v>
      </c>
      <c r="AD53" s="10">
        <v>3</v>
      </c>
      <c r="AE53" s="10">
        <v>3</v>
      </c>
      <c r="AF53" s="10">
        <v>3</v>
      </c>
      <c r="AG53" s="10">
        <v>0</v>
      </c>
      <c r="AH53" s="9" t="s">
        <v>41</v>
      </c>
      <c r="AI53" s="9" t="s">
        <v>35</v>
      </c>
    </row>
    <row r="54" spans="1:35" x14ac:dyDescent="0.25">
      <c r="A54" s="9" t="s">
        <v>523</v>
      </c>
      <c r="B54" s="1" t="s">
        <v>201</v>
      </c>
      <c r="C54" s="1" t="s">
        <v>138</v>
      </c>
      <c r="D54" s="10">
        <v>1</v>
      </c>
      <c r="E54" s="10">
        <v>2004</v>
      </c>
      <c r="F54" s="9" t="s">
        <v>38</v>
      </c>
      <c r="G54" s="9" t="s">
        <v>54</v>
      </c>
      <c r="H54" s="1">
        <v>15.05</v>
      </c>
      <c r="I54" s="1">
        <v>2.12</v>
      </c>
      <c r="J54" s="9" t="s">
        <v>30</v>
      </c>
      <c r="K54" s="1">
        <v>0.5</v>
      </c>
      <c r="L54" s="10">
        <v>40</v>
      </c>
      <c r="M54" s="3">
        <v>0.41</v>
      </c>
      <c r="N54" s="11">
        <v>1.7745066923076921E-2</v>
      </c>
      <c r="O54">
        <v>801</v>
      </c>
      <c r="P54" s="11">
        <v>0.43561122323622431</v>
      </c>
      <c r="Q54" s="11">
        <v>2.7027027027027029E-2</v>
      </c>
      <c r="R54" s="11">
        <v>0.41471758700544681</v>
      </c>
      <c r="S54" s="11">
        <v>1.7579472795433738E-2</v>
      </c>
      <c r="T54" s="9" t="s">
        <v>40</v>
      </c>
      <c r="U54" s="9" t="s">
        <v>50</v>
      </c>
      <c r="V54" s="9" t="s">
        <v>33</v>
      </c>
      <c r="W54" s="9" t="s">
        <v>956</v>
      </c>
      <c r="X54" s="1">
        <v>15.31</v>
      </c>
      <c r="Y54" s="1">
        <v>15</v>
      </c>
      <c r="Z54" s="3">
        <f>X54/Y54</f>
        <v>1.0206666666666666</v>
      </c>
      <c r="AA54" s="11">
        <v>0.40305854233670962</v>
      </c>
      <c r="AB54" s="11">
        <v>0.14644159375658991</v>
      </c>
      <c r="AC54" s="10">
        <v>4</v>
      </c>
      <c r="AD54" s="10">
        <v>4</v>
      </c>
      <c r="AE54" s="10">
        <v>4</v>
      </c>
      <c r="AF54" s="10">
        <v>4</v>
      </c>
      <c r="AG54" s="10">
        <v>0</v>
      </c>
      <c r="AH54" s="9" t="s">
        <v>41</v>
      </c>
      <c r="AI54" s="9" t="s">
        <v>35</v>
      </c>
    </row>
    <row r="55" spans="1:35" x14ac:dyDescent="0.25">
      <c r="A55" s="9" t="s">
        <v>148</v>
      </c>
      <c r="B55" s="1" t="s">
        <v>204</v>
      </c>
      <c r="C55" s="1" t="s">
        <v>139</v>
      </c>
      <c r="D55" s="10">
        <v>2</v>
      </c>
      <c r="E55" s="10">
        <v>2004</v>
      </c>
      <c r="F55" s="9" t="s">
        <v>38</v>
      </c>
      <c r="G55" s="9" t="s">
        <v>54</v>
      </c>
      <c r="H55" s="1">
        <v>15.9</v>
      </c>
      <c r="I55" s="1" t="s">
        <v>31</v>
      </c>
      <c r="J55" s="9" t="s">
        <v>39</v>
      </c>
      <c r="K55" s="1">
        <v>0</v>
      </c>
      <c r="L55" s="10">
        <v>38</v>
      </c>
      <c r="M55" s="3">
        <v>0.24399999999999999</v>
      </c>
      <c r="N55" s="11">
        <v>2.3904663116108109E-2</v>
      </c>
      <c r="O55" t="s">
        <v>63</v>
      </c>
      <c r="P55" s="11">
        <v>0.2490229485597959</v>
      </c>
      <c r="Q55" s="11">
        <v>2.8571428571428571E-2</v>
      </c>
      <c r="R55" s="11">
        <v>0.24738490114149539</v>
      </c>
      <c r="S55" s="11">
        <v>2.3820183091535552E-2</v>
      </c>
      <c r="T55" s="9" t="s">
        <v>40</v>
      </c>
      <c r="U55" s="9" t="s">
        <v>31</v>
      </c>
      <c r="V55" s="9" t="s">
        <v>33</v>
      </c>
      <c r="W55" s="9" t="s">
        <v>151</v>
      </c>
      <c r="X55" s="1" t="s">
        <v>31</v>
      </c>
      <c r="Y55" s="1" t="s">
        <v>31</v>
      </c>
      <c r="Z55" s="3" t="s">
        <v>31</v>
      </c>
      <c r="AA55" s="11" t="s">
        <v>31</v>
      </c>
      <c r="AB55" s="11" t="s">
        <v>31</v>
      </c>
      <c r="AC55" s="10">
        <v>4</v>
      </c>
      <c r="AD55" s="10">
        <v>4</v>
      </c>
      <c r="AE55" s="10">
        <v>4</v>
      </c>
      <c r="AF55" s="10">
        <v>4</v>
      </c>
      <c r="AG55" s="10">
        <v>0</v>
      </c>
      <c r="AH55" s="9" t="s">
        <v>34</v>
      </c>
      <c r="AI55" s="9" t="s">
        <v>63</v>
      </c>
    </row>
    <row r="56" spans="1:35" x14ac:dyDescent="0.25">
      <c r="A56" s="9" t="s">
        <v>148</v>
      </c>
      <c r="B56" s="1" t="s">
        <v>207</v>
      </c>
      <c r="C56" s="1" t="s">
        <v>141</v>
      </c>
      <c r="D56" s="10">
        <v>2</v>
      </c>
      <c r="E56" s="10">
        <v>2004</v>
      </c>
      <c r="F56" s="9" t="s">
        <v>38</v>
      </c>
      <c r="G56" s="9" t="s">
        <v>54</v>
      </c>
      <c r="H56" s="1">
        <v>15.9</v>
      </c>
      <c r="I56" s="1" t="s">
        <v>31</v>
      </c>
      <c r="J56" s="9" t="s">
        <v>43</v>
      </c>
      <c r="K56" s="1">
        <v>1</v>
      </c>
      <c r="L56" s="10">
        <v>38</v>
      </c>
      <c r="M56" s="3">
        <v>0.26700000000000002</v>
      </c>
      <c r="N56" s="11">
        <v>2.331092220327027E-2</v>
      </c>
      <c r="O56" t="s">
        <v>63</v>
      </c>
      <c r="P56" s="11">
        <v>0.27363073921724368</v>
      </c>
      <c r="Q56" s="11">
        <v>2.8571428571428571E-2</v>
      </c>
      <c r="R56" s="11">
        <v>0.27065469258119662</v>
      </c>
      <c r="S56" s="11">
        <v>2.3212384265041481E-2</v>
      </c>
      <c r="T56" s="9" t="s">
        <v>40</v>
      </c>
      <c r="U56" s="9" t="s">
        <v>31</v>
      </c>
      <c r="V56" s="9" t="s">
        <v>33</v>
      </c>
      <c r="W56" s="9" t="s">
        <v>151</v>
      </c>
      <c r="X56" s="1" t="s">
        <v>31</v>
      </c>
      <c r="Y56" s="1" t="s">
        <v>31</v>
      </c>
      <c r="Z56" s="3" t="s">
        <v>31</v>
      </c>
      <c r="AA56" s="11" t="s">
        <v>31</v>
      </c>
      <c r="AB56" s="11" t="s">
        <v>31</v>
      </c>
      <c r="AC56" s="10">
        <v>4</v>
      </c>
      <c r="AD56" s="10">
        <v>4</v>
      </c>
      <c r="AE56" s="10">
        <v>4</v>
      </c>
      <c r="AF56" s="10">
        <v>4</v>
      </c>
      <c r="AG56" s="10">
        <v>0</v>
      </c>
      <c r="AH56" s="9" t="s">
        <v>34</v>
      </c>
      <c r="AI56" s="9" t="s">
        <v>63</v>
      </c>
    </row>
    <row r="57" spans="1:35" x14ac:dyDescent="0.25">
      <c r="A57" s="9" t="s">
        <v>148</v>
      </c>
      <c r="B57" s="1" t="s">
        <v>210</v>
      </c>
      <c r="C57" s="1" t="s">
        <v>144</v>
      </c>
      <c r="D57" s="10">
        <v>2</v>
      </c>
      <c r="E57" s="10">
        <v>2004</v>
      </c>
      <c r="F57" s="9" t="s">
        <v>38</v>
      </c>
      <c r="G57" s="9" t="s">
        <v>54</v>
      </c>
      <c r="H57" s="1">
        <v>14.86</v>
      </c>
      <c r="I57" s="1" t="s">
        <v>31</v>
      </c>
      <c r="J57" s="9" t="s">
        <v>30</v>
      </c>
      <c r="K57" s="1">
        <v>0.5</v>
      </c>
      <c r="L57" s="10">
        <v>16</v>
      </c>
      <c r="M57" s="3">
        <v>0.49399999999999999</v>
      </c>
      <c r="N57" s="11">
        <v>3.8098771286399997E-2</v>
      </c>
      <c r="O57" t="s">
        <v>63</v>
      </c>
      <c r="P57" s="11">
        <v>0.54133784820264852</v>
      </c>
      <c r="Q57" s="11">
        <v>7.6923076923076927E-2</v>
      </c>
      <c r="R57" s="11">
        <v>0.50908479625078829</v>
      </c>
      <c r="S57" s="11">
        <v>3.6588869684974663E-2</v>
      </c>
      <c r="T57" s="9" t="s">
        <v>40</v>
      </c>
      <c r="U57" s="9" t="s">
        <v>31</v>
      </c>
      <c r="V57" s="9" t="s">
        <v>33</v>
      </c>
      <c r="W57" s="9" t="s">
        <v>151</v>
      </c>
      <c r="X57" s="1" t="s">
        <v>31</v>
      </c>
      <c r="Y57" s="1" t="s">
        <v>31</v>
      </c>
      <c r="Z57" s="3" t="s">
        <v>31</v>
      </c>
      <c r="AA57" s="11" t="s">
        <v>31</v>
      </c>
      <c r="AB57" s="11" t="s">
        <v>31</v>
      </c>
      <c r="AC57" s="10">
        <v>4</v>
      </c>
      <c r="AD57" s="10">
        <v>4</v>
      </c>
      <c r="AE57" s="10">
        <v>4</v>
      </c>
      <c r="AF57" s="10">
        <v>4</v>
      </c>
      <c r="AG57" s="10">
        <v>0</v>
      </c>
      <c r="AH57" s="9" t="s">
        <v>34</v>
      </c>
      <c r="AI57" s="9" t="s">
        <v>63</v>
      </c>
    </row>
    <row r="58" spans="1:35" x14ac:dyDescent="0.25">
      <c r="A58" s="9" t="s">
        <v>142</v>
      </c>
      <c r="B58" s="1" t="s">
        <v>214</v>
      </c>
      <c r="C58" s="1" t="s">
        <v>145</v>
      </c>
      <c r="D58" s="10">
        <v>1</v>
      </c>
      <c r="E58" s="10">
        <v>2004</v>
      </c>
      <c r="F58" s="9" t="s">
        <v>38</v>
      </c>
      <c r="G58" s="9" t="s">
        <v>54</v>
      </c>
      <c r="H58" s="1">
        <v>18</v>
      </c>
      <c r="I58" s="1">
        <v>0.9</v>
      </c>
      <c r="J58" s="9" t="s">
        <v>39</v>
      </c>
      <c r="K58" s="1">
        <v>0</v>
      </c>
      <c r="L58" s="10">
        <v>49</v>
      </c>
      <c r="M58" s="3">
        <v>0.37</v>
      </c>
      <c r="N58" s="11">
        <v>1.5519616875E-2</v>
      </c>
      <c r="O58">
        <v>471</v>
      </c>
      <c r="P58" s="11">
        <v>0.38842309971829619</v>
      </c>
      <c r="Q58" s="11">
        <v>2.1739130434782612E-2</v>
      </c>
      <c r="R58" s="11">
        <v>0.37354253525336328</v>
      </c>
      <c r="S58" s="11">
        <v>1.542503527135965E-2</v>
      </c>
      <c r="T58" s="9" t="s">
        <v>40</v>
      </c>
      <c r="U58" s="9" t="s">
        <v>50</v>
      </c>
      <c r="V58" s="9" t="s">
        <v>33</v>
      </c>
      <c r="W58" s="9" t="s">
        <v>911</v>
      </c>
      <c r="X58" s="1">
        <v>17.7</v>
      </c>
      <c r="Y58" s="1">
        <v>15</v>
      </c>
      <c r="Z58" s="3">
        <f t="shared" ref="Z58:Z66" si="1">X58/Y58</f>
        <v>1.18</v>
      </c>
      <c r="AA58" s="11">
        <v>0.31978881166713402</v>
      </c>
      <c r="AB58" s="11">
        <v>0.1218232740815012</v>
      </c>
      <c r="AC58" s="10">
        <v>4</v>
      </c>
      <c r="AD58" s="10">
        <v>4</v>
      </c>
      <c r="AE58" s="10">
        <v>4</v>
      </c>
      <c r="AF58" s="10">
        <v>4</v>
      </c>
      <c r="AG58" s="10">
        <v>0</v>
      </c>
      <c r="AH58" s="9" t="s">
        <v>41</v>
      </c>
      <c r="AI58" s="9" t="s">
        <v>35</v>
      </c>
    </row>
    <row r="59" spans="1:35" x14ac:dyDescent="0.25">
      <c r="A59" s="9" t="s">
        <v>142</v>
      </c>
      <c r="B59" s="1" t="s">
        <v>216</v>
      </c>
      <c r="C59" s="1" t="s">
        <v>147</v>
      </c>
      <c r="D59" s="10">
        <v>1</v>
      </c>
      <c r="E59" s="10">
        <v>2004</v>
      </c>
      <c r="F59" s="9" t="s">
        <v>38</v>
      </c>
      <c r="G59" s="9" t="s">
        <v>54</v>
      </c>
      <c r="H59" s="1">
        <v>18</v>
      </c>
      <c r="I59" s="1">
        <v>0.9</v>
      </c>
      <c r="J59" s="9" t="s">
        <v>43</v>
      </c>
      <c r="K59" s="1">
        <v>1</v>
      </c>
      <c r="L59" s="10">
        <v>47</v>
      </c>
      <c r="M59" s="3">
        <v>0.55100000000000005</v>
      </c>
      <c r="N59" s="11">
        <v>1.0542860156543481E-2</v>
      </c>
      <c r="O59">
        <v>471</v>
      </c>
      <c r="P59" s="11">
        <v>0.61981613771714239</v>
      </c>
      <c r="Q59" s="11">
        <v>2.2727272727272731E-2</v>
      </c>
      <c r="R59" s="11">
        <v>0.55541485460495044</v>
      </c>
      <c r="S59" s="11">
        <v>1.039548003120893E-2</v>
      </c>
      <c r="T59" s="9" t="s">
        <v>40</v>
      </c>
      <c r="U59" s="9" t="s">
        <v>50</v>
      </c>
      <c r="V59" s="9" t="s">
        <v>33</v>
      </c>
      <c r="W59" s="9" t="s">
        <v>911</v>
      </c>
      <c r="X59" s="1">
        <v>18.8</v>
      </c>
      <c r="Y59" s="1">
        <v>15</v>
      </c>
      <c r="Z59" s="3">
        <f t="shared" si="1"/>
        <v>1.2533333333333334</v>
      </c>
      <c r="AA59" s="11">
        <v>0.46609041781163552</v>
      </c>
      <c r="AB59" s="11">
        <v>0.11828011005103981</v>
      </c>
      <c r="AC59" s="10">
        <v>4</v>
      </c>
      <c r="AD59" s="10">
        <v>4</v>
      </c>
      <c r="AE59" s="10">
        <v>4</v>
      </c>
      <c r="AF59" s="10">
        <v>4</v>
      </c>
      <c r="AG59" s="10">
        <v>0</v>
      </c>
      <c r="AH59" s="9" t="s">
        <v>41</v>
      </c>
      <c r="AI59" s="9" t="s">
        <v>35</v>
      </c>
    </row>
    <row r="60" spans="1:35" x14ac:dyDescent="0.25">
      <c r="A60" s="9" t="s">
        <v>157</v>
      </c>
      <c r="B60" s="1" t="s">
        <v>218</v>
      </c>
      <c r="C60" s="1" t="s">
        <v>150</v>
      </c>
      <c r="D60" s="10">
        <v>2</v>
      </c>
      <c r="E60" s="10">
        <v>2004</v>
      </c>
      <c r="F60" s="9" t="s">
        <v>38</v>
      </c>
      <c r="G60" s="9" t="s">
        <v>29</v>
      </c>
      <c r="H60" s="1">
        <v>43.62</v>
      </c>
      <c r="I60" s="1">
        <v>4.3099999999999996</v>
      </c>
      <c r="J60" s="9" t="s">
        <v>30</v>
      </c>
      <c r="K60" s="1">
        <v>0.47</v>
      </c>
      <c r="L60" s="10">
        <v>17</v>
      </c>
      <c r="M60" s="3">
        <v>0.31</v>
      </c>
      <c r="N60" s="11">
        <v>5.1064700625000001E-2</v>
      </c>
      <c r="O60" t="s">
        <v>63</v>
      </c>
      <c r="P60" s="11">
        <v>0.32054540930194608</v>
      </c>
      <c r="Q60" s="11">
        <v>7.1428571428571425E-2</v>
      </c>
      <c r="R60" s="11">
        <v>0.32076808230626558</v>
      </c>
      <c r="S60" s="11">
        <v>5.0300154492316701E-2</v>
      </c>
      <c r="T60" s="9" t="s">
        <v>40</v>
      </c>
      <c r="U60" s="9" t="s">
        <v>50</v>
      </c>
      <c r="V60" s="9" t="s">
        <v>33</v>
      </c>
      <c r="W60" s="9" t="s">
        <v>957</v>
      </c>
      <c r="X60" s="1">
        <v>13.6</v>
      </c>
      <c r="Y60" s="1">
        <v>15</v>
      </c>
      <c r="Z60" s="3">
        <f t="shared" si="1"/>
        <v>0.90666666666666662</v>
      </c>
      <c r="AA60" s="11">
        <v>0.33840980396904607</v>
      </c>
      <c r="AB60" s="11">
        <v>0.2625146772338946</v>
      </c>
      <c r="AC60" s="10">
        <v>4</v>
      </c>
      <c r="AD60" s="10">
        <v>4</v>
      </c>
      <c r="AE60" s="10">
        <v>4</v>
      </c>
      <c r="AF60" s="10">
        <v>4</v>
      </c>
      <c r="AG60" s="10">
        <v>0</v>
      </c>
      <c r="AH60" s="9" t="s">
        <v>34</v>
      </c>
      <c r="AI60" s="9" t="s">
        <v>63</v>
      </c>
    </row>
    <row r="61" spans="1:35" x14ac:dyDescent="0.25">
      <c r="A61" s="9" t="s">
        <v>157</v>
      </c>
      <c r="B61" s="1" t="s">
        <v>221</v>
      </c>
      <c r="C61" s="1" t="s">
        <v>152</v>
      </c>
      <c r="D61" s="10">
        <v>2</v>
      </c>
      <c r="E61" s="10">
        <v>2004</v>
      </c>
      <c r="F61" s="9" t="s">
        <v>28</v>
      </c>
      <c r="G61" s="9" t="s">
        <v>29</v>
      </c>
      <c r="H61" s="1">
        <v>30.3</v>
      </c>
      <c r="I61" s="1">
        <v>9.1</v>
      </c>
      <c r="J61" s="9" t="s">
        <v>30</v>
      </c>
      <c r="K61" s="1">
        <v>0.87</v>
      </c>
      <c r="L61" s="10">
        <v>15</v>
      </c>
      <c r="M61" s="3">
        <v>7.0000000000000007E-2</v>
      </c>
      <c r="N61" s="11">
        <v>7.0730286428571418E-2</v>
      </c>
      <c r="O61" t="s">
        <v>63</v>
      </c>
      <c r="P61" s="11">
        <v>7.0114670654325154E-2</v>
      </c>
      <c r="Q61" s="11">
        <v>8.3333333333333329E-2</v>
      </c>
      <c r="R61" s="11">
        <v>7.3230789331322946E-2</v>
      </c>
      <c r="S61" s="11">
        <v>7.0664518718525873E-2</v>
      </c>
      <c r="T61" s="9" t="s">
        <v>40</v>
      </c>
      <c r="U61" s="9" t="s">
        <v>50</v>
      </c>
      <c r="V61" s="9" t="s">
        <v>33</v>
      </c>
      <c r="W61" s="9" t="s">
        <v>957</v>
      </c>
      <c r="X61" s="1">
        <v>23</v>
      </c>
      <c r="Y61" s="1">
        <v>15</v>
      </c>
      <c r="Z61" s="3">
        <f t="shared" si="1"/>
        <v>1.5333333333333334</v>
      </c>
      <c r="AA61" s="11">
        <v>4.5716585475686321E-2</v>
      </c>
      <c r="AB61" s="11">
        <v>0.18120162106394</v>
      </c>
      <c r="AC61" s="10">
        <v>4</v>
      </c>
      <c r="AD61" s="10">
        <v>4</v>
      </c>
      <c r="AE61" s="10">
        <v>4</v>
      </c>
      <c r="AF61" s="10">
        <v>4</v>
      </c>
      <c r="AG61" s="10">
        <v>0</v>
      </c>
      <c r="AH61" s="9" t="s">
        <v>34</v>
      </c>
      <c r="AI61" s="9" t="s">
        <v>63</v>
      </c>
    </row>
    <row r="62" spans="1:35" x14ac:dyDescent="0.25">
      <c r="A62" s="9" t="s">
        <v>524</v>
      </c>
      <c r="B62" s="1" t="s">
        <v>225</v>
      </c>
      <c r="C62" s="1" t="s">
        <v>153</v>
      </c>
      <c r="D62" s="10">
        <v>2</v>
      </c>
      <c r="E62" s="10">
        <v>2004</v>
      </c>
      <c r="F62" s="9" t="s">
        <v>28</v>
      </c>
      <c r="G62" s="9" t="s">
        <v>29</v>
      </c>
      <c r="H62" s="1">
        <v>42.23</v>
      </c>
      <c r="I62" s="1">
        <v>13.37</v>
      </c>
      <c r="J62" s="9" t="s">
        <v>30</v>
      </c>
      <c r="K62" s="1">
        <v>0.5</v>
      </c>
      <c r="L62" s="10">
        <v>201</v>
      </c>
      <c r="M62" s="3">
        <v>0.28000000000000003</v>
      </c>
      <c r="N62" s="11">
        <v>4.2467327999999999E-3</v>
      </c>
      <c r="O62">
        <v>72</v>
      </c>
      <c r="P62" s="11">
        <v>0.28768207245178101</v>
      </c>
      <c r="Q62" s="11">
        <v>5.0505050505050509E-3</v>
      </c>
      <c r="R62" s="11">
        <v>0.28065518072246393</v>
      </c>
      <c r="S62" s="11">
        <v>4.2433481570803948E-3</v>
      </c>
      <c r="T62" s="9" t="s">
        <v>40</v>
      </c>
      <c r="U62" s="9" t="s">
        <v>50</v>
      </c>
      <c r="V62" s="9" t="s">
        <v>33</v>
      </c>
      <c r="W62" s="9" t="s">
        <v>911</v>
      </c>
      <c r="X62" s="1">
        <v>17.64</v>
      </c>
      <c r="Y62" s="1">
        <v>15</v>
      </c>
      <c r="Z62" s="3">
        <f t="shared" si="1"/>
        <v>1.1759999999999999</v>
      </c>
      <c r="AA62" s="11">
        <v>0.24072270141305929</v>
      </c>
      <c r="AB62" s="11">
        <v>5.9804847825357041E-2</v>
      </c>
      <c r="AC62" s="10">
        <v>4</v>
      </c>
      <c r="AD62" s="10">
        <v>4</v>
      </c>
      <c r="AE62" s="10">
        <v>4</v>
      </c>
      <c r="AF62" s="10">
        <v>4</v>
      </c>
      <c r="AG62" s="10">
        <v>4</v>
      </c>
      <c r="AH62" s="9" t="s">
        <v>34</v>
      </c>
      <c r="AI62" s="9" t="s">
        <v>35</v>
      </c>
    </row>
    <row r="63" spans="1:35" x14ac:dyDescent="0.25">
      <c r="A63" s="9" t="s">
        <v>525</v>
      </c>
      <c r="B63" s="1" t="s">
        <v>228</v>
      </c>
      <c r="C63" s="1" t="s">
        <v>155</v>
      </c>
      <c r="D63" s="10">
        <v>2</v>
      </c>
      <c r="E63" s="10">
        <v>2004</v>
      </c>
      <c r="F63" s="9" t="s">
        <v>38</v>
      </c>
      <c r="G63" s="9" t="s">
        <v>54</v>
      </c>
      <c r="H63" s="1">
        <v>15.5</v>
      </c>
      <c r="I63" s="1">
        <v>1.6</v>
      </c>
      <c r="J63" s="9" t="s">
        <v>43</v>
      </c>
      <c r="K63" s="1">
        <v>1</v>
      </c>
      <c r="L63" s="10">
        <v>16</v>
      </c>
      <c r="M63" s="3">
        <v>0.13300000000000001</v>
      </c>
      <c r="N63" s="11">
        <v>6.432899338140001E-2</v>
      </c>
      <c r="O63" t="s">
        <v>63</v>
      </c>
      <c r="P63" s="11">
        <v>0.13379264212373229</v>
      </c>
      <c r="Q63" s="11">
        <v>7.6923076923076927E-2</v>
      </c>
      <c r="R63" s="11">
        <v>0.13853007821476829</v>
      </c>
      <c r="S63" s="11">
        <v>6.4132474221266916E-2</v>
      </c>
      <c r="T63" s="9" t="s">
        <v>40</v>
      </c>
      <c r="U63" s="9" t="s">
        <v>50</v>
      </c>
      <c r="V63" s="9" t="s">
        <v>33</v>
      </c>
      <c r="W63" s="9" t="s">
        <v>958</v>
      </c>
      <c r="X63" s="1">
        <v>18.3</v>
      </c>
      <c r="Y63" s="1">
        <v>15</v>
      </c>
      <c r="Z63" s="3">
        <f t="shared" si="1"/>
        <v>1.22</v>
      </c>
      <c r="AA63" s="11">
        <v>0.10933416627248051</v>
      </c>
      <c r="AB63" s="11">
        <v>0.21902461067637871</v>
      </c>
      <c r="AC63" s="10">
        <v>4</v>
      </c>
      <c r="AD63" s="10">
        <v>4</v>
      </c>
      <c r="AE63" s="10">
        <v>4</v>
      </c>
      <c r="AF63" s="10">
        <v>4</v>
      </c>
      <c r="AG63" s="10">
        <v>0</v>
      </c>
      <c r="AH63" s="9" t="s">
        <v>34</v>
      </c>
      <c r="AI63" s="9" t="s">
        <v>63</v>
      </c>
    </row>
    <row r="64" spans="1:35" x14ac:dyDescent="0.25">
      <c r="A64" s="9" t="s">
        <v>525</v>
      </c>
      <c r="B64" s="1" t="s">
        <v>232</v>
      </c>
      <c r="C64" s="1" t="s">
        <v>156</v>
      </c>
      <c r="D64" s="10">
        <v>2</v>
      </c>
      <c r="E64" s="10">
        <v>2004</v>
      </c>
      <c r="F64" s="9" t="s">
        <v>28</v>
      </c>
      <c r="G64" s="9" t="s">
        <v>54</v>
      </c>
      <c r="H64" s="1">
        <v>15.4</v>
      </c>
      <c r="I64" s="1">
        <v>2.2400000000000002</v>
      </c>
      <c r="J64" s="9" t="s">
        <v>43</v>
      </c>
      <c r="K64" s="1">
        <v>1</v>
      </c>
      <c r="L64" s="10">
        <v>16</v>
      </c>
      <c r="M64" s="3">
        <v>-6.2E-2</v>
      </c>
      <c r="N64" s="11">
        <v>6.6155118422400003E-2</v>
      </c>
      <c r="O64" s="2" t="s">
        <v>63</v>
      </c>
      <c r="P64" s="11">
        <v>-6.2079626397829803E-2</v>
      </c>
      <c r="Q64" s="11">
        <v>7.6923076923076927E-2</v>
      </c>
      <c r="R64" s="11">
        <v>-6.4697065186355679E-2</v>
      </c>
      <c r="S64" s="11">
        <v>6.6109739978852625E-2</v>
      </c>
      <c r="T64" s="9" t="s">
        <v>40</v>
      </c>
      <c r="U64" s="9" t="s">
        <v>50</v>
      </c>
      <c r="V64" s="9" t="s">
        <v>33</v>
      </c>
      <c r="W64" s="9" t="s">
        <v>958</v>
      </c>
      <c r="X64" s="1">
        <v>21.7</v>
      </c>
      <c r="Y64" s="1">
        <v>15</v>
      </c>
      <c r="Z64" s="3">
        <f t="shared" si="1"/>
        <v>1.4466666666666665</v>
      </c>
      <c r="AA64" s="11">
        <v>-4.2900220547254529E-2</v>
      </c>
      <c r="AB64" s="11">
        <v>0.18494394422919239</v>
      </c>
      <c r="AC64" s="10">
        <v>4</v>
      </c>
      <c r="AD64" s="10">
        <v>4</v>
      </c>
      <c r="AE64" s="10">
        <v>4</v>
      </c>
      <c r="AF64" s="10">
        <v>4</v>
      </c>
      <c r="AG64" s="10">
        <v>0</v>
      </c>
      <c r="AH64" s="9" t="s">
        <v>34</v>
      </c>
      <c r="AI64" s="9" t="s">
        <v>63</v>
      </c>
    </row>
    <row r="65" spans="1:35" x14ac:dyDescent="0.25">
      <c r="A65" s="9" t="s">
        <v>526</v>
      </c>
      <c r="B65" s="1" t="s">
        <v>234</v>
      </c>
      <c r="C65" s="1" t="s">
        <v>159</v>
      </c>
      <c r="D65" s="10">
        <v>2</v>
      </c>
      <c r="E65" s="10">
        <v>2005</v>
      </c>
      <c r="F65" s="9" t="s">
        <v>38</v>
      </c>
      <c r="G65" s="9" t="s">
        <v>54</v>
      </c>
      <c r="H65" s="1">
        <v>8.42</v>
      </c>
      <c r="I65" s="1">
        <v>8.08</v>
      </c>
      <c r="J65" s="9" t="s">
        <v>30</v>
      </c>
      <c r="K65" s="1">
        <v>0.56999999999999995</v>
      </c>
      <c r="L65" s="10">
        <v>21</v>
      </c>
      <c r="M65" s="3">
        <v>0.46400000000000002</v>
      </c>
      <c r="N65" s="11">
        <v>3.07880183808E-2</v>
      </c>
      <c r="O65" t="s">
        <v>63</v>
      </c>
      <c r="P65" s="11">
        <v>0.50239676672522737</v>
      </c>
      <c r="Q65" s="11">
        <v>5.5555555555555552E-2</v>
      </c>
      <c r="R65" s="11">
        <v>0.47453102496433408</v>
      </c>
      <c r="S65" s="11">
        <v>3.00173253563286E-2</v>
      </c>
      <c r="T65" s="9" t="s">
        <v>40</v>
      </c>
      <c r="U65" s="9" t="s">
        <v>46</v>
      </c>
      <c r="V65" s="9" t="s">
        <v>33</v>
      </c>
      <c r="W65" s="9" t="s">
        <v>258</v>
      </c>
      <c r="X65" s="1">
        <v>8.8000000000000007</v>
      </c>
      <c r="Y65" s="1">
        <v>15</v>
      </c>
      <c r="Z65" s="3">
        <f t="shared" si="1"/>
        <v>0.58666666666666667</v>
      </c>
      <c r="AA65" s="11">
        <v>0.66600865008085619</v>
      </c>
      <c r="AB65" s="11">
        <v>0.2068448091823443</v>
      </c>
      <c r="AC65" s="10">
        <v>4</v>
      </c>
      <c r="AD65" s="10">
        <v>4</v>
      </c>
      <c r="AE65" s="10">
        <v>4</v>
      </c>
      <c r="AF65" s="10">
        <v>4</v>
      </c>
      <c r="AG65" s="10">
        <v>0</v>
      </c>
      <c r="AH65" s="9" t="s">
        <v>34</v>
      </c>
      <c r="AI65" s="9" t="s">
        <v>63</v>
      </c>
    </row>
    <row r="66" spans="1:35" x14ac:dyDescent="0.25">
      <c r="A66" s="9" t="s">
        <v>526</v>
      </c>
      <c r="B66" s="1" t="s">
        <v>237</v>
      </c>
      <c r="C66" s="1" t="s">
        <v>160</v>
      </c>
      <c r="D66" s="10">
        <v>2</v>
      </c>
      <c r="E66" s="10">
        <v>2005</v>
      </c>
      <c r="F66" s="9" t="s">
        <v>28</v>
      </c>
      <c r="G66" s="9" t="s">
        <v>54</v>
      </c>
      <c r="H66" s="1">
        <v>8.58</v>
      </c>
      <c r="I66" s="1">
        <v>8.5</v>
      </c>
      <c r="J66" s="9" t="s">
        <v>30</v>
      </c>
      <c r="K66" s="1">
        <v>0.53</v>
      </c>
      <c r="L66" s="10">
        <v>60</v>
      </c>
      <c r="M66" s="3">
        <v>0.35</v>
      </c>
      <c r="N66" s="11">
        <v>1.305095338983051E-2</v>
      </c>
      <c r="O66" t="s">
        <v>63</v>
      </c>
      <c r="P66" s="11">
        <v>0.36544375427139619</v>
      </c>
      <c r="Q66" s="11">
        <v>1.754385964912281E-2</v>
      </c>
      <c r="R66" s="11">
        <v>0.35274037578769818</v>
      </c>
      <c r="S66" s="11">
        <v>1.299373266937285E-2</v>
      </c>
      <c r="T66" s="9" t="s">
        <v>40</v>
      </c>
      <c r="U66" s="9" t="s">
        <v>46</v>
      </c>
      <c r="V66" s="9" t="s">
        <v>33</v>
      </c>
      <c r="W66" s="9" t="s">
        <v>258</v>
      </c>
      <c r="X66" s="1">
        <v>12.4</v>
      </c>
      <c r="Y66" s="1">
        <v>15</v>
      </c>
      <c r="Z66" s="3">
        <f t="shared" si="1"/>
        <v>0.82666666666666666</v>
      </c>
      <c r="AA66" s="11">
        <v>0.41186048527049091</v>
      </c>
      <c r="AB66" s="11">
        <v>0.13696722772265141</v>
      </c>
      <c r="AC66" s="10">
        <v>4</v>
      </c>
      <c r="AD66" s="10">
        <v>4</v>
      </c>
      <c r="AE66" s="10">
        <v>4</v>
      </c>
      <c r="AF66" s="10">
        <v>4</v>
      </c>
      <c r="AG66" s="10">
        <v>0</v>
      </c>
      <c r="AH66" s="9" t="s">
        <v>34</v>
      </c>
      <c r="AI66" s="9" t="s">
        <v>63</v>
      </c>
    </row>
    <row r="67" spans="1:35" x14ac:dyDescent="0.25">
      <c r="A67" s="9" t="s">
        <v>527</v>
      </c>
      <c r="B67" s="1" t="s">
        <v>240</v>
      </c>
      <c r="C67" s="1" t="s">
        <v>162</v>
      </c>
      <c r="D67" s="10">
        <v>2</v>
      </c>
      <c r="E67" s="10">
        <v>2005</v>
      </c>
      <c r="F67" s="9" t="s">
        <v>38</v>
      </c>
      <c r="G67" s="9" t="s">
        <v>29</v>
      </c>
      <c r="H67" s="1">
        <v>23.5</v>
      </c>
      <c r="I67" s="1" t="s">
        <v>31</v>
      </c>
      <c r="J67" s="9" t="s">
        <v>43</v>
      </c>
      <c r="K67" s="1">
        <v>1</v>
      </c>
      <c r="L67" s="10">
        <v>19</v>
      </c>
      <c r="M67" s="3">
        <v>0.27</v>
      </c>
      <c r="N67" s="11">
        <v>4.7750800555555563E-2</v>
      </c>
      <c r="O67">
        <v>35</v>
      </c>
      <c r="P67" s="11">
        <v>0.27686382265510012</v>
      </c>
      <c r="Q67" s="11">
        <v>6.25E-2</v>
      </c>
      <c r="R67" s="11">
        <v>0.27837344481605941</v>
      </c>
      <c r="S67" s="11">
        <v>4.7278968088935697E-2</v>
      </c>
      <c r="T67" s="9" t="s">
        <v>40</v>
      </c>
      <c r="U67" s="9" t="s">
        <v>50</v>
      </c>
      <c r="V67" s="9" t="s">
        <v>33</v>
      </c>
      <c r="W67" s="9" t="s">
        <v>331</v>
      </c>
      <c r="X67" s="1" t="s">
        <v>31</v>
      </c>
      <c r="Y67" s="1" t="s">
        <v>31</v>
      </c>
      <c r="Z67" s="3" t="s">
        <v>31</v>
      </c>
      <c r="AA67" s="11" t="s">
        <v>31</v>
      </c>
      <c r="AB67" s="11" t="s">
        <v>31</v>
      </c>
      <c r="AC67" s="10">
        <v>3</v>
      </c>
      <c r="AD67" s="10">
        <v>4</v>
      </c>
      <c r="AE67" s="10">
        <v>4</v>
      </c>
      <c r="AF67" s="10">
        <v>4</v>
      </c>
      <c r="AG67" s="10">
        <v>0</v>
      </c>
      <c r="AH67" s="9" t="s">
        <v>41</v>
      </c>
      <c r="AI67" s="9" t="s">
        <v>35</v>
      </c>
    </row>
    <row r="68" spans="1:35" x14ac:dyDescent="0.25">
      <c r="A68" s="9" t="s">
        <v>528</v>
      </c>
      <c r="B68" s="1" t="s">
        <v>245</v>
      </c>
      <c r="C68" s="1" t="s">
        <v>164</v>
      </c>
      <c r="D68" s="10">
        <v>2</v>
      </c>
      <c r="E68" s="10">
        <v>2006</v>
      </c>
      <c r="F68" s="9" t="s">
        <v>38</v>
      </c>
      <c r="G68" s="9" t="s">
        <v>54</v>
      </c>
      <c r="H68" s="1">
        <v>15.1</v>
      </c>
      <c r="I68" s="1">
        <v>7.9</v>
      </c>
      <c r="J68" s="9" t="s">
        <v>30</v>
      </c>
      <c r="K68" s="1">
        <v>0.43</v>
      </c>
      <c r="L68" s="10">
        <v>41</v>
      </c>
      <c r="M68" s="3">
        <v>0.159</v>
      </c>
      <c r="N68" s="11">
        <v>2.3751928224024998E-2</v>
      </c>
      <c r="O68" t="s">
        <v>63</v>
      </c>
      <c r="P68" s="11">
        <v>0.16036059168340189</v>
      </c>
      <c r="Q68" s="11">
        <v>2.6315789473684209E-2</v>
      </c>
      <c r="R68" s="11">
        <v>0.161104862084473</v>
      </c>
      <c r="S68" s="11">
        <v>2.3719102431329509E-2</v>
      </c>
      <c r="T68" s="9" t="s">
        <v>40</v>
      </c>
      <c r="U68" s="9" t="s">
        <v>50</v>
      </c>
      <c r="V68" s="9" t="s">
        <v>33</v>
      </c>
      <c r="W68" s="9" t="s">
        <v>956</v>
      </c>
      <c r="X68" s="1">
        <v>13.4</v>
      </c>
      <c r="Y68" s="1">
        <v>15</v>
      </c>
      <c r="Z68" s="3">
        <f t="shared" ref="Z68:Z71" si="2">X68/Y68</f>
        <v>0.89333333333333331</v>
      </c>
      <c r="AA68" s="11">
        <v>0.17741844563768869</v>
      </c>
      <c r="AB68" s="11">
        <v>0.17528285090980389</v>
      </c>
      <c r="AC68" s="10">
        <v>4</v>
      </c>
      <c r="AD68" s="10">
        <v>4</v>
      </c>
      <c r="AE68" s="10">
        <v>4</v>
      </c>
      <c r="AF68" s="10">
        <v>4</v>
      </c>
      <c r="AG68" s="10">
        <v>0</v>
      </c>
      <c r="AH68" s="9" t="s">
        <v>34</v>
      </c>
      <c r="AI68" s="9" t="s">
        <v>63</v>
      </c>
    </row>
    <row r="69" spans="1:35" x14ac:dyDescent="0.25">
      <c r="A69" s="9" t="s">
        <v>528</v>
      </c>
      <c r="B69" s="1" t="s">
        <v>249</v>
      </c>
      <c r="C69" s="1" t="s">
        <v>165</v>
      </c>
      <c r="D69" s="10">
        <v>2</v>
      </c>
      <c r="E69" s="10">
        <v>2006</v>
      </c>
      <c r="F69" s="9" t="s">
        <v>28</v>
      </c>
      <c r="G69" s="9" t="s">
        <v>54</v>
      </c>
      <c r="H69" s="1">
        <v>16.7</v>
      </c>
      <c r="I69" s="1">
        <v>8.6999999999999993</v>
      </c>
      <c r="J69" s="9" t="s">
        <v>30</v>
      </c>
      <c r="K69" s="1">
        <v>0.37</v>
      </c>
      <c r="L69" s="10">
        <v>43</v>
      </c>
      <c r="M69" s="3">
        <v>0.155</v>
      </c>
      <c r="N69" s="11">
        <v>2.2679219062499999E-2</v>
      </c>
      <c r="O69" t="s">
        <v>63</v>
      </c>
      <c r="P69" s="11">
        <v>0.1562594977993601</v>
      </c>
      <c r="Q69" s="11">
        <v>2.5000000000000001E-2</v>
      </c>
      <c r="R69" s="11">
        <v>0.15694885865202779</v>
      </c>
      <c r="S69" s="11">
        <v>2.2650973654218979E-2</v>
      </c>
      <c r="T69" s="9" t="s">
        <v>40</v>
      </c>
      <c r="U69" s="9" t="s">
        <v>50</v>
      </c>
      <c r="V69" s="9" t="s">
        <v>33</v>
      </c>
      <c r="W69" s="9" t="s">
        <v>956</v>
      </c>
      <c r="X69" s="1">
        <v>11.5</v>
      </c>
      <c r="Y69" s="1">
        <v>15</v>
      </c>
      <c r="Z69" s="3">
        <f t="shared" si="2"/>
        <v>0.76666666666666672</v>
      </c>
      <c r="AA69" s="11">
        <v>0.20049189549129581</v>
      </c>
      <c r="AB69" s="11">
        <v>0.1962618786336261</v>
      </c>
      <c r="AC69" s="10">
        <v>4</v>
      </c>
      <c r="AD69" s="10">
        <v>4</v>
      </c>
      <c r="AE69" s="10">
        <v>4</v>
      </c>
      <c r="AF69" s="10">
        <v>4</v>
      </c>
      <c r="AG69" s="10">
        <v>0</v>
      </c>
      <c r="AH69" s="9" t="s">
        <v>34</v>
      </c>
      <c r="AI69" s="9" t="s">
        <v>63</v>
      </c>
    </row>
    <row r="70" spans="1:35" x14ac:dyDescent="0.25">
      <c r="A70" s="9" t="s">
        <v>176</v>
      </c>
      <c r="B70" s="1" t="s">
        <v>252</v>
      </c>
      <c r="C70" s="1" t="s">
        <v>167</v>
      </c>
      <c r="D70" s="10">
        <v>2</v>
      </c>
      <c r="E70" s="10">
        <v>2006</v>
      </c>
      <c r="F70" s="9" t="s">
        <v>38</v>
      </c>
      <c r="G70" s="9" t="s">
        <v>29</v>
      </c>
      <c r="H70" s="1">
        <v>21.41</v>
      </c>
      <c r="I70" s="1">
        <v>10.91</v>
      </c>
      <c r="J70" s="9" t="s">
        <v>43</v>
      </c>
      <c r="K70" s="1">
        <v>1</v>
      </c>
      <c r="L70" s="10">
        <v>23</v>
      </c>
      <c r="M70" s="3">
        <v>0.46</v>
      </c>
      <c r="N70" s="11">
        <v>2.825338909090909E-2</v>
      </c>
      <c r="O70" t="s">
        <v>63</v>
      </c>
      <c r="P70" s="11">
        <v>0.49731128757203102</v>
      </c>
      <c r="Q70" s="11">
        <v>0.05</v>
      </c>
      <c r="R70" s="11">
        <v>0.46940869993248241</v>
      </c>
      <c r="S70" s="11">
        <v>2.7630120713020678E-2</v>
      </c>
      <c r="T70" s="9" t="s">
        <v>40</v>
      </c>
      <c r="U70" s="9" t="s">
        <v>31</v>
      </c>
      <c r="V70" s="9" t="s">
        <v>33</v>
      </c>
      <c r="W70" s="9" t="s">
        <v>959</v>
      </c>
      <c r="X70" s="1">
        <v>11.18</v>
      </c>
      <c r="Y70" s="1">
        <v>15</v>
      </c>
      <c r="Z70" s="3">
        <f t="shared" si="2"/>
        <v>0.74533333333333329</v>
      </c>
      <c r="AA70" s="11">
        <v>0.57074711606328499</v>
      </c>
      <c r="AB70" s="11">
        <v>0.20559967864959719</v>
      </c>
      <c r="AC70" s="10">
        <v>4</v>
      </c>
      <c r="AD70" s="10">
        <v>4</v>
      </c>
      <c r="AE70" s="10">
        <v>4</v>
      </c>
      <c r="AF70" s="10">
        <v>4</v>
      </c>
      <c r="AG70" s="10">
        <v>0</v>
      </c>
      <c r="AH70" s="9" t="s">
        <v>41</v>
      </c>
      <c r="AI70" s="9" t="s">
        <v>63</v>
      </c>
    </row>
    <row r="71" spans="1:35" x14ac:dyDescent="0.25">
      <c r="A71" s="9" t="s">
        <v>176</v>
      </c>
      <c r="B71" s="1" t="s">
        <v>256</v>
      </c>
      <c r="C71" s="1" t="s">
        <v>168</v>
      </c>
      <c r="D71" s="10">
        <v>2</v>
      </c>
      <c r="E71" s="10">
        <v>2006</v>
      </c>
      <c r="F71" s="9" t="s">
        <v>28</v>
      </c>
      <c r="G71" s="9" t="s">
        <v>29</v>
      </c>
      <c r="H71" s="1">
        <v>20.79</v>
      </c>
      <c r="I71" s="1">
        <v>10.58</v>
      </c>
      <c r="J71" s="9" t="s">
        <v>43</v>
      </c>
      <c r="K71" s="1">
        <v>1</v>
      </c>
      <c r="L71" s="10">
        <v>24</v>
      </c>
      <c r="M71" s="3">
        <v>0.3</v>
      </c>
      <c r="N71" s="11">
        <v>3.6004347826086962E-2</v>
      </c>
      <c r="O71" t="s">
        <v>63</v>
      </c>
      <c r="P71" s="11">
        <v>0.30951960420311181</v>
      </c>
      <c r="Q71" s="11">
        <v>4.7619047619047623E-2</v>
      </c>
      <c r="R71" s="11">
        <v>0.30683184613132009</v>
      </c>
      <c r="S71" s="11">
        <v>3.5677037592612683E-2</v>
      </c>
      <c r="T71" s="9" t="s">
        <v>40</v>
      </c>
      <c r="U71" s="9" t="s">
        <v>31</v>
      </c>
      <c r="V71" s="9" t="s">
        <v>33</v>
      </c>
      <c r="W71" s="9" t="s">
        <v>959</v>
      </c>
      <c r="X71" s="1">
        <v>20.64</v>
      </c>
      <c r="Y71" s="1">
        <v>15</v>
      </c>
      <c r="Z71" s="3">
        <f t="shared" si="2"/>
        <v>1.3760000000000001</v>
      </c>
      <c r="AA71" s="11">
        <v>0.2228053870700456</v>
      </c>
      <c r="AB71" s="11">
        <v>0.1577464232694237</v>
      </c>
      <c r="AC71" s="10">
        <v>4</v>
      </c>
      <c r="AD71" s="10">
        <v>4</v>
      </c>
      <c r="AE71" s="10">
        <v>4</v>
      </c>
      <c r="AF71" s="10">
        <v>4</v>
      </c>
      <c r="AG71" s="10">
        <v>0</v>
      </c>
      <c r="AH71" s="9" t="s">
        <v>41</v>
      </c>
      <c r="AI71" s="9" t="s">
        <v>63</v>
      </c>
    </row>
    <row r="72" spans="1:35" x14ac:dyDescent="0.25">
      <c r="A72" s="9" t="s">
        <v>169</v>
      </c>
      <c r="B72" s="1" t="s">
        <v>280</v>
      </c>
      <c r="C72" s="1" t="s">
        <v>171</v>
      </c>
      <c r="D72" s="10">
        <v>1</v>
      </c>
      <c r="E72" s="10">
        <v>2006</v>
      </c>
      <c r="F72" s="9" t="s">
        <v>38</v>
      </c>
      <c r="G72" s="9" t="s">
        <v>29</v>
      </c>
      <c r="H72" s="1">
        <v>79.5</v>
      </c>
      <c r="I72" s="1">
        <v>0.5</v>
      </c>
      <c r="J72" s="9" t="s">
        <v>30</v>
      </c>
      <c r="K72" s="1">
        <v>0.61</v>
      </c>
      <c r="L72" s="10">
        <v>102</v>
      </c>
      <c r="M72" s="3">
        <v>-9.7000000000000003E-2</v>
      </c>
      <c r="N72" s="11">
        <v>9.7155497948613855E-3</v>
      </c>
      <c r="O72" t="s">
        <v>63</v>
      </c>
      <c r="P72" s="11">
        <v>-9.7305953429122363E-2</v>
      </c>
      <c r="Q72" s="11">
        <v>1.01010101010101E-2</v>
      </c>
      <c r="R72" s="11">
        <v>-9.7491377228810572E-2</v>
      </c>
      <c r="S72" s="11">
        <v>9.7136752431383911E-3</v>
      </c>
      <c r="T72" s="9" t="s">
        <v>40</v>
      </c>
      <c r="U72" s="9" t="s">
        <v>31</v>
      </c>
      <c r="V72" s="9" t="s">
        <v>51</v>
      </c>
      <c r="W72" s="9" t="s">
        <v>115</v>
      </c>
      <c r="X72" s="1" t="s">
        <v>31</v>
      </c>
      <c r="Y72" s="1" t="s">
        <v>31</v>
      </c>
      <c r="Z72" s="3" t="s">
        <v>31</v>
      </c>
      <c r="AA72" s="11" t="s">
        <v>31</v>
      </c>
      <c r="AB72" s="11" t="s">
        <v>31</v>
      </c>
      <c r="AC72" s="10">
        <v>2</v>
      </c>
      <c r="AD72" s="10">
        <v>2</v>
      </c>
      <c r="AE72" s="10">
        <v>2</v>
      </c>
      <c r="AF72" s="10">
        <v>2</v>
      </c>
      <c r="AG72" s="10">
        <v>0</v>
      </c>
      <c r="AH72" s="9" t="s">
        <v>34</v>
      </c>
      <c r="AI72" s="9" t="s">
        <v>63</v>
      </c>
    </row>
    <row r="73" spans="1:35" x14ac:dyDescent="0.25">
      <c r="A73" s="9" t="s">
        <v>529</v>
      </c>
      <c r="B73" s="1" t="s">
        <v>281</v>
      </c>
      <c r="C73" s="1" t="s">
        <v>173</v>
      </c>
      <c r="D73" s="10">
        <v>2</v>
      </c>
      <c r="E73" s="10">
        <v>2006</v>
      </c>
      <c r="F73" s="9" t="s">
        <v>38</v>
      </c>
      <c r="G73" s="9" t="s">
        <v>54</v>
      </c>
      <c r="H73" s="1">
        <v>10.77</v>
      </c>
      <c r="I73" s="1">
        <v>1.48</v>
      </c>
      <c r="J73" s="9" t="s">
        <v>43</v>
      </c>
      <c r="K73" s="1">
        <v>1</v>
      </c>
      <c r="L73" s="10">
        <v>13</v>
      </c>
      <c r="M73" s="3">
        <v>-0.111</v>
      </c>
      <c r="N73" s="11">
        <v>8.1292483920083328E-2</v>
      </c>
      <c r="O73" t="s">
        <v>63</v>
      </c>
      <c r="P73" s="11">
        <v>-0.1114592770628627</v>
      </c>
      <c r="Q73" s="11">
        <v>0.1</v>
      </c>
      <c r="R73" s="11">
        <v>-0.1172252649063214</v>
      </c>
      <c r="S73" s="11">
        <v>8.1058775881523173E-2</v>
      </c>
      <c r="T73" s="9" t="s">
        <v>40</v>
      </c>
      <c r="U73" s="9" t="s">
        <v>46</v>
      </c>
      <c r="V73" s="9" t="s">
        <v>33</v>
      </c>
      <c r="W73" s="9" t="s">
        <v>264</v>
      </c>
      <c r="X73" s="1">
        <v>9.41</v>
      </c>
      <c r="Y73" s="1">
        <v>15</v>
      </c>
      <c r="Z73" s="3">
        <f t="shared" ref="Z73:Z83" si="3">X73/Y73</f>
        <v>0.6273333333333333</v>
      </c>
      <c r="AA73" s="11">
        <v>-0.1752832376087278</v>
      </c>
      <c r="AB73" s="11">
        <v>0.46436611209214479</v>
      </c>
      <c r="AC73" s="10">
        <v>4</v>
      </c>
      <c r="AD73" s="10">
        <v>4</v>
      </c>
      <c r="AE73" s="10">
        <v>4</v>
      </c>
      <c r="AF73" s="10">
        <v>4</v>
      </c>
      <c r="AG73" s="10">
        <v>0</v>
      </c>
      <c r="AH73" s="9" t="s">
        <v>41</v>
      </c>
      <c r="AI73" s="9" t="s">
        <v>63</v>
      </c>
    </row>
    <row r="74" spans="1:35" x14ac:dyDescent="0.25">
      <c r="A74" s="9" t="s">
        <v>529</v>
      </c>
      <c r="B74" s="1" t="s">
        <v>282</v>
      </c>
      <c r="C74" s="1" t="s">
        <v>174</v>
      </c>
      <c r="D74" s="10">
        <v>2</v>
      </c>
      <c r="E74" s="10">
        <v>2006</v>
      </c>
      <c r="F74" s="9" t="s">
        <v>28</v>
      </c>
      <c r="G74" s="9" t="s">
        <v>54</v>
      </c>
      <c r="H74" s="1">
        <v>10.16</v>
      </c>
      <c r="I74" s="1">
        <v>1.92</v>
      </c>
      <c r="J74" s="9" t="s">
        <v>43</v>
      </c>
      <c r="K74" s="1">
        <v>1</v>
      </c>
      <c r="L74" s="10">
        <v>38</v>
      </c>
      <c r="M74" s="3">
        <v>2.4E-2</v>
      </c>
      <c r="N74" s="11">
        <v>2.699590085881081E-2</v>
      </c>
      <c r="O74" t="s">
        <v>63</v>
      </c>
      <c r="P74" s="11">
        <v>2.4004609593180331E-2</v>
      </c>
      <c r="Q74" s="11">
        <v>2.8571428571428571E-2</v>
      </c>
      <c r="R74" s="11">
        <v>2.435527832469906E-2</v>
      </c>
      <c r="S74" s="11">
        <v>2.6994972775607289E-2</v>
      </c>
      <c r="T74" s="9" t="s">
        <v>40</v>
      </c>
      <c r="U74" s="9" t="s">
        <v>46</v>
      </c>
      <c r="V74" s="9" t="s">
        <v>33</v>
      </c>
      <c r="W74" s="9" t="s">
        <v>264</v>
      </c>
      <c r="X74" s="1">
        <v>16.079999999999998</v>
      </c>
      <c r="Y74" s="1">
        <v>15</v>
      </c>
      <c r="Z74" s="3">
        <f t="shared" si="3"/>
        <v>1.0719999999999998</v>
      </c>
      <c r="AA74" s="11">
        <v>2.2388896779587851E-2</v>
      </c>
      <c r="AB74" s="11">
        <v>0.15544528900255261</v>
      </c>
      <c r="AC74" s="10">
        <v>4</v>
      </c>
      <c r="AD74" s="10">
        <v>4</v>
      </c>
      <c r="AE74" s="10">
        <v>4</v>
      </c>
      <c r="AF74" s="10">
        <v>4</v>
      </c>
      <c r="AG74" s="10">
        <v>0</v>
      </c>
      <c r="AH74" s="9" t="s">
        <v>41</v>
      </c>
      <c r="AI74" s="9" t="s">
        <v>63</v>
      </c>
    </row>
    <row r="75" spans="1:35" x14ac:dyDescent="0.25">
      <c r="A75" s="9" t="s">
        <v>529</v>
      </c>
      <c r="B75" s="1" t="s">
        <v>283</v>
      </c>
      <c r="C75" s="1" t="s">
        <v>175</v>
      </c>
      <c r="D75" s="10">
        <v>2</v>
      </c>
      <c r="E75" s="10">
        <v>2006</v>
      </c>
      <c r="F75" s="9" t="s">
        <v>28</v>
      </c>
      <c r="G75" s="9" t="s">
        <v>54</v>
      </c>
      <c r="H75" s="1">
        <v>10.08</v>
      </c>
      <c r="I75" s="1">
        <v>1.31</v>
      </c>
      <c r="J75" s="9" t="s">
        <v>43</v>
      </c>
      <c r="K75" s="1">
        <v>1</v>
      </c>
      <c r="L75" s="10">
        <v>12</v>
      </c>
      <c r="M75" s="3">
        <v>-0.14299999999999999</v>
      </c>
      <c r="N75" s="11">
        <v>8.7229105600090909E-2</v>
      </c>
      <c r="O75" t="s">
        <v>63</v>
      </c>
      <c r="P75" s="11">
        <v>-0.1439868725985155</v>
      </c>
      <c r="Q75" s="11">
        <v>0.1111111111111111</v>
      </c>
      <c r="R75" s="11">
        <v>-0.15194189364564789</v>
      </c>
      <c r="S75" s="11">
        <v>8.6760027360112055E-2</v>
      </c>
      <c r="T75" s="9" t="s">
        <v>40</v>
      </c>
      <c r="U75" s="9" t="s">
        <v>46</v>
      </c>
      <c r="V75" s="9" t="s">
        <v>33</v>
      </c>
      <c r="W75" s="9" t="s">
        <v>264</v>
      </c>
      <c r="X75" s="1">
        <v>12.16</v>
      </c>
      <c r="Y75" s="1">
        <v>15</v>
      </c>
      <c r="Z75" s="3">
        <f t="shared" si="3"/>
        <v>0.81066666666666665</v>
      </c>
      <c r="AA75" s="11">
        <v>-0.17546464505051221</v>
      </c>
      <c r="AB75" s="11">
        <v>0.37997840209576061</v>
      </c>
      <c r="AC75" s="10">
        <v>4</v>
      </c>
      <c r="AD75" s="10">
        <v>4</v>
      </c>
      <c r="AE75" s="10">
        <v>4</v>
      </c>
      <c r="AF75" s="10">
        <v>4</v>
      </c>
      <c r="AG75" s="10">
        <v>0</v>
      </c>
      <c r="AH75" s="9" t="s">
        <v>41</v>
      </c>
      <c r="AI75" s="9" t="s">
        <v>63</v>
      </c>
    </row>
    <row r="76" spans="1:35" x14ac:dyDescent="0.25">
      <c r="A76" s="9" t="s">
        <v>530</v>
      </c>
      <c r="B76" s="1" t="s">
        <v>285</v>
      </c>
      <c r="C76" s="1" t="s">
        <v>178</v>
      </c>
      <c r="D76" s="10">
        <v>2</v>
      </c>
      <c r="E76" s="10">
        <v>2006</v>
      </c>
      <c r="F76" s="9" t="s">
        <v>38</v>
      </c>
      <c r="G76" s="9" t="s">
        <v>54</v>
      </c>
      <c r="H76" s="1">
        <v>12.4</v>
      </c>
      <c r="I76" s="1">
        <v>1.2</v>
      </c>
      <c r="J76" s="9" t="s">
        <v>30</v>
      </c>
      <c r="K76" s="1">
        <v>0.46200000000000002</v>
      </c>
      <c r="L76" s="10">
        <v>13</v>
      </c>
      <c r="M76" s="3">
        <v>0.59299999999999997</v>
      </c>
      <c r="N76" s="11">
        <v>3.5029918266749997E-2</v>
      </c>
      <c r="O76" t="s">
        <v>63</v>
      </c>
      <c r="P76" s="11">
        <v>0.6822805622337268</v>
      </c>
      <c r="Q76" s="11">
        <v>0.1</v>
      </c>
      <c r="R76" s="11">
        <v>0.61290653388453376</v>
      </c>
      <c r="S76" s="11">
        <v>3.2483950347220882E-2</v>
      </c>
      <c r="T76" s="9" t="s">
        <v>40</v>
      </c>
      <c r="U76" s="9" t="s">
        <v>31</v>
      </c>
      <c r="V76" s="9" t="s">
        <v>33</v>
      </c>
      <c r="W76" s="9" t="s">
        <v>332</v>
      </c>
      <c r="X76" s="1">
        <v>15.3</v>
      </c>
      <c r="Y76" s="1">
        <v>15</v>
      </c>
      <c r="Z76" s="3">
        <f t="shared" si="3"/>
        <v>1.02</v>
      </c>
      <c r="AA76" s="11">
        <v>0.58538297698217201</v>
      </c>
      <c r="AB76" s="11">
        <v>0.24297706410914441</v>
      </c>
      <c r="AC76" s="10">
        <v>4</v>
      </c>
      <c r="AD76" s="10">
        <v>4</v>
      </c>
      <c r="AE76" s="10">
        <v>4</v>
      </c>
      <c r="AF76" s="10">
        <v>4</v>
      </c>
      <c r="AG76" s="10">
        <v>0</v>
      </c>
      <c r="AH76" s="9" t="s">
        <v>34</v>
      </c>
      <c r="AI76" s="9" t="s">
        <v>63</v>
      </c>
    </row>
    <row r="77" spans="1:35" x14ac:dyDescent="0.25">
      <c r="A77" s="9" t="s">
        <v>530</v>
      </c>
      <c r="B77" s="1" t="s">
        <v>287</v>
      </c>
      <c r="C77" s="1" t="s">
        <v>179</v>
      </c>
      <c r="D77" s="10">
        <v>2</v>
      </c>
      <c r="E77" s="10">
        <v>2006</v>
      </c>
      <c r="F77" s="9" t="s">
        <v>28</v>
      </c>
      <c r="G77" s="9" t="s">
        <v>54</v>
      </c>
      <c r="H77" s="1">
        <v>12.3</v>
      </c>
      <c r="I77" s="1">
        <v>0.97</v>
      </c>
      <c r="J77" s="9" t="s">
        <v>30</v>
      </c>
      <c r="K77" s="1">
        <v>0.5</v>
      </c>
      <c r="L77" s="10">
        <v>14</v>
      </c>
      <c r="M77" s="3">
        <v>0.40799999999999997</v>
      </c>
      <c r="N77" s="11">
        <v>5.3444789484307711E-2</v>
      </c>
      <c r="O77" t="s">
        <v>63</v>
      </c>
      <c r="P77" s="11">
        <v>0.43320945091699092</v>
      </c>
      <c r="Q77" s="11">
        <v>9.0909090909090912E-2</v>
      </c>
      <c r="R77" s="11">
        <v>0.42466382032010153</v>
      </c>
      <c r="S77" s="11">
        <v>5.1680274176282279E-2</v>
      </c>
      <c r="T77" s="9" t="s">
        <v>40</v>
      </c>
      <c r="U77" s="9" t="s">
        <v>31</v>
      </c>
      <c r="V77" s="9" t="s">
        <v>33</v>
      </c>
      <c r="W77" s="9" t="s">
        <v>332</v>
      </c>
      <c r="X77" s="1">
        <v>17.5</v>
      </c>
      <c r="Y77" s="1">
        <v>15</v>
      </c>
      <c r="Z77" s="3">
        <f t="shared" si="3"/>
        <v>1.1666666666666667</v>
      </c>
      <c r="AA77" s="11">
        <v>0.35770224278305551</v>
      </c>
      <c r="AB77" s="11">
        <v>0.24174062313102221</v>
      </c>
      <c r="AC77" s="10">
        <v>4</v>
      </c>
      <c r="AD77" s="10">
        <v>4</v>
      </c>
      <c r="AE77" s="10">
        <v>4</v>
      </c>
      <c r="AF77" s="10">
        <v>4</v>
      </c>
      <c r="AG77" s="10">
        <v>0</v>
      </c>
      <c r="AH77" s="9" t="s">
        <v>34</v>
      </c>
      <c r="AI77" s="9" t="s">
        <v>63</v>
      </c>
    </row>
    <row r="78" spans="1:35" x14ac:dyDescent="0.25">
      <c r="A78" s="9" t="s">
        <v>531</v>
      </c>
      <c r="B78" s="1" t="s">
        <v>290</v>
      </c>
      <c r="C78" s="1" t="s">
        <v>181</v>
      </c>
      <c r="D78" s="10">
        <v>2</v>
      </c>
      <c r="E78" s="10">
        <v>2007</v>
      </c>
      <c r="F78" s="9" t="s">
        <v>38</v>
      </c>
      <c r="G78" s="9" t="s">
        <v>54</v>
      </c>
      <c r="H78" s="1">
        <v>10.5</v>
      </c>
      <c r="I78" s="1">
        <v>1.92</v>
      </c>
      <c r="J78" s="9" t="s">
        <v>31</v>
      </c>
      <c r="K78" s="1" t="s">
        <v>31</v>
      </c>
      <c r="L78" s="10">
        <v>20</v>
      </c>
      <c r="M78" s="3">
        <v>-0.55000000000000004</v>
      </c>
      <c r="N78" s="11">
        <v>2.5605592105263159E-2</v>
      </c>
      <c r="O78" t="s">
        <v>63</v>
      </c>
      <c r="P78" s="11">
        <v>-0.61838131357446346</v>
      </c>
      <c r="Q78" s="11">
        <v>5.8823529411764712E-2</v>
      </c>
      <c r="R78" s="11">
        <v>-0.56162834429733666</v>
      </c>
      <c r="S78" s="11">
        <v>2.466531672434804E-2</v>
      </c>
      <c r="T78" s="9" t="s">
        <v>40</v>
      </c>
      <c r="U78" s="9" t="s">
        <v>31</v>
      </c>
      <c r="V78" s="9" t="s">
        <v>33</v>
      </c>
      <c r="W78" s="9" t="s">
        <v>332</v>
      </c>
      <c r="X78" s="1">
        <v>11</v>
      </c>
      <c r="Y78" s="1">
        <v>15</v>
      </c>
      <c r="Z78" s="3">
        <f t="shared" si="3"/>
        <v>0.73333333333333328</v>
      </c>
      <c r="AA78" s="11">
        <v>-0.66815310478106105</v>
      </c>
      <c r="AB78" s="11">
        <v>0.18979230909421041</v>
      </c>
      <c r="AC78" s="10">
        <v>4</v>
      </c>
      <c r="AD78" s="10">
        <v>4</v>
      </c>
      <c r="AE78" s="10">
        <v>4</v>
      </c>
      <c r="AF78" s="10">
        <v>4</v>
      </c>
      <c r="AG78" s="10">
        <v>0</v>
      </c>
      <c r="AH78" s="9" t="s">
        <v>34</v>
      </c>
      <c r="AI78" s="9" t="s">
        <v>63</v>
      </c>
    </row>
    <row r="79" spans="1:35" x14ac:dyDescent="0.25">
      <c r="A79" s="9" t="s">
        <v>531</v>
      </c>
      <c r="B79" s="1" t="s">
        <v>294</v>
      </c>
      <c r="C79" s="1" t="s">
        <v>182</v>
      </c>
      <c r="D79" s="10">
        <v>2</v>
      </c>
      <c r="E79" s="10">
        <v>2007</v>
      </c>
      <c r="F79" s="9" t="s">
        <v>28</v>
      </c>
      <c r="G79" s="9" t="s">
        <v>54</v>
      </c>
      <c r="H79" s="1">
        <v>10.75</v>
      </c>
      <c r="I79" s="1">
        <v>2.33</v>
      </c>
      <c r="J79" s="9" t="s">
        <v>31</v>
      </c>
      <c r="K79" s="1" t="s">
        <v>31</v>
      </c>
      <c r="L79" s="10">
        <v>21</v>
      </c>
      <c r="M79" s="3">
        <v>0.25</v>
      </c>
      <c r="N79" s="11">
        <v>4.39453125E-2</v>
      </c>
      <c r="O79" t="s">
        <v>63</v>
      </c>
      <c r="P79" s="11">
        <v>0.25541281188299542</v>
      </c>
      <c r="Q79" s="11">
        <v>5.5555555555555552E-2</v>
      </c>
      <c r="R79" s="11">
        <v>0.25692709136765018</v>
      </c>
      <c r="S79" s="11">
        <v>4.3616723078622313E-2</v>
      </c>
      <c r="T79" s="9" t="s">
        <v>40</v>
      </c>
      <c r="U79" s="9" t="s">
        <v>31</v>
      </c>
      <c r="V79" s="9" t="s">
        <v>33</v>
      </c>
      <c r="W79" s="9" t="s">
        <v>332</v>
      </c>
      <c r="X79" s="1">
        <v>12</v>
      </c>
      <c r="Y79" s="1">
        <v>15</v>
      </c>
      <c r="Z79" s="3">
        <f t="shared" si="3"/>
        <v>0.8</v>
      </c>
      <c r="AA79" s="11">
        <v>0.30714755841697561</v>
      </c>
      <c r="AB79" s="11">
        <v>0.2636392016201527</v>
      </c>
      <c r="AC79" s="10">
        <v>4</v>
      </c>
      <c r="AD79" s="10">
        <v>4</v>
      </c>
      <c r="AE79" s="10">
        <v>4</v>
      </c>
      <c r="AF79" s="10">
        <v>4</v>
      </c>
      <c r="AG79" s="10">
        <v>0</v>
      </c>
      <c r="AH79" s="9" t="s">
        <v>34</v>
      </c>
      <c r="AI79" s="9" t="s">
        <v>63</v>
      </c>
    </row>
    <row r="80" spans="1:35" x14ac:dyDescent="0.25">
      <c r="A80" s="9" t="s">
        <v>532</v>
      </c>
      <c r="B80" s="1" t="s">
        <v>295</v>
      </c>
      <c r="C80" s="1" t="s">
        <v>184</v>
      </c>
      <c r="D80" s="10">
        <v>3</v>
      </c>
      <c r="E80" s="10">
        <v>2007</v>
      </c>
      <c r="F80" s="9" t="s">
        <v>38</v>
      </c>
      <c r="G80" s="9" t="s">
        <v>29</v>
      </c>
      <c r="H80" s="1">
        <v>58.5</v>
      </c>
      <c r="I80" s="1">
        <v>7.8</v>
      </c>
      <c r="J80" s="9" t="s">
        <v>39</v>
      </c>
      <c r="K80" s="1">
        <v>0</v>
      </c>
      <c r="L80" s="10">
        <v>18</v>
      </c>
      <c r="M80" s="3">
        <v>-0.23</v>
      </c>
      <c r="N80" s="11">
        <v>5.2764612352941193E-2</v>
      </c>
      <c r="O80">
        <v>33</v>
      </c>
      <c r="P80" s="11">
        <v>-0.2341894667593668</v>
      </c>
      <c r="Q80" s="11">
        <v>6.6666666666666666E-2</v>
      </c>
      <c r="R80" s="11">
        <v>-0.23783625031640879</v>
      </c>
      <c r="S80" s="11">
        <v>5.2356915158804911E-2</v>
      </c>
      <c r="T80" s="9" t="s">
        <v>40</v>
      </c>
      <c r="U80" s="9" t="s">
        <v>50</v>
      </c>
      <c r="V80" s="9" t="s">
        <v>33</v>
      </c>
      <c r="W80" s="9" t="s">
        <v>960</v>
      </c>
      <c r="X80" s="1">
        <v>4</v>
      </c>
      <c r="Y80" s="1">
        <v>15</v>
      </c>
      <c r="Z80" s="3">
        <f t="shared" si="3"/>
        <v>0.26666666666666666</v>
      </c>
      <c r="AA80" s="11">
        <v>-0.6632641094102415</v>
      </c>
      <c r="AB80" s="11">
        <v>0.41490758618788021</v>
      </c>
      <c r="AC80" s="10">
        <v>3</v>
      </c>
      <c r="AD80" s="10">
        <v>3</v>
      </c>
      <c r="AE80" s="10">
        <v>3</v>
      </c>
      <c r="AF80" s="10">
        <v>3</v>
      </c>
      <c r="AG80" s="10">
        <v>0</v>
      </c>
      <c r="AH80" s="9" t="s">
        <v>41</v>
      </c>
      <c r="AI80" s="9" t="s">
        <v>263</v>
      </c>
    </row>
    <row r="81" spans="1:35" x14ac:dyDescent="0.25">
      <c r="A81" s="9" t="s">
        <v>532</v>
      </c>
      <c r="B81" s="1" t="s">
        <v>297</v>
      </c>
      <c r="C81" s="1" t="s">
        <v>186</v>
      </c>
      <c r="D81" s="10">
        <v>3</v>
      </c>
      <c r="E81" s="10">
        <v>2007</v>
      </c>
      <c r="F81" s="9" t="s">
        <v>38</v>
      </c>
      <c r="G81" s="9" t="s">
        <v>29</v>
      </c>
      <c r="H81" s="1">
        <v>58.5</v>
      </c>
      <c r="I81" s="1">
        <v>7.8</v>
      </c>
      <c r="J81" s="9" t="s">
        <v>43</v>
      </c>
      <c r="K81" s="1">
        <v>1</v>
      </c>
      <c r="L81" s="10">
        <v>17</v>
      </c>
      <c r="M81" s="3">
        <v>0.18</v>
      </c>
      <c r="N81" s="11">
        <v>5.8515610000000003E-2</v>
      </c>
      <c r="O81">
        <v>34</v>
      </c>
      <c r="P81" s="11">
        <v>0.18198268860070571</v>
      </c>
      <c r="Q81" s="11">
        <v>7.1428571428571425E-2</v>
      </c>
      <c r="R81" s="11">
        <v>0.18677760581242969</v>
      </c>
      <c r="S81" s="11">
        <v>5.8215329758812578E-2</v>
      </c>
      <c r="T81" s="9" t="s">
        <v>40</v>
      </c>
      <c r="U81" s="9" t="s">
        <v>50</v>
      </c>
      <c r="V81" s="9" t="s">
        <v>33</v>
      </c>
      <c r="W81" s="9" t="s">
        <v>960</v>
      </c>
      <c r="X81" s="1">
        <v>4.2</v>
      </c>
      <c r="Y81" s="1">
        <v>15</v>
      </c>
      <c r="Z81" s="3">
        <f t="shared" si="3"/>
        <v>0.28000000000000003</v>
      </c>
      <c r="AA81" s="11">
        <v>0.5470648541060944</v>
      </c>
      <c r="AB81" s="11">
        <v>0.55900705844471155</v>
      </c>
      <c r="AC81" s="10">
        <v>3</v>
      </c>
      <c r="AD81" s="10">
        <v>3</v>
      </c>
      <c r="AE81" s="10">
        <v>3</v>
      </c>
      <c r="AF81" s="10">
        <v>3</v>
      </c>
      <c r="AG81" s="10">
        <v>0</v>
      </c>
      <c r="AH81" s="9" t="s">
        <v>41</v>
      </c>
      <c r="AI81" s="9" t="s">
        <v>263</v>
      </c>
    </row>
    <row r="82" spans="1:35" x14ac:dyDescent="0.25">
      <c r="A82" s="9" t="s">
        <v>532</v>
      </c>
      <c r="B82" s="1" t="s">
        <v>299</v>
      </c>
      <c r="C82" s="1" t="s">
        <v>188</v>
      </c>
      <c r="D82" s="10">
        <v>3</v>
      </c>
      <c r="E82" s="10">
        <v>2007</v>
      </c>
      <c r="F82" s="9" t="s">
        <v>28</v>
      </c>
      <c r="G82" s="9" t="s">
        <v>29</v>
      </c>
      <c r="H82" s="1">
        <v>59.1</v>
      </c>
      <c r="I82" s="1">
        <v>8.6999999999999993</v>
      </c>
      <c r="J82" s="9" t="s">
        <v>39</v>
      </c>
      <c r="K82" s="1">
        <v>0</v>
      </c>
      <c r="L82" s="10">
        <v>12</v>
      </c>
      <c r="M82" s="3">
        <v>-0.02</v>
      </c>
      <c r="N82" s="11">
        <v>9.0836378181818195E-2</v>
      </c>
      <c r="O82">
        <v>34</v>
      </c>
      <c r="P82" s="11">
        <v>-2.000266730684962E-2</v>
      </c>
      <c r="Q82" s="11">
        <v>0.1111111111111111</v>
      </c>
      <c r="R82" s="11">
        <v>-2.1288615557276899E-2</v>
      </c>
      <c r="S82" s="11">
        <v>9.0826708644565379E-2</v>
      </c>
      <c r="T82" s="9" t="s">
        <v>40</v>
      </c>
      <c r="U82" s="9" t="s">
        <v>50</v>
      </c>
      <c r="V82" s="9" t="s">
        <v>33</v>
      </c>
      <c r="W82" s="9" t="s">
        <v>960</v>
      </c>
      <c r="X82" s="1">
        <v>5</v>
      </c>
      <c r="Y82" s="1">
        <v>15</v>
      </c>
      <c r="Z82" s="3">
        <f t="shared" si="3"/>
        <v>0.33333333333333331</v>
      </c>
      <c r="AA82" s="11">
        <v>-5.990422978731539E-2</v>
      </c>
      <c r="AB82" s="11">
        <v>0.94395891674175314</v>
      </c>
      <c r="AC82" s="10">
        <v>3</v>
      </c>
      <c r="AD82" s="10">
        <v>3</v>
      </c>
      <c r="AE82" s="10">
        <v>3</v>
      </c>
      <c r="AF82" s="10">
        <v>3</v>
      </c>
      <c r="AG82" s="10">
        <v>0</v>
      </c>
      <c r="AH82" s="9" t="s">
        <v>41</v>
      </c>
      <c r="AI82" s="9" t="s">
        <v>263</v>
      </c>
    </row>
    <row r="83" spans="1:35" x14ac:dyDescent="0.25">
      <c r="A83" s="9" t="s">
        <v>532</v>
      </c>
      <c r="B83" s="1" t="s">
        <v>300</v>
      </c>
      <c r="C83" s="1" t="s">
        <v>189</v>
      </c>
      <c r="D83" s="10">
        <v>3</v>
      </c>
      <c r="E83" s="10">
        <v>2007</v>
      </c>
      <c r="F83" s="9" t="s">
        <v>28</v>
      </c>
      <c r="G83" s="9" t="s">
        <v>29</v>
      </c>
      <c r="H83" s="1">
        <v>59.1</v>
      </c>
      <c r="I83" s="1">
        <v>8.6999999999999993</v>
      </c>
      <c r="J83" s="9" t="s">
        <v>43</v>
      </c>
      <c r="K83" s="1">
        <v>1</v>
      </c>
      <c r="L83" s="10">
        <v>23</v>
      </c>
      <c r="M83" s="3">
        <v>-0.01</v>
      </c>
      <c r="N83" s="11">
        <v>4.5445455000000003E-2</v>
      </c>
      <c r="O83">
        <v>34</v>
      </c>
      <c r="P83" s="11">
        <v>-1.000033335333477E-2</v>
      </c>
      <c r="Q83" s="11">
        <v>0.05</v>
      </c>
      <c r="R83" s="11">
        <v>-1.026649655540544E-2</v>
      </c>
      <c r="S83" s="11">
        <v>4.544496405483256E-2</v>
      </c>
      <c r="T83" s="9" t="s">
        <v>40</v>
      </c>
      <c r="U83" s="9" t="s">
        <v>50</v>
      </c>
      <c r="V83" s="9" t="s">
        <v>33</v>
      </c>
      <c r="W83" s="9" t="s">
        <v>960</v>
      </c>
      <c r="X83" s="1">
        <v>3.6</v>
      </c>
      <c r="Y83" s="1">
        <v>15</v>
      </c>
      <c r="Z83" s="3">
        <f t="shared" si="3"/>
        <v>0.24000000000000002</v>
      </c>
      <c r="AA83" s="11">
        <v>-4.163262278750423E-2</v>
      </c>
      <c r="AB83" s="11">
        <v>0.90696898288644545</v>
      </c>
      <c r="AC83" s="10">
        <v>3</v>
      </c>
      <c r="AD83" s="10">
        <v>3</v>
      </c>
      <c r="AE83" s="10">
        <v>3</v>
      </c>
      <c r="AF83" s="10">
        <v>3</v>
      </c>
      <c r="AG83" s="10">
        <v>0</v>
      </c>
      <c r="AH83" s="9" t="s">
        <v>41</v>
      </c>
      <c r="AI83" s="9" t="s">
        <v>263</v>
      </c>
    </row>
    <row r="84" spans="1:35" x14ac:dyDescent="0.25">
      <c r="A84" s="9" t="s">
        <v>948</v>
      </c>
      <c r="B84" s="1" t="s">
        <v>260</v>
      </c>
      <c r="C84" s="1" t="s">
        <v>191</v>
      </c>
      <c r="D84" s="10">
        <v>2</v>
      </c>
      <c r="E84" s="10">
        <v>2007</v>
      </c>
      <c r="F84" s="9" t="s">
        <v>38</v>
      </c>
      <c r="G84" s="9" t="s">
        <v>29</v>
      </c>
      <c r="H84" s="1">
        <v>40.1</v>
      </c>
      <c r="I84" s="1">
        <v>4.22</v>
      </c>
      <c r="J84" s="9" t="s">
        <v>30</v>
      </c>
      <c r="K84" s="1">
        <v>0.45</v>
      </c>
      <c r="L84" s="10">
        <v>44</v>
      </c>
      <c r="M84" s="3">
        <v>-0.111</v>
      </c>
      <c r="N84" s="11">
        <v>2.2686274582348839E-2</v>
      </c>
      <c r="O84" t="s">
        <v>63</v>
      </c>
      <c r="P84" s="11">
        <v>-0.1114592770628627</v>
      </c>
      <c r="Q84" s="11">
        <v>2.4390243902439029E-2</v>
      </c>
      <c r="R84" s="11">
        <v>-0.1123778544198813</v>
      </c>
      <c r="S84" s="11">
        <v>2.2672137716532891E-2</v>
      </c>
      <c r="T84" s="9" t="s">
        <v>40</v>
      </c>
      <c r="U84" s="9" t="s">
        <v>31</v>
      </c>
      <c r="V84" s="9" t="s">
        <v>33</v>
      </c>
      <c r="W84" s="9" t="s">
        <v>266</v>
      </c>
      <c r="X84" s="1" t="s">
        <v>31</v>
      </c>
      <c r="Y84" s="1" t="s">
        <v>31</v>
      </c>
      <c r="Z84" s="3" t="s">
        <v>31</v>
      </c>
      <c r="AA84" s="11" t="s">
        <v>31</v>
      </c>
      <c r="AB84" s="11" t="s">
        <v>31</v>
      </c>
      <c r="AC84" s="10">
        <v>3</v>
      </c>
      <c r="AD84" s="10">
        <v>3</v>
      </c>
      <c r="AE84" s="10">
        <v>3</v>
      </c>
      <c r="AF84" s="10">
        <v>3</v>
      </c>
      <c r="AG84" s="10">
        <v>0</v>
      </c>
      <c r="AH84" s="9" t="s">
        <v>34</v>
      </c>
      <c r="AI84" s="9" t="s">
        <v>63</v>
      </c>
    </row>
    <row r="85" spans="1:35" x14ac:dyDescent="0.25">
      <c r="A85" s="9" t="s">
        <v>948</v>
      </c>
      <c r="B85" s="1" t="s">
        <v>471</v>
      </c>
      <c r="C85" s="1" t="s">
        <v>192</v>
      </c>
      <c r="D85" s="10">
        <v>2</v>
      </c>
      <c r="E85" s="10">
        <v>2007</v>
      </c>
      <c r="F85" s="9" t="s">
        <v>38</v>
      </c>
      <c r="G85" s="9" t="s">
        <v>54</v>
      </c>
      <c r="H85" s="1">
        <v>10.47</v>
      </c>
      <c r="I85" s="1">
        <v>2.04</v>
      </c>
      <c r="J85" s="9" t="s">
        <v>30</v>
      </c>
      <c r="K85" s="1">
        <v>0.63</v>
      </c>
      <c r="L85" s="10">
        <v>24</v>
      </c>
      <c r="M85" s="3">
        <v>0.23400000000000001</v>
      </c>
      <c r="N85" s="11">
        <v>3.8847226936347817E-2</v>
      </c>
      <c r="O85" t="s">
        <v>63</v>
      </c>
      <c r="P85" s="11">
        <v>0.23841701736237089</v>
      </c>
      <c r="Q85" s="11">
        <v>4.7619047619047623E-2</v>
      </c>
      <c r="R85" s="11">
        <v>0.23955909157928179</v>
      </c>
      <c r="S85" s="11">
        <v>3.8631144778863542E-2</v>
      </c>
      <c r="T85" s="9" t="s">
        <v>40</v>
      </c>
      <c r="U85" s="9" t="s">
        <v>31</v>
      </c>
      <c r="V85" s="9" t="s">
        <v>33</v>
      </c>
      <c r="W85" s="9" t="s">
        <v>266</v>
      </c>
      <c r="X85" s="1" t="s">
        <v>31</v>
      </c>
      <c r="Y85" s="1" t="s">
        <v>31</v>
      </c>
      <c r="Z85" s="3" t="s">
        <v>31</v>
      </c>
      <c r="AA85" s="11" t="s">
        <v>31</v>
      </c>
      <c r="AB85" s="11" t="s">
        <v>31</v>
      </c>
      <c r="AC85" s="10">
        <v>3</v>
      </c>
      <c r="AD85" s="10">
        <v>3</v>
      </c>
      <c r="AE85" s="10">
        <v>3</v>
      </c>
      <c r="AF85" s="10">
        <v>3</v>
      </c>
      <c r="AG85" s="10">
        <v>0</v>
      </c>
      <c r="AH85" s="9" t="s">
        <v>34</v>
      </c>
      <c r="AI85" s="9" t="s">
        <v>63</v>
      </c>
    </row>
    <row r="86" spans="1:35" x14ac:dyDescent="0.25">
      <c r="A86" s="9" t="s">
        <v>533</v>
      </c>
      <c r="B86" s="1" t="s">
        <v>472</v>
      </c>
      <c r="C86" s="1" t="s">
        <v>194</v>
      </c>
      <c r="D86" s="10">
        <v>2</v>
      </c>
      <c r="E86" s="10">
        <v>2007</v>
      </c>
      <c r="F86" s="9" t="s">
        <v>38</v>
      </c>
      <c r="G86" s="9" t="s">
        <v>29</v>
      </c>
      <c r="H86" s="1">
        <v>28.48</v>
      </c>
      <c r="I86" s="1">
        <v>7.35</v>
      </c>
      <c r="J86" s="9" t="s">
        <v>30</v>
      </c>
      <c r="K86" s="1">
        <v>0.45</v>
      </c>
      <c r="L86" s="10">
        <v>62</v>
      </c>
      <c r="M86" s="3">
        <v>0.28399999999999997</v>
      </c>
      <c r="N86" s="11">
        <v>1.385562934977049E-2</v>
      </c>
      <c r="O86">
        <v>1459</v>
      </c>
      <c r="P86" s="11">
        <v>0.29202765864463048</v>
      </c>
      <c r="Q86" s="11">
        <v>1.6949152542372881E-2</v>
      </c>
      <c r="R86" s="11">
        <v>0.2862531344867304</v>
      </c>
      <c r="S86" s="11">
        <v>1.381692770556571E-2</v>
      </c>
      <c r="T86" s="9" t="s">
        <v>40</v>
      </c>
      <c r="U86" s="9" t="s">
        <v>50</v>
      </c>
      <c r="V86" s="9" t="s">
        <v>33</v>
      </c>
      <c r="W86" s="9" t="s">
        <v>911</v>
      </c>
      <c r="X86" s="1">
        <v>12.53</v>
      </c>
      <c r="Y86" s="1">
        <v>15</v>
      </c>
      <c r="Z86" s="3">
        <f>X86/Y86</f>
        <v>0.83533333333333326</v>
      </c>
      <c r="AA86" s="11">
        <v>0.33419687135120141</v>
      </c>
      <c r="AB86" s="11">
        <v>0.14074570186128471</v>
      </c>
      <c r="AC86" s="10">
        <v>4</v>
      </c>
      <c r="AD86" s="10">
        <v>4</v>
      </c>
      <c r="AE86" s="10">
        <v>4</v>
      </c>
      <c r="AF86" s="10">
        <v>4</v>
      </c>
      <c r="AG86" s="10">
        <v>0</v>
      </c>
      <c r="AH86" s="9" t="s">
        <v>41</v>
      </c>
      <c r="AI86" s="9" t="s">
        <v>35</v>
      </c>
    </row>
    <row r="87" spans="1:35" x14ac:dyDescent="0.25">
      <c r="A87" s="9" t="s">
        <v>534</v>
      </c>
      <c r="B87" s="1" t="s">
        <v>473</v>
      </c>
      <c r="C87" s="1" t="s">
        <v>195</v>
      </c>
      <c r="D87" s="10">
        <v>2</v>
      </c>
      <c r="E87" s="10">
        <v>2007</v>
      </c>
      <c r="F87" s="9" t="s">
        <v>38</v>
      </c>
      <c r="G87" s="9" t="s">
        <v>29</v>
      </c>
      <c r="H87" s="1">
        <v>40.799999999999997</v>
      </c>
      <c r="I87" s="1">
        <v>9.4</v>
      </c>
      <c r="J87" s="9" t="s">
        <v>30</v>
      </c>
      <c r="K87" s="1">
        <v>0.9</v>
      </c>
      <c r="L87" s="10">
        <v>44</v>
      </c>
      <c r="M87" s="3">
        <v>0.376</v>
      </c>
      <c r="N87" s="11">
        <v>1.7145004031999998E-2</v>
      </c>
      <c r="O87" t="s">
        <v>63</v>
      </c>
      <c r="P87" s="11">
        <v>0.39539282506193058</v>
      </c>
      <c r="Q87" s="11">
        <v>2.4390243902439029E-2</v>
      </c>
      <c r="R87" s="11">
        <v>0.38002691869020838</v>
      </c>
      <c r="S87" s="11">
        <v>1.702363607206895E-2</v>
      </c>
      <c r="T87" s="9" t="s">
        <v>40</v>
      </c>
      <c r="U87" s="9" t="s">
        <v>46</v>
      </c>
      <c r="V87" s="9" t="s">
        <v>33</v>
      </c>
      <c r="W87" s="9" t="s">
        <v>247</v>
      </c>
      <c r="X87" s="1" t="s">
        <v>31</v>
      </c>
      <c r="Y87" s="1" t="s">
        <v>31</v>
      </c>
      <c r="Z87" s="3" t="s">
        <v>31</v>
      </c>
      <c r="AA87" s="11" t="s">
        <v>31</v>
      </c>
      <c r="AB87" s="11" t="s">
        <v>31</v>
      </c>
      <c r="AC87" s="10">
        <v>4</v>
      </c>
      <c r="AD87" s="10">
        <v>4</v>
      </c>
      <c r="AE87" s="10">
        <v>4</v>
      </c>
      <c r="AF87" s="10">
        <v>4</v>
      </c>
      <c r="AG87" s="10">
        <v>0</v>
      </c>
      <c r="AH87" s="9" t="s">
        <v>34</v>
      </c>
      <c r="AI87" s="9" t="s">
        <v>63</v>
      </c>
    </row>
    <row r="88" spans="1:35" x14ac:dyDescent="0.25">
      <c r="A88" s="9" t="s">
        <v>534</v>
      </c>
      <c r="B88" s="1" t="s">
        <v>475</v>
      </c>
      <c r="C88" s="1" t="s">
        <v>196</v>
      </c>
      <c r="D88" s="10">
        <v>2</v>
      </c>
      <c r="E88" s="10">
        <v>2007</v>
      </c>
      <c r="F88" s="9" t="s">
        <v>28</v>
      </c>
      <c r="G88" s="9" t="s">
        <v>29</v>
      </c>
      <c r="H88" s="1">
        <v>40.6</v>
      </c>
      <c r="I88" s="1">
        <v>10.4</v>
      </c>
      <c r="J88" s="9" t="s">
        <v>30</v>
      </c>
      <c r="K88" s="1">
        <v>0.9</v>
      </c>
      <c r="L88" s="10">
        <v>43</v>
      </c>
      <c r="M88" s="3">
        <v>0.32</v>
      </c>
      <c r="N88" s="11">
        <v>1.918299428571428E-2</v>
      </c>
      <c r="O88" t="s">
        <v>63</v>
      </c>
      <c r="P88" s="11">
        <v>0.33164710870513209</v>
      </c>
      <c r="Q88" s="11">
        <v>2.5000000000000001E-2</v>
      </c>
      <c r="R88" s="11">
        <v>0.32368291170394098</v>
      </c>
      <c r="S88" s="11">
        <v>1.9081800706968081E-2</v>
      </c>
      <c r="T88" s="9" t="s">
        <v>40</v>
      </c>
      <c r="U88" s="9" t="s">
        <v>46</v>
      </c>
      <c r="V88" s="9" t="s">
        <v>33</v>
      </c>
      <c r="W88" s="9" t="s">
        <v>247</v>
      </c>
      <c r="X88" s="1" t="s">
        <v>31</v>
      </c>
      <c r="Y88" s="1" t="s">
        <v>31</v>
      </c>
      <c r="Z88" s="3" t="s">
        <v>31</v>
      </c>
      <c r="AA88" s="11" t="s">
        <v>31</v>
      </c>
      <c r="AB88" s="11" t="s">
        <v>31</v>
      </c>
      <c r="AC88" s="10">
        <v>4</v>
      </c>
      <c r="AD88" s="10">
        <v>4</v>
      </c>
      <c r="AE88" s="10">
        <v>4</v>
      </c>
      <c r="AF88" s="10">
        <v>4</v>
      </c>
      <c r="AG88" s="10">
        <v>0</v>
      </c>
      <c r="AH88" s="9" t="s">
        <v>34</v>
      </c>
      <c r="AI88" s="9" t="s">
        <v>63</v>
      </c>
    </row>
    <row r="89" spans="1:35" x14ac:dyDescent="0.25">
      <c r="A89" s="9" t="s">
        <v>535</v>
      </c>
      <c r="B89" s="1" t="s">
        <v>477</v>
      </c>
      <c r="C89" s="1" t="s">
        <v>197</v>
      </c>
      <c r="D89" s="10">
        <v>3</v>
      </c>
      <c r="E89" s="10">
        <v>2007</v>
      </c>
      <c r="F89" s="9" t="s">
        <v>38</v>
      </c>
      <c r="G89" s="9" t="s">
        <v>29</v>
      </c>
      <c r="H89" s="1">
        <v>28.24</v>
      </c>
      <c r="I89" s="1">
        <v>7.35</v>
      </c>
      <c r="J89" s="9" t="s">
        <v>30</v>
      </c>
      <c r="K89" s="1">
        <v>0.46200000000000002</v>
      </c>
      <c r="L89" s="10">
        <v>63</v>
      </c>
      <c r="M89" s="3">
        <v>0.36</v>
      </c>
      <c r="N89" s="11">
        <v>1.221929290322581E-2</v>
      </c>
      <c r="O89">
        <v>2165</v>
      </c>
      <c r="P89" s="11">
        <v>0.37688590118818999</v>
      </c>
      <c r="Q89" s="11">
        <v>1.666666666666667E-2</v>
      </c>
      <c r="R89" s="11">
        <v>0.36265308439709931</v>
      </c>
      <c r="S89" s="11">
        <v>1.2165520489245371E-2</v>
      </c>
      <c r="T89" s="9" t="s">
        <v>40</v>
      </c>
      <c r="U89" s="9" t="s">
        <v>46</v>
      </c>
      <c r="V89" s="9" t="s">
        <v>33</v>
      </c>
      <c r="W89" s="9" t="s">
        <v>950</v>
      </c>
      <c r="X89" s="1">
        <v>12.76</v>
      </c>
      <c r="Y89" s="1">
        <v>15</v>
      </c>
      <c r="Z89" s="3">
        <f>X89/Y89</f>
        <v>0.85066666666666668</v>
      </c>
      <c r="AA89" s="11">
        <v>0.41309759570218663</v>
      </c>
      <c r="AB89" s="11">
        <v>0.13060621809804299</v>
      </c>
      <c r="AC89" s="10">
        <v>4</v>
      </c>
      <c r="AD89" s="10">
        <v>4</v>
      </c>
      <c r="AE89" s="10">
        <v>4</v>
      </c>
      <c r="AF89" s="10">
        <v>4</v>
      </c>
      <c r="AG89" s="10">
        <v>2</v>
      </c>
      <c r="AH89" s="9" t="s">
        <v>34</v>
      </c>
      <c r="AI89" s="9" t="s">
        <v>35</v>
      </c>
    </row>
    <row r="90" spans="1:35" x14ac:dyDescent="0.25">
      <c r="A90" s="9" t="s">
        <v>536</v>
      </c>
      <c r="B90" s="1" t="s">
        <v>478</v>
      </c>
      <c r="C90" s="1" t="s">
        <v>199</v>
      </c>
      <c r="D90" s="10">
        <v>2</v>
      </c>
      <c r="E90" s="10">
        <v>2007</v>
      </c>
      <c r="F90" s="9" t="s">
        <v>38</v>
      </c>
      <c r="G90" s="9" t="s">
        <v>29</v>
      </c>
      <c r="H90" s="1">
        <v>34.32</v>
      </c>
      <c r="I90" s="1" t="s">
        <v>31</v>
      </c>
      <c r="J90" s="9" t="s">
        <v>39</v>
      </c>
      <c r="K90" s="1">
        <v>0</v>
      </c>
      <c r="L90" s="10">
        <v>22</v>
      </c>
      <c r="M90" s="3">
        <v>0.60199999999999998</v>
      </c>
      <c r="N90" s="11">
        <v>1.9358507581714288E-2</v>
      </c>
      <c r="O90" t="s">
        <v>63</v>
      </c>
      <c r="P90" s="11">
        <v>0.69627806117193336</v>
      </c>
      <c r="Q90" s="11">
        <v>5.2631578947368418E-2</v>
      </c>
      <c r="R90" s="11">
        <v>0.61230368469517438</v>
      </c>
      <c r="S90" s="11">
        <v>1.8606202582149751E-2</v>
      </c>
      <c r="T90" s="9" t="s">
        <v>40</v>
      </c>
      <c r="U90" s="9" t="s">
        <v>46</v>
      </c>
      <c r="V90" s="9" t="s">
        <v>33</v>
      </c>
      <c r="W90" s="9" t="s">
        <v>911</v>
      </c>
      <c r="X90" s="1" t="s">
        <v>31</v>
      </c>
      <c r="Y90" s="1" t="s">
        <v>31</v>
      </c>
      <c r="Z90" s="3" t="s">
        <v>31</v>
      </c>
      <c r="AA90" s="11" t="s">
        <v>31</v>
      </c>
      <c r="AB90" s="11" t="s">
        <v>31</v>
      </c>
      <c r="AC90" s="10">
        <v>4</v>
      </c>
      <c r="AD90" s="10">
        <v>4</v>
      </c>
      <c r="AE90" s="10">
        <v>4</v>
      </c>
      <c r="AF90" s="10">
        <v>4</v>
      </c>
      <c r="AG90" s="10">
        <v>0</v>
      </c>
      <c r="AH90" s="9" t="s">
        <v>34</v>
      </c>
      <c r="AI90" s="9" t="s">
        <v>63</v>
      </c>
    </row>
    <row r="91" spans="1:35" x14ac:dyDescent="0.25">
      <c r="A91" s="9" t="s">
        <v>536</v>
      </c>
      <c r="B91" s="1" t="s">
        <v>404</v>
      </c>
      <c r="C91" s="1" t="s">
        <v>200</v>
      </c>
      <c r="D91" s="10">
        <v>2</v>
      </c>
      <c r="E91" s="10">
        <v>2007</v>
      </c>
      <c r="F91" s="9" t="s">
        <v>38</v>
      </c>
      <c r="G91" s="9" t="s">
        <v>29</v>
      </c>
      <c r="H91" s="1">
        <v>37.770000000000003</v>
      </c>
      <c r="I91" s="1" t="s">
        <v>31</v>
      </c>
      <c r="J91" s="9" t="s">
        <v>43</v>
      </c>
      <c r="K91" s="1">
        <v>1</v>
      </c>
      <c r="L91" s="10">
        <v>35</v>
      </c>
      <c r="M91" s="3">
        <v>0.32700000000000001</v>
      </c>
      <c r="N91" s="11">
        <v>2.345811208944118E-2</v>
      </c>
      <c r="O91" t="s">
        <v>63</v>
      </c>
      <c r="P91" s="11">
        <v>0.33946535234373981</v>
      </c>
      <c r="Q91" s="11">
        <v>3.125E-2</v>
      </c>
      <c r="R91" s="11">
        <v>0.33170873419353608</v>
      </c>
      <c r="S91" s="11">
        <v>2.3295452435759818E-2</v>
      </c>
      <c r="T91" s="9" t="s">
        <v>40</v>
      </c>
      <c r="U91" s="9" t="s">
        <v>46</v>
      </c>
      <c r="V91" s="9" t="s">
        <v>33</v>
      </c>
      <c r="W91" s="9" t="s">
        <v>911</v>
      </c>
      <c r="X91" s="1" t="s">
        <v>31</v>
      </c>
      <c r="Y91" s="1" t="s">
        <v>31</v>
      </c>
      <c r="Z91" s="3" t="s">
        <v>31</v>
      </c>
      <c r="AA91" s="11" t="s">
        <v>31</v>
      </c>
      <c r="AB91" s="11" t="s">
        <v>31</v>
      </c>
      <c r="AC91" s="10">
        <v>4</v>
      </c>
      <c r="AD91" s="10">
        <v>4</v>
      </c>
      <c r="AE91" s="10">
        <v>4</v>
      </c>
      <c r="AF91" s="10">
        <v>4</v>
      </c>
      <c r="AG91" s="10">
        <v>0</v>
      </c>
      <c r="AH91" s="9" t="s">
        <v>34</v>
      </c>
      <c r="AI91" s="9" t="s">
        <v>63</v>
      </c>
    </row>
    <row r="92" spans="1:35" x14ac:dyDescent="0.25">
      <c r="A92" s="9" t="s">
        <v>536</v>
      </c>
      <c r="B92" s="1" t="s">
        <v>474</v>
      </c>
      <c r="C92" s="1" t="s">
        <v>202</v>
      </c>
      <c r="D92" s="10">
        <v>2</v>
      </c>
      <c r="E92" s="10">
        <v>2007</v>
      </c>
      <c r="F92" s="9" t="s">
        <v>28</v>
      </c>
      <c r="G92" s="9" t="s">
        <v>29</v>
      </c>
      <c r="H92" s="1">
        <v>40.96</v>
      </c>
      <c r="I92" s="1" t="s">
        <v>31</v>
      </c>
      <c r="J92" s="9" t="s">
        <v>39</v>
      </c>
      <c r="K92" s="1">
        <v>0</v>
      </c>
      <c r="L92" s="10">
        <v>69</v>
      </c>
      <c r="M92" s="3">
        <v>0.33600000000000002</v>
      </c>
      <c r="N92" s="11">
        <v>1.157284568847059E-2</v>
      </c>
      <c r="O92" t="s">
        <v>63</v>
      </c>
      <c r="P92" s="11">
        <v>0.34957660231007859</v>
      </c>
      <c r="Q92" s="11">
        <v>1.515151515151515E-2</v>
      </c>
      <c r="R92" s="11">
        <v>0.33829235176734102</v>
      </c>
      <c r="S92" s="11">
        <v>1.153255111270696E-2</v>
      </c>
      <c r="T92" s="9" t="s">
        <v>40</v>
      </c>
      <c r="U92" s="9" t="s">
        <v>46</v>
      </c>
      <c r="V92" s="9" t="s">
        <v>33</v>
      </c>
      <c r="W92" s="9" t="s">
        <v>911</v>
      </c>
      <c r="X92" s="1" t="s">
        <v>31</v>
      </c>
      <c r="Y92" s="1" t="s">
        <v>31</v>
      </c>
      <c r="Z92" s="3" t="s">
        <v>31</v>
      </c>
      <c r="AA92" s="11" t="s">
        <v>31</v>
      </c>
      <c r="AB92" s="11" t="s">
        <v>31</v>
      </c>
      <c r="AC92" s="10">
        <v>4</v>
      </c>
      <c r="AD92" s="10">
        <v>4</v>
      </c>
      <c r="AE92" s="10">
        <v>4</v>
      </c>
      <c r="AF92" s="10">
        <v>4</v>
      </c>
      <c r="AG92" s="10">
        <v>0</v>
      </c>
      <c r="AH92" s="9" t="s">
        <v>34</v>
      </c>
      <c r="AI92" s="9" t="s">
        <v>63</v>
      </c>
    </row>
    <row r="93" spans="1:35" x14ac:dyDescent="0.25">
      <c r="A93" s="9" t="s">
        <v>536</v>
      </c>
      <c r="B93" s="1" t="s">
        <v>479</v>
      </c>
      <c r="C93" s="1" t="s">
        <v>205</v>
      </c>
      <c r="D93" s="10">
        <v>2</v>
      </c>
      <c r="E93" s="10">
        <v>2007</v>
      </c>
      <c r="F93" s="9" t="s">
        <v>28</v>
      </c>
      <c r="G93" s="9" t="s">
        <v>29</v>
      </c>
      <c r="H93" s="1">
        <v>39.64</v>
      </c>
      <c r="I93" s="1" t="s">
        <v>31</v>
      </c>
      <c r="J93" s="9" t="s">
        <v>43</v>
      </c>
      <c r="K93" s="1">
        <v>1</v>
      </c>
      <c r="L93" s="10">
        <v>205</v>
      </c>
      <c r="M93" s="3">
        <v>0.27700000000000002</v>
      </c>
      <c r="N93" s="11">
        <v>4.1785751933382364E-3</v>
      </c>
      <c r="O93" t="s">
        <v>63</v>
      </c>
      <c r="P93" s="11">
        <v>0.2844298169368874</v>
      </c>
      <c r="Q93" s="11">
        <v>4.9504950495049514E-3</v>
      </c>
      <c r="R93" s="11">
        <v>0.27763642161255242</v>
      </c>
      <c r="S93" s="11">
        <v>4.175380719758817E-3</v>
      </c>
      <c r="T93" s="9" t="s">
        <v>40</v>
      </c>
      <c r="U93" s="9" t="s">
        <v>46</v>
      </c>
      <c r="V93" s="9" t="s">
        <v>33</v>
      </c>
      <c r="W93" s="9" t="s">
        <v>911</v>
      </c>
      <c r="X93" s="1" t="s">
        <v>31</v>
      </c>
      <c r="Y93" s="1" t="s">
        <v>31</v>
      </c>
      <c r="Z93" s="3" t="s">
        <v>31</v>
      </c>
      <c r="AA93" s="11" t="s">
        <v>31</v>
      </c>
      <c r="AB93" s="11" t="s">
        <v>31</v>
      </c>
      <c r="AC93" s="10">
        <v>4</v>
      </c>
      <c r="AD93" s="10">
        <v>4</v>
      </c>
      <c r="AE93" s="10">
        <v>4</v>
      </c>
      <c r="AF93" s="10">
        <v>4</v>
      </c>
      <c r="AG93" s="10">
        <v>0</v>
      </c>
      <c r="AH93" s="9" t="s">
        <v>34</v>
      </c>
      <c r="AI93" s="9" t="s">
        <v>63</v>
      </c>
    </row>
    <row r="94" spans="1:35" x14ac:dyDescent="0.25">
      <c r="A94" s="9" t="s">
        <v>537</v>
      </c>
      <c r="B94" s="1" t="s">
        <v>480</v>
      </c>
      <c r="C94" s="1" t="s">
        <v>206</v>
      </c>
      <c r="D94" s="10">
        <v>2</v>
      </c>
      <c r="E94" s="10">
        <v>2007</v>
      </c>
      <c r="F94" s="9" t="s">
        <v>38</v>
      </c>
      <c r="G94" s="9" t="s">
        <v>54</v>
      </c>
      <c r="H94" s="1">
        <v>13.1</v>
      </c>
      <c r="I94" s="1">
        <v>3.1</v>
      </c>
      <c r="J94" s="9" t="s">
        <v>43</v>
      </c>
      <c r="K94" s="1">
        <v>1</v>
      </c>
      <c r="L94" s="10">
        <v>22</v>
      </c>
      <c r="M94" s="3">
        <v>0.41</v>
      </c>
      <c r="N94" s="11">
        <v>3.2955124285714288E-2</v>
      </c>
      <c r="O94">
        <v>489</v>
      </c>
      <c r="P94" s="11">
        <v>0.43561122323622431</v>
      </c>
      <c r="Q94" s="11">
        <v>5.2631578947368418E-2</v>
      </c>
      <c r="R94" s="11">
        <v>0.41938476927712698</v>
      </c>
      <c r="S94" s="11">
        <v>3.234132695067795E-2</v>
      </c>
      <c r="T94" s="9" t="s">
        <v>40</v>
      </c>
      <c r="U94" s="9" t="s">
        <v>50</v>
      </c>
      <c r="V94" s="9" t="s">
        <v>33</v>
      </c>
      <c r="W94" s="9" t="s">
        <v>266</v>
      </c>
      <c r="X94" s="1">
        <v>11</v>
      </c>
      <c r="Y94" s="1">
        <v>15</v>
      </c>
      <c r="Z94" s="3">
        <f>X94/Y94</f>
        <v>0.73333333333333328</v>
      </c>
      <c r="AA94" s="11">
        <v>0.5226101316628321</v>
      </c>
      <c r="AB94" s="11">
        <v>0.22714611923038899</v>
      </c>
      <c r="AC94" s="10">
        <v>3</v>
      </c>
      <c r="AD94" s="10">
        <v>3</v>
      </c>
      <c r="AE94" s="10">
        <v>3</v>
      </c>
      <c r="AF94" s="10">
        <v>3</v>
      </c>
      <c r="AG94" s="10">
        <v>2</v>
      </c>
      <c r="AH94" s="9" t="s">
        <v>41</v>
      </c>
      <c r="AI94" s="9" t="s">
        <v>35</v>
      </c>
    </row>
    <row r="95" spans="1:35" x14ac:dyDescent="0.25">
      <c r="A95" s="9" t="s">
        <v>538</v>
      </c>
      <c r="B95" s="1" t="s">
        <v>481</v>
      </c>
      <c r="C95" s="1" t="s">
        <v>208</v>
      </c>
      <c r="D95" s="10">
        <v>2</v>
      </c>
      <c r="E95" s="10">
        <v>2008</v>
      </c>
      <c r="F95" s="9" t="s">
        <v>38</v>
      </c>
      <c r="G95" s="9" t="s">
        <v>29</v>
      </c>
      <c r="H95" s="1">
        <v>31.5</v>
      </c>
      <c r="I95" s="1">
        <v>11.1</v>
      </c>
      <c r="J95" s="9" t="s">
        <v>30</v>
      </c>
      <c r="K95" s="1">
        <v>0.56000000000000005</v>
      </c>
      <c r="L95" s="10">
        <v>27</v>
      </c>
      <c r="M95" s="3">
        <v>-0.114</v>
      </c>
      <c r="N95" s="11">
        <v>3.7468342154461542E-2</v>
      </c>
      <c r="O95" t="s">
        <v>63</v>
      </c>
      <c r="P95" s="11">
        <v>-0.11449773494107431</v>
      </c>
      <c r="Q95" s="11">
        <v>4.1666666666666657E-2</v>
      </c>
      <c r="R95" s="11">
        <v>-0.11646860404903089</v>
      </c>
      <c r="S95" s="11">
        <v>3.7425159077810591E-2</v>
      </c>
      <c r="T95" s="9" t="s">
        <v>40</v>
      </c>
      <c r="U95" s="9" t="s">
        <v>31</v>
      </c>
      <c r="V95" s="9" t="s">
        <v>33</v>
      </c>
      <c r="W95" s="9" t="s">
        <v>911</v>
      </c>
      <c r="X95" s="1">
        <v>15</v>
      </c>
      <c r="Y95" s="1">
        <v>15</v>
      </c>
      <c r="Z95" s="3">
        <f>X95/Y95</f>
        <v>1</v>
      </c>
      <c r="AA95" s="11">
        <v>-0.114</v>
      </c>
      <c r="AB95" s="11">
        <v>0.19869614993753651</v>
      </c>
      <c r="AC95" s="10">
        <v>4</v>
      </c>
      <c r="AD95" s="10">
        <v>4</v>
      </c>
      <c r="AE95" s="10">
        <v>4</v>
      </c>
      <c r="AF95" s="10">
        <v>4</v>
      </c>
      <c r="AG95" s="10">
        <v>3</v>
      </c>
      <c r="AH95" s="9" t="s">
        <v>41</v>
      </c>
      <c r="AI95" s="9" t="s">
        <v>63</v>
      </c>
    </row>
    <row r="96" spans="1:35" x14ac:dyDescent="0.25">
      <c r="A96" s="9" t="s">
        <v>539</v>
      </c>
      <c r="B96" s="1" t="s">
        <v>476</v>
      </c>
      <c r="C96" s="1" t="s">
        <v>209</v>
      </c>
      <c r="D96" s="10">
        <v>3</v>
      </c>
      <c r="E96" s="10">
        <v>2008</v>
      </c>
      <c r="F96" s="9" t="s">
        <v>38</v>
      </c>
      <c r="G96" s="9" t="s">
        <v>29</v>
      </c>
      <c r="H96" s="1">
        <v>21.6</v>
      </c>
      <c r="I96" s="1">
        <v>2.5</v>
      </c>
      <c r="J96" s="9" t="s">
        <v>30</v>
      </c>
      <c r="K96" s="1">
        <v>0.54300000000000004</v>
      </c>
      <c r="L96" s="10">
        <v>164</v>
      </c>
      <c r="M96" s="3">
        <v>0.35</v>
      </c>
      <c r="N96" s="11">
        <v>4.7239647239263813E-3</v>
      </c>
      <c r="O96">
        <v>10324</v>
      </c>
      <c r="P96" s="11">
        <v>0.36544375427139619</v>
      </c>
      <c r="Q96" s="11">
        <v>6.2111801242236021E-3</v>
      </c>
      <c r="R96" s="11">
        <v>0.3509595882628152</v>
      </c>
      <c r="S96" s="11">
        <v>4.7167253511216541E-3</v>
      </c>
      <c r="T96" s="9" t="s">
        <v>40</v>
      </c>
      <c r="U96" s="9" t="s">
        <v>31</v>
      </c>
      <c r="V96" s="9" t="s">
        <v>33</v>
      </c>
      <c r="W96" s="9" t="s">
        <v>911</v>
      </c>
      <c r="X96" s="1">
        <v>14</v>
      </c>
      <c r="Y96" s="1">
        <v>15</v>
      </c>
      <c r="Z96" s="3">
        <f>X96/Y96</f>
        <v>0.93333333333333335</v>
      </c>
      <c r="AA96" s="11">
        <v>0.37164707312358308</v>
      </c>
      <c r="AB96" s="11">
        <v>7.6758702715616245E-2</v>
      </c>
      <c r="AC96" s="10">
        <v>4</v>
      </c>
      <c r="AD96" s="10">
        <v>4</v>
      </c>
      <c r="AE96" s="10">
        <v>4</v>
      </c>
      <c r="AF96" s="10">
        <v>4</v>
      </c>
      <c r="AG96" s="10">
        <v>0</v>
      </c>
      <c r="AH96" s="9" t="s">
        <v>34</v>
      </c>
      <c r="AI96" s="9" t="s">
        <v>35</v>
      </c>
    </row>
    <row r="97" spans="1:35" x14ac:dyDescent="0.25">
      <c r="A97" s="9" t="s">
        <v>203</v>
      </c>
      <c r="B97" s="1" t="s">
        <v>482</v>
      </c>
      <c r="C97" s="1" t="s">
        <v>211</v>
      </c>
      <c r="D97" s="10">
        <v>2</v>
      </c>
      <c r="E97" s="10">
        <v>2008</v>
      </c>
      <c r="F97" s="9" t="s">
        <v>38</v>
      </c>
      <c r="G97" s="9" t="s">
        <v>29</v>
      </c>
      <c r="H97" s="1">
        <v>51.11</v>
      </c>
      <c r="I97" s="1" t="s">
        <v>31</v>
      </c>
      <c r="J97" s="9" t="s">
        <v>30</v>
      </c>
      <c r="K97" s="1">
        <v>0.43</v>
      </c>
      <c r="L97" s="10">
        <v>55</v>
      </c>
      <c r="M97" s="3">
        <v>0.17899999999999999</v>
      </c>
      <c r="N97" s="11">
        <v>1.73508264015E-2</v>
      </c>
      <c r="O97" t="s">
        <v>63</v>
      </c>
      <c r="P97" s="11">
        <v>0.18094939554247139</v>
      </c>
      <c r="Q97" s="11">
        <v>1.9230769230769228E-2</v>
      </c>
      <c r="R97" s="11">
        <v>0.18070440906671509</v>
      </c>
      <c r="S97" s="11">
        <v>1.7328854115815921E-2</v>
      </c>
      <c r="T97" s="9" t="s">
        <v>40</v>
      </c>
      <c r="U97" s="9" t="s">
        <v>31</v>
      </c>
      <c r="V97" s="9" t="s">
        <v>51</v>
      </c>
      <c r="W97" s="9" t="s">
        <v>961</v>
      </c>
      <c r="X97" s="1">
        <v>15.46</v>
      </c>
      <c r="Y97" s="1">
        <v>16</v>
      </c>
      <c r="Z97" s="3">
        <f>X97/Y97</f>
        <v>0.96625000000000005</v>
      </c>
      <c r="AA97" s="11">
        <v>0.18504167666070401</v>
      </c>
      <c r="AB97" s="11">
        <v>0.139385992547048</v>
      </c>
      <c r="AC97" s="10">
        <v>4</v>
      </c>
      <c r="AD97" s="10">
        <v>2</v>
      </c>
      <c r="AE97" s="10">
        <v>2</v>
      </c>
      <c r="AF97" s="10">
        <v>2</v>
      </c>
      <c r="AG97" s="10">
        <v>0</v>
      </c>
      <c r="AH97" s="9" t="s">
        <v>41</v>
      </c>
      <c r="AI97" s="9" t="s">
        <v>63</v>
      </c>
    </row>
    <row r="98" spans="1:35" x14ac:dyDescent="0.25">
      <c r="A98" s="9" t="s">
        <v>203</v>
      </c>
      <c r="B98" s="1" t="s">
        <v>483</v>
      </c>
      <c r="C98" s="1" t="s">
        <v>212</v>
      </c>
      <c r="D98" s="10">
        <v>2</v>
      </c>
      <c r="E98" s="10">
        <v>2008</v>
      </c>
      <c r="F98" s="9" t="s">
        <v>28</v>
      </c>
      <c r="G98" s="9" t="s">
        <v>29</v>
      </c>
      <c r="H98" s="1">
        <v>59.75</v>
      </c>
      <c r="I98" s="1" t="s">
        <v>31</v>
      </c>
      <c r="J98" s="9" t="s">
        <v>30</v>
      </c>
      <c r="K98" s="1">
        <v>0.25</v>
      </c>
      <c r="L98" s="10">
        <v>32</v>
      </c>
      <c r="M98" s="3">
        <v>-2.1999999999999999E-2</v>
      </c>
      <c r="N98" s="11">
        <v>3.2226846266322579E-2</v>
      </c>
      <c r="O98" t="s">
        <v>63</v>
      </c>
      <c r="P98" s="11">
        <v>-2.2003550364416199E-2</v>
      </c>
      <c r="Q98" s="11">
        <v>3.4482758620689662E-2</v>
      </c>
      <c r="R98" s="11">
        <v>-2.239609242942962E-2</v>
      </c>
      <c r="S98" s="11">
        <v>3.2225712312104943E-2</v>
      </c>
      <c r="T98" s="9" t="s">
        <v>40</v>
      </c>
      <c r="U98" s="9" t="s">
        <v>31</v>
      </c>
      <c r="V98" s="9" t="s">
        <v>51</v>
      </c>
      <c r="W98" s="9" t="s">
        <v>961</v>
      </c>
      <c r="X98" s="1" t="s">
        <v>31</v>
      </c>
      <c r="Y98" s="1" t="s">
        <v>31</v>
      </c>
      <c r="Z98" s="3" t="s">
        <v>31</v>
      </c>
      <c r="AA98" s="11" t="s">
        <v>31</v>
      </c>
      <c r="AB98" s="11" t="s">
        <v>31</v>
      </c>
      <c r="AC98" s="10">
        <v>2</v>
      </c>
      <c r="AD98" s="10">
        <v>2</v>
      </c>
      <c r="AE98" s="10">
        <v>2</v>
      </c>
      <c r="AF98" s="10">
        <v>2</v>
      </c>
      <c r="AG98" s="10">
        <v>0</v>
      </c>
      <c r="AH98" s="9" t="s">
        <v>41</v>
      </c>
      <c r="AI98" s="9" t="s">
        <v>63</v>
      </c>
    </row>
    <row r="99" spans="1:35" x14ac:dyDescent="0.25">
      <c r="A99" s="9" t="s">
        <v>540</v>
      </c>
      <c r="B99" s="1" t="s">
        <v>484</v>
      </c>
      <c r="C99" s="1" t="s">
        <v>213</v>
      </c>
      <c r="D99" s="10">
        <v>2</v>
      </c>
      <c r="E99" s="10">
        <v>2009</v>
      </c>
      <c r="F99" s="9" t="s">
        <v>38</v>
      </c>
      <c r="G99" s="9" t="s">
        <v>54</v>
      </c>
      <c r="H99" s="1">
        <v>9.25</v>
      </c>
      <c r="I99" s="1">
        <v>3.78</v>
      </c>
      <c r="J99" s="9" t="s">
        <v>30</v>
      </c>
      <c r="K99" s="1">
        <v>0.33</v>
      </c>
      <c r="L99" s="10">
        <v>12</v>
      </c>
      <c r="M99" s="3">
        <v>0.23</v>
      </c>
      <c r="N99" s="11">
        <v>8.154531000000001E-2</v>
      </c>
      <c r="O99">
        <v>278</v>
      </c>
      <c r="P99" s="11">
        <v>0.2341894667593668</v>
      </c>
      <c r="Q99" s="11">
        <v>0.1111111111111111</v>
      </c>
      <c r="R99" s="11">
        <v>0.24374492155875069</v>
      </c>
      <c r="S99" s="11">
        <v>8.042786937027542E-2</v>
      </c>
      <c r="T99" s="9" t="s">
        <v>40</v>
      </c>
      <c r="U99" s="9" t="s">
        <v>50</v>
      </c>
      <c r="V99" s="9" t="s">
        <v>33</v>
      </c>
      <c r="W99" s="9" t="s">
        <v>333</v>
      </c>
      <c r="X99" s="1">
        <v>19</v>
      </c>
      <c r="Y99" s="1">
        <v>15</v>
      </c>
      <c r="Z99" s="3">
        <f>X99/Y99</f>
        <v>1.2666666666666666</v>
      </c>
      <c r="AA99" s="11">
        <v>0.1834157997335136</v>
      </c>
      <c r="AB99" s="11">
        <v>0.25040864913848487</v>
      </c>
      <c r="AC99" s="10">
        <v>4</v>
      </c>
      <c r="AD99" s="10">
        <v>4</v>
      </c>
      <c r="AE99" s="10">
        <v>4</v>
      </c>
      <c r="AF99" s="10">
        <v>4</v>
      </c>
      <c r="AG99" s="10">
        <v>0</v>
      </c>
      <c r="AH99" s="9" t="s">
        <v>34</v>
      </c>
      <c r="AI99" s="9" t="s">
        <v>35</v>
      </c>
    </row>
    <row r="100" spans="1:35" x14ac:dyDescent="0.25">
      <c r="A100" s="9" t="s">
        <v>540</v>
      </c>
      <c r="B100" s="1" t="s">
        <v>485</v>
      </c>
      <c r="C100" s="1" t="s">
        <v>215</v>
      </c>
      <c r="D100" s="10">
        <v>2</v>
      </c>
      <c r="E100" s="10">
        <v>2009</v>
      </c>
      <c r="F100" s="9" t="s">
        <v>38</v>
      </c>
      <c r="G100" s="9" t="s">
        <v>54</v>
      </c>
      <c r="H100" s="1">
        <v>12.08</v>
      </c>
      <c r="I100" s="1">
        <v>6.85</v>
      </c>
      <c r="J100" s="9" t="s">
        <v>31</v>
      </c>
      <c r="K100" s="1" t="s">
        <v>31</v>
      </c>
      <c r="L100" s="10">
        <v>11</v>
      </c>
      <c r="M100" s="3">
        <v>-0.11</v>
      </c>
      <c r="N100" s="11">
        <v>9.759464100000001E-2</v>
      </c>
      <c r="O100">
        <v>279</v>
      </c>
      <c r="P100" s="11">
        <v>-0.1104469157900972</v>
      </c>
      <c r="Q100" s="11">
        <v>0.125</v>
      </c>
      <c r="R100" s="11">
        <v>-0.1179748486698466</v>
      </c>
      <c r="S100" s="11">
        <v>9.723575826937339E-2</v>
      </c>
      <c r="T100" s="9" t="s">
        <v>40</v>
      </c>
      <c r="U100" s="9" t="s">
        <v>50</v>
      </c>
      <c r="V100" s="9" t="s">
        <v>51</v>
      </c>
      <c r="W100" s="9" t="s">
        <v>334</v>
      </c>
      <c r="X100" s="1" t="s">
        <v>31</v>
      </c>
      <c r="Y100" s="1" t="s">
        <v>31</v>
      </c>
      <c r="Z100" s="3" t="s">
        <v>31</v>
      </c>
      <c r="AA100" s="11" t="s">
        <v>31</v>
      </c>
      <c r="AB100" s="11" t="s">
        <v>31</v>
      </c>
      <c r="AC100" s="10">
        <v>3</v>
      </c>
      <c r="AD100" s="10">
        <v>2</v>
      </c>
      <c r="AE100" s="10">
        <v>3</v>
      </c>
      <c r="AF100" s="10">
        <v>3</v>
      </c>
      <c r="AG100" s="10">
        <v>0</v>
      </c>
      <c r="AH100" s="9" t="s">
        <v>34</v>
      </c>
      <c r="AI100" s="9" t="s">
        <v>35</v>
      </c>
    </row>
    <row r="101" spans="1:35" x14ac:dyDescent="0.25">
      <c r="A101" s="9" t="s">
        <v>540</v>
      </c>
      <c r="B101" s="1" t="s">
        <v>486</v>
      </c>
      <c r="C101" s="1" t="s">
        <v>217</v>
      </c>
      <c r="D101" s="10">
        <v>2</v>
      </c>
      <c r="E101" s="10">
        <v>2009</v>
      </c>
      <c r="F101" s="9" t="s">
        <v>28</v>
      </c>
      <c r="G101" s="9" t="s">
        <v>54</v>
      </c>
      <c r="H101" s="1">
        <v>16.53</v>
      </c>
      <c r="I101" s="1">
        <v>7.67</v>
      </c>
      <c r="J101" s="9" t="s">
        <v>30</v>
      </c>
      <c r="K101" s="1">
        <v>0.63</v>
      </c>
      <c r="L101" s="10">
        <v>16</v>
      </c>
      <c r="M101" s="3">
        <v>-0.3</v>
      </c>
      <c r="N101" s="11">
        <v>5.5206666666666668E-2</v>
      </c>
      <c r="O101">
        <v>278</v>
      </c>
      <c r="P101" s="11">
        <v>-0.30951960420311181</v>
      </c>
      <c r="Q101" s="11">
        <v>7.6923076923076927E-2</v>
      </c>
      <c r="R101" s="11">
        <v>-0.31137538122174901</v>
      </c>
      <c r="S101" s="11">
        <v>5.4366062922309902E-2</v>
      </c>
      <c r="T101" s="9" t="s">
        <v>40</v>
      </c>
      <c r="U101" s="9" t="s">
        <v>50</v>
      </c>
      <c r="V101" s="9" t="s">
        <v>33</v>
      </c>
      <c r="W101" s="9" t="s">
        <v>333</v>
      </c>
      <c r="X101" s="1">
        <v>25</v>
      </c>
      <c r="Y101" s="1">
        <v>15</v>
      </c>
      <c r="Z101" s="3">
        <f>X101/Y101</f>
        <v>1.6666666666666667</v>
      </c>
      <c r="AA101" s="11">
        <v>-0.1854192697718241</v>
      </c>
      <c r="AB101" s="11">
        <v>0.16720721469345221</v>
      </c>
      <c r="AC101" s="10">
        <v>4</v>
      </c>
      <c r="AD101" s="10">
        <v>4</v>
      </c>
      <c r="AE101" s="10">
        <v>4</v>
      </c>
      <c r="AF101" s="10">
        <v>4</v>
      </c>
      <c r="AG101" s="10">
        <v>0</v>
      </c>
      <c r="AH101" s="9" t="s">
        <v>34</v>
      </c>
      <c r="AI101" s="9" t="s">
        <v>35</v>
      </c>
    </row>
    <row r="102" spans="1:35" x14ac:dyDescent="0.25">
      <c r="A102" s="9" t="s">
        <v>541</v>
      </c>
      <c r="B102" s="1" t="s">
        <v>487</v>
      </c>
      <c r="C102" s="1" t="s">
        <v>219</v>
      </c>
      <c r="D102" s="10">
        <v>2</v>
      </c>
      <c r="E102" s="10">
        <v>2009</v>
      </c>
      <c r="F102" s="9" t="s">
        <v>38</v>
      </c>
      <c r="G102" s="9" t="s">
        <v>54</v>
      </c>
      <c r="H102" s="1">
        <v>10.5</v>
      </c>
      <c r="I102" s="1">
        <v>1.27</v>
      </c>
      <c r="J102" s="9" t="s">
        <v>30</v>
      </c>
      <c r="K102" s="1">
        <v>0.53</v>
      </c>
      <c r="L102" s="10">
        <v>66</v>
      </c>
      <c r="M102" s="3">
        <v>0.25700000000000001</v>
      </c>
      <c r="N102" s="11">
        <v>1.3419453390784611E-2</v>
      </c>
      <c r="O102" t="s">
        <v>63</v>
      </c>
      <c r="P102" s="11">
        <v>0.26289358193624418</v>
      </c>
      <c r="Q102" s="11">
        <v>1.5873015873015869E-2</v>
      </c>
      <c r="R102" s="11">
        <v>0.25893863309950121</v>
      </c>
      <c r="S102" s="11">
        <v>1.33907256293022E-2</v>
      </c>
      <c r="T102" s="9" t="s">
        <v>40</v>
      </c>
      <c r="U102" s="9" t="s">
        <v>50</v>
      </c>
      <c r="V102" s="9" t="s">
        <v>33</v>
      </c>
      <c r="W102" s="9" t="s">
        <v>332</v>
      </c>
      <c r="X102" s="1">
        <v>10.6</v>
      </c>
      <c r="Y102" s="1">
        <v>15</v>
      </c>
      <c r="Z102" s="3">
        <f>X102/Y102</f>
        <v>0.70666666666666667</v>
      </c>
      <c r="AA102" s="11">
        <v>0.35220572380234871</v>
      </c>
      <c r="AB102" s="11">
        <v>0.15527127878135519</v>
      </c>
      <c r="AC102" s="10">
        <v>4</v>
      </c>
      <c r="AD102" s="10">
        <v>4</v>
      </c>
      <c r="AE102" s="10">
        <v>4</v>
      </c>
      <c r="AF102" s="10">
        <v>4</v>
      </c>
      <c r="AG102" s="10">
        <v>0</v>
      </c>
      <c r="AH102" s="9" t="s">
        <v>34</v>
      </c>
      <c r="AI102" s="9" t="s">
        <v>63</v>
      </c>
    </row>
    <row r="103" spans="1:35" x14ac:dyDescent="0.25">
      <c r="A103" s="9" t="s">
        <v>541</v>
      </c>
      <c r="B103" s="1" t="s">
        <v>488</v>
      </c>
      <c r="C103" s="1" t="s">
        <v>220</v>
      </c>
      <c r="D103" s="10">
        <v>2</v>
      </c>
      <c r="E103" s="10">
        <v>2009</v>
      </c>
      <c r="F103" s="9" t="s">
        <v>28</v>
      </c>
      <c r="G103" s="9" t="s">
        <v>54</v>
      </c>
      <c r="H103" s="1">
        <v>10.4</v>
      </c>
      <c r="I103" s="1">
        <v>1.24</v>
      </c>
      <c r="J103" s="9" t="s">
        <v>30</v>
      </c>
      <c r="K103" s="1">
        <v>0.56999999999999995</v>
      </c>
      <c r="L103" s="10">
        <v>47</v>
      </c>
      <c r="M103" s="3">
        <v>0.26400000000000001</v>
      </c>
      <c r="N103" s="11">
        <v>1.8814468096E-2</v>
      </c>
      <c r="O103" t="s">
        <v>63</v>
      </c>
      <c r="P103" s="11">
        <v>0.27040322798896332</v>
      </c>
      <c r="Q103" s="11">
        <v>2.2727272727272731E-2</v>
      </c>
      <c r="R103" s="11">
        <v>0.26686129899624111</v>
      </c>
      <c r="S103" s="11">
        <v>1.875307964593274E-2</v>
      </c>
      <c r="T103" s="9" t="s">
        <v>40</v>
      </c>
      <c r="U103" s="9" t="s">
        <v>50</v>
      </c>
      <c r="V103" s="9" t="s">
        <v>33</v>
      </c>
      <c r="W103" s="9" t="s">
        <v>332</v>
      </c>
      <c r="X103" s="1">
        <v>15.1</v>
      </c>
      <c r="Y103" s="1">
        <v>15</v>
      </c>
      <c r="Z103" s="3">
        <f>X103/Y103</f>
        <v>1.0066666666666666</v>
      </c>
      <c r="AA103" s="11">
        <v>0.26237238376918193</v>
      </c>
      <c r="AB103" s="11">
        <v>0.14302769718003619</v>
      </c>
      <c r="AC103" s="10">
        <v>4</v>
      </c>
      <c r="AD103" s="10">
        <v>4</v>
      </c>
      <c r="AE103" s="10">
        <v>4</v>
      </c>
      <c r="AF103" s="10">
        <v>4</v>
      </c>
      <c r="AG103" s="10">
        <v>0</v>
      </c>
      <c r="AH103" s="9" t="s">
        <v>34</v>
      </c>
      <c r="AI103" s="9" t="s">
        <v>63</v>
      </c>
    </row>
    <row r="104" spans="1:35" x14ac:dyDescent="0.25">
      <c r="A104" s="9" t="s">
        <v>542</v>
      </c>
      <c r="B104" s="1" t="s">
        <v>280</v>
      </c>
      <c r="C104" s="1" t="s">
        <v>222</v>
      </c>
      <c r="D104" s="10">
        <v>2</v>
      </c>
      <c r="E104" s="10">
        <v>2009</v>
      </c>
      <c r="F104" s="9" t="s">
        <v>38</v>
      </c>
      <c r="G104" s="9" t="s">
        <v>29</v>
      </c>
      <c r="H104" s="1">
        <v>78.400000000000006</v>
      </c>
      <c r="I104" s="1">
        <v>1.5</v>
      </c>
      <c r="J104" s="9" t="s">
        <v>30</v>
      </c>
      <c r="K104" s="1">
        <v>0.28999999999999998</v>
      </c>
      <c r="L104" s="10">
        <v>99</v>
      </c>
      <c r="M104" s="3">
        <v>0.21</v>
      </c>
      <c r="N104" s="11">
        <v>9.3239266326530616E-3</v>
      </c>
      <c r="O104">
        <v>5</v>
      </c>
      <c r="P104" s="11">
        <v>0.21317134656485981</v>
      </c>
      <c r="Q104" s="11">
        <v>1.041666666666667E-2</v>
      </c>
      <c r="R104" s="11">
        <v>0.21105815774042161</v>
      </c>
      <c r="S104" s="11">
        <v>9.3152368751664646E-3</v>
      </c>
      <c r="T104" s="9" t="s">
        <v>40</v>
      </c>
      <c r="U104" s="9" t="s">
        <v>50</v>
      </c>
      <c r="V104" s="9" t="s">
        <v>33</v>
      </c>
      <c r="W104" s="9" t="s">
        <v>962</v>
      </c>
      <c r="X104" s="1" t="s">
        <v>31</v>
      </c>
      <c r="Y104" s="1" t="s">
        <v>31</v>
      </c>
      <c r="Z104" s="3" t="s">
        <v>31</v>
      </c>
      <c r="AA104" s="11" t="s">
        <v>31</v>
      </c>
      <c r="AB104" s="11" t="s">
        <v>31</v>
      </c>
      <c r="AC104" s="10">
        <v>3</v>
      </c>
      <c r="AD104" s="10">
        <v>3</v>
      </c>
      <c r="AE104" s="10">
        <v>3</v>
      </c>
      <c r="AF104" s="10">
        <v>3</v>
      </c>
      <c r="AG104" s="10">
        <v>1</v>
      </c>
      <c r="AH104" s="9" t="s">
        <v>41</v>
      </c>
      <c r="AI104" s="9" t="s">
        <v>35</v>
      </c>
    </row>
    <row r="105" spans="1:35" x14ac:dyDescent="0.25">
      <c r="A105" s="9" t="s">
        <v>543</v>
      </c>
      <c r="B105" s="1" t="s">
        <v>489</v>
      </c>
      <c r="C105" s="1" t="s">
        <v>223</v>
      </c>
      <c r="D105" s="10">
        <v>2</v>
      </c>
      <c r="E105" s="10">
        <v>2009</v>
      </c>
      <c r="F105" s="9" t="s">
        <v>38</v>
      </c>
      <c r="G105" s="9" t="s">
        <v>54</v>
      </c>
      <c r="H105" s="1">
        <v>9.1</v>
      </c>
      <c r="I105" s="1">
        <v>0.1</v>
      </c>
      <c r="J105" s="9" t="s">
        <v>30</v>
      </c>
      <c r="K105" s="1">
        <v>0.5</v>
      </c>
      <c r="L105" s="10">
        <v>209</v>
      </c>
      <c r="M105" s="3">
        <v>0.2</v>
      </c>
      <c r="N105" s="11">
        <v>4.4307692307692303E-3</v>
      </c>
      <c r="O105">
        <v>186</v>
      </c>
      <c r="P105" s="11">
        <v>0.20273255405408211</v>
      </c>
      <c r="Q105" s="11">
        <v>4.8543689320388354E-3</v>
      </c>
      <c r="R105" s="11">
        <v>0.2004686545922065</v>
      </c>
      <c r="S105" s="11">
        <v>4.4290369557415266E-3</v>
      </c>
      <c r="T105" s="9" t="s">
        <v>40</v>
      </c>
      <c r="U105" s="9" t="s">
        <v>50</v>
      </c>
      <c r="V105" s="9" t="s">
        <v>51</v>
      </c>
      <c r="W105" s="9" t="s">
        <v>115</v>
      </c>
      <c r="X105" s="1" t="s">
        <v>31</v>
      </c>
      <c r="Y105" s="1" t="s">
        <v>31</v>
      </c>
      <c r="Z105" s="3" t="s">
        <v>31</v>
      </c>
      <c r="AA105" s="11" t="s">
        <v>31</v>
      </c>
      <c r="AB105" s="11" t="s">
        <v>31</v>
      </c>
      <c r="AC105" s="10">
        <v>2</v>
      </c>
      <c r="AD105" s="10">
        <v>2</v>
      </c>
      <c r="AE105" s="10">
        <v>2</v>
      </c>
      <c r="AF105" s="10">
        <v>2</v>
      </c>
      <c r="AG105" s="10">
        <v>1</v>
      </c>
      <c r="AH105" s="9" t="s">
        <v>41</v>
      </c>
      <c r="AI105" s="9" t="s">
        <v>35</v>
      </c>
    </row>
    <row r="106" spans="1:35" x14ac:dyDescent="0.25">
      <c r="A106" s="9" t="s">
        <v>544</v>
      </c>
      <c r="B106" s="1" t="s">
        <v>490</v>
      </c>
      <c r="C106" s="1" t="s">
        <v>224</v>
      </c>
      <c r="D106" s="10">
        <v>2</v>
      </c>
      <c r="E106" s="10">
        <v>2009</v>
      </c>
      <c r="F106" s="9" t="s">
        <v>28</v>
      </c>
      <c r="G106" s="9" t="s">
        <v>29</v>
      </c>
      <c r="H106" s="1">
        <v>32</v>
      </c>
      <c r="I106" s="1">
        <v>7</v>
      </c>
      <c r="J106" s="9" t="s">
        <v>39</v>
      </c>
      <c r="K106" s="1">
        <v>0</v>
      </c>
      <c r="L106" s="10">
        <v>10</v>
      </c>
      <c r="M106" s="3">
        <v>1.7000000000000001E-2</v>
      </c>
      <c r="N106" s="11">
        <v>0.111046898169</v>
      </c>
      <c r="O106" t="s">
        <v>63</v>
      </c>
      <c r="P106" s="11">
        <v>1.7001637950696671E-2</v>
      </c>
      <c r="Q106" s="11">
        <v>0.1428571428571429</v>
      </c>
      <c r="R106" s="11">
        <v>1.8471796364890339E-2</v>
      </c>
      <c r="S106" s="11">
        <v>0.111035300211167</v>
      </c>
      <c r="T106" s="9" t="s">
        <v>40</v>
      </c>
      <c r="U106" s="9" t="s">
        <v>31</v>
      </c>
      <c r="V106" s="9" t="s">
        <v>33</v>
      </c>
      <c r="W106" s="9" t="s">
        <v>963</v>
      </c>
      <c r="X106" s="1" t="s">
        <v>31</v>
      </c>
      <c r="Y106" s="1" t="s">
        <v>31</v>
      </c>
      <c r="Z106" s="3" t="s">
        <v>31</v>
      </c>
      <c r="AA106" s="11" t="s">
        <v>31</v>
      </c>
      <c r="AB106" s="11" t="s">
        <v>31</v>
      </c>
      <c r="AC106" s="10">
        <v>4</v>
      </c>
      <c r="AD106" s="10">
        <v>4</v>
      </c>
      <c r="AE106" s="10">
        <v>4</v>
      </c>
      <c r="AF106" s="10">
        <v>4</v>
      </c>
      <c r="AG106" s="10">
        <v>0</v>
      </c>
      <c r="AH106" s="9" t="s">
        <v>34</v>
      </c>
      <c r="AI106" s="9" t="s">
        <v>63</v>
      </c>
    </row>
    <row r="107" spans="1:35" x14ac:dyDescent="0.25">
      <c r="A107" s="9" t="s">
        <v>544</v>
      </c>
      <c r="B107" s="1" t="s">
        <v>491</v>
      </c>
      <c r="C107" s="1" t="s">
        <v>226</v>
      </c>
      <c r="D107" s="10">
        <v>2</v>
      </c>
      <c r="E107" s="10">
        <v>2009</v>
      </c>
      <c r="F107" s="9" t="s">
        <v>38</v>
      </c>
      <c r="G107" s="9" t="s">
        <v>29</v>
      </c>
      <c r="H107" s="1">
        <v>33</v>
      </c>
      <c r="I107" s="1">
        <v>7</v>
      </c>
      <c r="J107" s="9" t="s">
        <v>39</v>
      </c>
      <c r="K107" s="1">
        <v>0</v>
      </c>
      <c r="L107" s="10">
        <v>25</v>
      </c>
      <c r="M107" s="3">
        <v>0.14899999999999999</v>
      </c>
      <c r="N107" s="11">
        <v>3.9837120183374999E-2</v>
      </c>
      <c r="O107" t="s">
        <v>63</v>
      </c>
      <c r="P107" s="11">
        <v>0.15011757463769079</v>
      </c>
      <c r="Q107" s="11">
        <v>4.5454545454545463E-2</v>
      </c>
      <c r="R107" s="11">
        <v>0.1524999328029909</v>
      </c>
      <c r="S107" s="11">
        <v>3.9751183050039669E-2</v>
      </c>
      <c r="T107" s="9" t="s">
        <v>40</v>
      </c>
      <c r="U107" s="9" t="s">
        <v>31</v>
      </c>
      <c r="V107" s="9" t="s">
        <v>33</v>
      </c>
      <c r="W107" s="9" t="s">
        <v>963</v>
      </c>
      <c r="X107" s="1" t="s">
        <v>31</v>
      </c>
      <c r="Y107" s="1" t="s">
        <v>31</v>
      </c>
      <c r="Z107" s="3" t="s">
        <v>31</v>
      </c>
      <c r="AA107" s="11" t="s">
        <v>31</v>
      </c>
      <c r="AB107" s="11" t="s">
        <v>31</v>
      </c>
      <c r="AC107" s="10">
        <v>4</v>
      </c>
      <c r="AD107" s="10">
        <v>4</v>
      </c>
      <c r="AE107" s="10">
        <v>4</v>
      </c>
      <c r="AF107" s="10">
        <v>4</v>
      </c>
      <c r="AG107" s="10">
        <v>0</v>
      </c>
      <c r="AH107" s="9" t="s">
        <v>34</v>
      </c>
      <c r="AI107" s="9" t="s">
        <v>63</v>
      </c>
    </row>
    <row r="108" spans="1:35" x14ac:dyDescent="0.25">
      <c r="A108" s="9" t="s">
        <v>544</v>
      </c>
      <c r="B108" s="1" t="s">
        <v>492</v>
      </c>
      <c r="C108" s="1" t="s">
        <v>227</v>
      </c>
      <c r="D108" s="10">
        <v>2</v>
      </c>
      <c r="E108" s="10">
        <v>2009</v>
      </c>
      <c r="F108" s="9" t="s">
        <v>28</v>
      </c>
      <c r="G108" s="9" t="s">
        <v>29</v>
      </c>
      <c r="H108" s="1">
        <v>32</v>
      </c>
      <c r="I108" s="1">
        <v>5</v>
      </c>
      <c r="J108" s="9" t="s">
        <v>39</v>
      </c>
      <c r="K108" s="1">
        <v>0</v>
      </c>
      <c r="L108" s="10">
        <v>13</v>
      </c>
      <c r="M108" s="3">
        <v>0.26900000000000002</v>
      </c>
      <c r="N108" s="11">
        <v>7.1709509526749995E-2</v>
      </c>
      <c r="O108" t="s">
        <v>63</v>
      </c>
      <c r="P108" s="11">
        <v>0.27578550398230461</v>
      </c>
      <c r="Q108" s="11">
        <v>0.1</v>
      </c>
      <c r="R108" s="11">
        <v>0.28290969652089382</v>
      </c>
      <c r="S108" s="11">
        <v>7.0527522673894547E-2</v>
      </c>
      <c r="T108" s="9" t="s">
        <v>40</v>
      </c>
      <c r="U108" s="9" t="s">
        <v>31</v>
      </c>
      <c r="V108" s="9" t="s">
        <v>33</v>
      </c>
      <c r="W108" s="9" t="s">
        <v>963</v>
      </c>
      <c r="X108" s="1" t="s">
        <v>31</v>
      </c>
      <c r="Y108" s="1" t="s">
        <v>31</v>
      </c>
      <c r="Z108" s="3" t="s">
        <v>31</v>
      </c>
      <c r="AA108" s="11" t="s">
        <v>31</v>
      </c>
      <c r="AB108" s="11" t="s">
        <v>31</v>
      </c>
      <c r="AC108" s="10">
        <v>4</v>
      </c>
      <c r="AD108" s="10">
        <v>4</v>
      </c>
      <c r="AE108" s="10">
        <v>4</v>
      </c>
      <c r="AF108" s="10">
        <v>4</v>
      </c>
      <c r="AG108" s="10">
        <v>0</v>
      </c>
      <c r="AH108" s="9" t="s">
        <v>34</v>
      </c>
      <c r="AI108" s="9" t="s">
        <v>63</v>
      </c>
    </row>
    <row r="109" spans="1:35" x14ac:dyDescent="0.25">
      <c r="A109" s="9" t="s">
        <v>949</v>
      </c>
      <c r="B109" s="1" t="s">
        <v>493</v>
      </c>
      <c r="C109" s="1" t="s">
        <v>229</v>
      </c>
      <c r="D109" s="10">
        <v>2</v>
      </c>
      <c r="E109" s="10">
        <v>2009</v>
      </c>
      <c r="F109" s="9" t="s">
        <v>28</v>
      </c>
      <c r="G109" s="9" t="s">
        <v>54</v>
      </c>
      <c r="H109" s="1">
        <v>3.72</v>
      </c>
      <c r="I109" s="1">
        <v>0.94</v>
      </c>
      <c r="J109" s="9" t="s">
        <v>30</v>
      </c>
      <c r="K109" s="1">
        <v>0.91</v>
      </c>
      <c r="L109" s="10">
        <v>21</v>
      </c>
      <c r="M109" s="3">
        <v>0.06</v>
      </c>
      <c r="N109" s="11">
        <v>4.9640648000000002E-2</v>
      </c>
      <c r="O109">
        <v>728</v>
      </c>
      <c r="P109" s="11">
        <v>6.0072155921031697E-2</v>
      </c>
      <c r="Q109" s="11">
        <v>5.5555555555555552E-2</v>
      </c>
      <c r="R109" s="11">
        <v>6.1782459808259527E-2</v>
      </c>
      <c r="S109" s="11">
        <v>4.9619021268066513E-2</v>
      </c>
      <c r="T109" s="9" t="s">
        <v>40</v>
      </c>
      <c r="U109" s="9" t="s">
        <v>50</v>
      </c>
      <c r="V109" s="9" t="s">
        <v>33</v>
      </c>
      <c r="W109" s="9" t="s">
        <v>77</v>
      </c>
      <c r="X109" s="1" t="s">
        <v>31</v>
      </c>
      <c r="Y109" s="1" t="s">
        <v>31</v>
      </c>
      <c r="Z109" s="3" t="s">
        <v>31</v>
      </c>
      <c r="AA109" s="11" t="s">
        <v>31</v>
      </c>
      <c r="AB109" s="11" t="s">
        <v>31</v>
      </c>
      <c r="AC109" s="10" t="s">
        <v>31</v>
      </c>
      <c r="AD109" s="10" t="s">
        <v>31</v>
      </c>
      <c r="AE109" s="10" t="s">
        <v>31</v>
      </c>
      <c r="AF109" s="10" t="s">
        <v>31</v>
      </c>
      <c r="AG109" s="10">
        <v>1</v>
      </c>
      <c r="AH109" s="9" t="s">
        <v>41</v>
      </c>
      <c r="AI109" s="9" t="s">
        <v>35</v>
      </c>
    </row>
    <row r="110" spans="1:35" x14ac:dyDescent="0.25">
      <c r="A110" s="9" t="s">
        <v>949</v>
      </c>
      <c r="B110" s="1" t="s">
        <v>494</v>
      </c>
      <c r="C110" s="1" t="s">
        <v>230</v>
      </c>
      <c r="D110" s="10">
        <v>2</v>
      </c>
      <c r="E110" s="10">
        <v>2009</v>
      </c>
      <c r="F110" s="9" t="s">
        <v>28</v>
      </c>
      <c r="G110" s="9" t="s">
        <v>54</v>
      </c>
      <c r="H110" s="1">
        <v>3.44</v>
      </c>
      <c r="I110" s="1">
        <v>1</v>
      </c>
      <c r="J110" s="9" t="s">
        <v>30</v>
      </c>
      <c r="K110" s="1">
        <v>0.92</v>
      </c>
      <c r="L110" s="10">
        <v>10</v>
      </c>
      <c r="M110" s="3">
        <v>0.73</v>
      </c>
      <c r="N110" s="11">
        <v>2.4242490000000009E-2</v>
      </c>
      <c r="O110">
        <v>728</v>
      </c>
      <c r="P110" s="11">
        <v>0.92872736424672486</v>
      </c>
      <c r="Q110" s="11">
        <v>0.1428571428571429</v>
      </c>
      <c r="R110" s="11">
        <v>0.75401272511622819</v>
      </c>
      <c r="S110" s="11">
        <v>2.068465362015626E-2</v>
      </c>
      <c r="T110" s="9" t="s">
        <v>40</v>
      </c>
      <c r="U110" s="9" t="s">
        <v>50</v>
      </c>
      <c r="V110" s="9" t="s">
        <v>33</v>
      </c>
      <c r="W110" s="9" t="s">
        <v>77</v>
      </c>
      <c r="X110" s="1" t="s">
        <v>31</v>
      </c>
      <c r="Y110" s="1" t="s">
        <v>31</v>
      </c>
      <c r="Z110" s="3" t="s">
        <v>31</v>
      </c>
      <c r="AA110" s="11" t="s">
        <v>31</v>
      </c>
      <c r="AB110" s="11" t="s">
        <v>31</v>
      </c>
      <c r="AC110" s="10" t="s">
        <v>31</v>
      </c>
      <c r="AD110" s="10" t="s">
        <v>31</v>
      </c>
      <c r="AE110" s="10" t="s">
        <v>31</v>
      </c>
      <c r="AF110" s="10" t="s">
        <v>31</v>
      </c>
      <c r="AG110" s="10">
        <v>1</v>
      </c>
      <c r="AH110" s="9" t="s">
        <v>41</v>
      </c>
      <c r="AI110" s="9" t="s">
        <v>35</v>
      </c>
    </row>
    <row r="111" spans="1:35" x14ac:dyDescent="0.25">
      <c r="A111" s="9" t="s">
        <v>545</v>
      </c>
      <c r="B111" s="1" t="s">
        <v>495</v>
      </c>
      <c r="C111" s="1" t="s">
        <v>233</v>
      </c>
      <c r="D111" s="10">
        <v>2</v>
      </c>
      <c r="E111" s="10">
        <v>2010</v>
      </c>
      <c r="F111" s="9" t="s">
        <v>38</v>
      </c>
      <c r="G111" s="9" t="s">
        <v>29</v>
      </c>
      <c r="H111" s="1">
        <v>33.340000000000003</v>
      </c>
      <c r="I111" s="1">
        <v>12.6</v>
      </c>
      <c r="J111" s="9" t="s">
        <v>30</v>
      </c>
      <c r="K111" s="1">
        <v>0.42</v>
      </c>
      <c r="L111" s="10">
        <v>67</v>
      </c>
      <c r="M111" s="3">
        <v>0.309</v>
      </c>
      <c r="N111" s="11">
        <v>1.239628214183333E-2</v>
      </c>
      <c r="O111" t="s">
        <v>63</v>
      </c>
      <c r="P111" s="11">
        <v>0.31943947107111492</v>
      </c>
      <c r="Q111" s="11">
        <v>1.5625E-2</v>
      </c>
      <c r="R111" s="11">
        <v>0.31121915621417512</v>
      </c>
      <c r="S111" s="11">
        <v>1.235858518811662E-2</v>
      </c>
      <c r="T111" s="9" t="s">
        <v>40</v>
      </c>
      <c r="U111" s="9" t="s">
        <v>31</v>
      </c>
      <c r="V111" s="9" t="s">
        <v>33</v>
      </c>
      <c r="W111" s="9" t="s">
        <v>151</v>
      </c>
      <c r="X111" s="1">
        <v>13.39</v>
      </c>
      <c r="Y111" s="1">
        <v>15</v>
      </c>
      <c r="Z111" s="3">
        <f>X111/Y111</f>
        <v>0.89266666666666672</v>
      </c>
      <c r="AA111" s="11">
        <v>0.34201628126269967</v>
      </c>
      <c r="AB111" s="11">
        <v>0.1274663964086358</v>
      </c>
      <c r="AC111" s="10">
        <v>4</v>
      </c>
      <c r="AD111" s="10">
        <v>4</v>
      </c>
      <c r="AE111" s="10">
        <v>4</v>
      </c>
      <c r="AF111" s="10">
        <v>4</v>
      </c>
      <c r="AG111" s="10">
        <v>0</v>
      </c>
      <c r="AH111" s="9" t="s">
        <v>34</v>
      </c>
      <c r="AI111" s="9" t="s">
        <v>63</v>
      </c>
    </row>
    <row r="112" spans="1:35" x14ac:dyDescent="0.25">
      <c r="A112" s="9" t="s">
        <v>545</v>
      </c>
      <c r="B112" s="1" t="s">
        <v>403</v>
      </c>
      <c r="C112" s="1" t="s">
        <v>235</v>
      </c>
      <c r="D112" s="10">
        <v>2</v>
      </c>
      <c r="E112" s="10">
        <v>2010</v>
      </c>
      <c r="F112" s="9" t="s">
        <v>28</v>
      </c>
      <c r="G112" s="9" t="s">
        <v>29</v>
      </c>
      <c r="H112" s="1">
        <v>36.090000000000003</v>
      </c>
      <c r="I112" s="1" t="s">
        <v>31</v>
      </c>
      <c r="J112" s="9" t="s">
        <v>30</v>
      </c>
      <c r="K112" s="1">
        <v>0.35</v>
      </c>
      <c r="L112" s="10">
        <v>77</v>
      </c>
      <c r="M112" s="3">
        <v>0.20599999999999999</v>
      </c>
      <c r="N112" s="11">
        <v>1.206485281705263E-2</v>
      </c>
      <c r="O112" t="s">
        <v>63</v>
      </c>
      <c r="P112" s="11">
        <v>0.20899045801999749</v>
      </c>
      <c r="Q112" s="11">
        <v>1.3513513513513511E-2</v>
      </c>
      <c r="R112" s="11">
        <v>0.20735385795641101</v>
      </c>
      <c r="S112" s="11">
        <v>1.205075498325734E-2</v>
      </c>
      <c r="T112" s="9" t="s">
        <v>40</v>
      </c>
      <c r="U112" s="9" t="s">
        <v>31</v>
      </c>
      <c r="V112" s="9" t="s">
        <v>33</v>
      </c>
      <c r="W112" s="9" t="s">
        <v>151</v>
      </c>
      <c r="X112" s="1" t="s">
        <v>31</v>
      </c>
      <c r="Y112" s="1" t="s">
        <v>31</v>
      </c>
      <c r="Z112" s="3" t="s">
        <v>31</v>
      </c>
      <c r="AA112" s="11" t="s">
        <v>31</v>
      </c>
      <c r="AB112" s="11" t="s">
        <v>31</v>
      </c>
      <c r="AC112" s="10">
        <v>4</v>
      </c>
      <c r="AD112" s="10">
        <v>4</v>
      </c>
      <c r="AE112" s="10">
        <v>4</v>
      </c>
      <c r="AF112" s="10">
        <v>4</v>
      </c>
      <c r="AG112" s="10">
        <v>0</v>
      </c>
      <c r="AH112" s="9" t="s">
        <v>34</v>
      </c>
      <c r="AI112" s="9" t="s">
        <v>63</v>
      </c>
    </row>
    <row r="113" spans="1:35" x14ac:dyDescent="0.25">
      <c r="A113" s="9" t="s">
        <v>231</v>
      </c>
      <c r="B113" s="1" t="s">
        <v>496</v>
      </c>
      <c r="C113" s="1" t="s">
        <v>236</v>
      </c>
      <c r="D113" s="10">
        <v>2</v>
      </c>
      <c r="E113" s="10">
        <v>2010</v>
      </c>
      <c r="F113" s="9" t="s">
        <v>38</v>
      </c>
      <c r="G113" s="9" t="s">
        <v>29</v>
      </c>
      <c r="H113" s="1">
        <v>68.69</v>
      </c>
      <c r="I113" s="1">
        <v>0.67</v>
      </c>
      <c r="J113" s="9" t="s">
        <v>30</v>
      </c>
      <c r="K113" s="1">
        <v>0.53</v>
      </c>
      <c r="L113" s="10">
        <v>234</v>
      </c>
      <c r="M113" s="3">
        <v>0.105</v>
      </c>
      <c r="N113" s="11">
        <v>4.1977319769313307E-3</v>
      </c>
      <c r="O113" t="s">
        <v>63</v>
      </c>
      <c r="P113" s="11">
        <v>0.10538844783849891</v>
      </c>
      <c r="Q113" s="11">
        <v>4.329004329004329E-3</v>
      </c>
      <c r="R113" s="11">
        <v>0.1052259645414747</v>
      </c>
      <c r="S113" s="11">
        <v>4.197328725789303E-3</v>
      </c>
      <c r="T113" s="9" t="s">
        <v>40</v>
      </c>
      <c r="U113" s="9" t="s">
        <v>46</v>
      </c>
      <c r="V113" s="9" t="s">
        <v>51</v>
      </c>
      <c r="W113" s="9" t="s">
        <v>115</v>
      </c>
      <c r="X113" s="1">
        <v>7.74</v>
      </c>
      <c r="Y113" s="1">
        <v>7.5</v>
      </c>
      <c r="Z113" s="3">
        <f>X113/Y113</f>
        <v>1.032</v>
      </c>
      <c r="AA113" s="11">
        <v>0.1017784463975641</v>
      </c>
      <c r="AB113" s="11">
        <v>6.332972664121557E-2</v>
      </c>
      <c r="AC113" s="10">
        <v>2</v>
      </c>
      <c r="AD113" s="10">
        <v>2</v>
      </c>
      <c r="AE113" s="10">
        <v>2</v>
      </c>
      <c r="AF113" s="10">
        <v>2</v>
      </c>
      <c r="AG113" s="10">
        <v>0</v>
      </c>
      <c r="AH113" s="9" t="s">
        <v>41</v>
      </c>
      <c r="AI113" s="9" t="s">
        <v>63</v>
      </c>
    </row>
    <row r="114" spans="1:35" x14ac:dyDescent="0.25">
      <c r="A114" s="9" t="s">
        <v>546</v>
      </c>
      <c r="B114" s="1" t="s">
        <v>497</v>
      </c>
      <c r="C114" s="1" t="s">
        <v>238</v>
      </c>
      <c r="D114" s="10">
        <v>2</v>
      </c>
      <c r="E114" s="10">
        <v>2010</v>
      </c>
      <c r="F114" s="9" t="s">
        <v>38</v>
      </c>
      <c r="G114" s="9" t="s">
        <v>54</v>
      </c>
      <c r="H114" s="1">
        <v>15.75</v>
      </c>
      <c r="I114" s="1">
        <v>1.1299999999999999</v>
      </c>
      <c r="J114" s="9" t="s">
        <v>39</v>
      </c>
      <c r="K114" s="1">
        <v>0</v>
      </c>
      <c r="L114" s="10">
        <v>24</v>
      </c>
      <c r="M114" s="3">
        <v>0</v>
      </c>
      <c r="N114" s="11">
        <v>4.3478260869565223E-2</v>
      </c>
      <c r="O114" t="s">
        <v>63</v>
      </c>
      <c r="P114" s="11">
        <v>0</v>
      </c>
      <c r="Q114" s="11">
        <v>4.7619047619047623E-2</v>
      </c>
      <c r="R114" s="11">
        <v>0</v>
      </c>
      <c r="S114" s="11">
        <v>4.3478260869565223E-2</v>
      </c>
      <c r="T114" s="9" t="s">
        <v>40</v>
      </c>
      <c r="U114" s="9" t="s">
        <v>50</v>
      </c>
      <c r="V114" s="9" t="s">
        <v>33</v>
      </c>
      <c r="W114" s="9" t="s">
        <v>956</v>
      </c>
      <c r="X114" s="1">
        <v>13.9</v>
      </c>
      <c r="Y114" s="1">
        <v>15</v>
      </c>
      <c r="Z114" s="3">
        <f>X114/Y114</f>
        <v>0.92666666666666664</v>
      </c>
      <c r="AA114" s="11">
        <v>0</v>
      </c>
      <c r="AB114" s="11" t="s">
        <v>31</v>
      </c>
      <c r="AC114" s="10">
        <v>4</v>
      </c>
      <c r="AD114" s="10">
        <v>4</v>
      </c>
      <c r="AE114" s="10">
        <v>4</v>
      </c>
      <c r="AF114" s="10">
        <v>4</v>
      </c>
      <c r="AG114" s="10">
        <v>4</v>
      </c>
      <c r="AH114" s="9" t="s">
        <v>34</v>
      </c>
      <c r="AI114" s="9" t="s">
        <v>63</v>
      </c>
    </row>
    <row r="115" spans="1:35" x14ac:dyDescent="0.25">
      <c r="A115" s="9" t="s">
        <v>546</v>
      </c>
      <c r="B115" s="1" t="s">
        <v>981</v>
      </c>
      <c r="C115" s="1" t="s">
        <v>241</v>
      </c>
      <c r="D115" s="10">
        <v>2</v>
      </c>
      <c r="E115" s="10">
        <v>2010</v>
      </c>
      <c r="F115" s="9" t="s">
        <v>38</v>
      </c>
      <c r="G115" s="9" t="s">
        <v>54</v>
      </c>
      <c r="H115" s="1">
        <v>15.75</v>
      </c>
      <c r="I115" s="1">
        <v>1.1299999999999999</v>
      </c>
      <c r="J115" s="9" t="s">
        <v>43</v>
      </c>
      <c r="K115" s="1">
        <v>1</v>
      </c>
      <c r="L115" s="10">
        <v>26</v>
      </c>
      <c r="M115" s="3">
        <v>0.36399999999999999</v>
      </c>
      <c r="N115" s="11">
        <v>3.010252760064001E-2</v>
      </c>
      <c r="O115">
        <v>360</v>
      </c>
      <c r="P115" s="11">
        <v>0.3814891375316426</v>
      </c>
      <c r="Q115" s="11">
        <v>4.3478260869565223E-2</v>
      </c>
      <c r="R115" s="11">
        <v>0.37115088511412991</v>
      </c>
      <c r="S115" s="11">
        <v>2.973879697299639E-2</v>
      </c>
      <c r="T115" s="9" t="s">
        <v>40</v>
      </c>
      <c r="U115" s="9" t="s">
        <v>50</v>
      </c>
      <c r="V115" s="9" t="s">
        <v>33</v>
      </c>
      <c r="W115" s="9" t="s">
        <v>956</v>
      </c>
      <c r="X115" s="1">
        <v>13.1</v>
      </c>
      <c r="Y115" s="1">
        <v>15</v>
      </c>
      <c r="Z115" s="3">
        <f>X115/Y115</f>
        <v>0.87333333333333329</v>
      </c>
      <c r="AA115" s="11">
        <v>0.40846030431862868</v>
      </c>
      <c r="AB115" s="11">
        <v>0.20489700678850811</v>
      </c>
      <c r="AC115" s="10">
        <v>4</v>
      </c>
      <c r="AD115" s="10">
        <v>4</v>
      </c>
      <c r="AE115" s="10">
        <v>4</v>
      </c>
      <c r="AF115" s="10">
        <v>4</v>
      </c>
      <c r="AG115" s="10">
        <v>4</v>
      </c>
      <c r="AH115" s="9" t="s">
        <v>34</v>
      </c>
      <c r="AI115" s="9" t="s">
        <v>35</v>
      </c>
    </row>
    <row r="116" spans="1:35" x14ac:dyDescent="0.25">
      <c r="A116" s="9" t="s">
        <v>547</v>
      </c>
      <c r="B116" s="1" t="s">
        <v>982</v>
      </c>
      <c r="C116" s="1" t="s">
        <v>243</v>
      </c>
      <c r="D116" s="10">
        <v>2</v>
      </c>
      <c r="E116" s="10">
        <v>2010</v>
      </c>
      <c r="F116" s="9" t="s">
        <v>38</v>
      </c>
      <c r="G116" s="9" t="s">
        <v>54</v>
      </c>
      <c r="H116" s="1">
        <v>10.88</v>
      </c>
      <c r="I116" s="1" t="s">
        <v>31</v>
      </c>
      <c r="J116" s="9" t="s">
        <v>39</v>
      </c>
      <c r="K116" s="1">
        <v>0</v>
      </c>
      <c r="L116" s="10">
        <v>166</v>
      </c>
      <c r="M116" s="3">
        <v>0.22</v>
      </c>
      <c r="N116" s="11">
        <v>5.4881367272727284E-3</v>
      </c>
      <c r="O116">
        <v>304</v>
      </c>
      <c r="P116" s="11">
        <v>0.22365610902183239</v>
      </c>
      <c r="Q116" s="11">
        <v>6.1349693251533744E-3</v>
      </c>
      <c r="R116" s="11">
        <v>0.22064670207488071</v>
      </c>
      <c r="S116" s="11">
        <v>5.4848502530426783E-3</v>
      </c>
      <c r="T116" s="9" t="s">
        <v>40</v>
      </c>
      <c r="U116" s="9" t="s">
        <v>50</v>
      </c>
      <c r="V116" s="9" t="s">
        <v>33</v>
      </c>
      <c r="W116" s="9" t="s">
        <v>266</v>
      </c>
      <c r="X116" s="1" t="s">
        <v>31</v>
      </c>
      <c r="Y116" s="1" t="s">
        <v>31</v>
      </c>
      <c r="Z116" s="3" t="s">
        <v>31</v>
      </c>
      <c r="AA116" s="11" t="s">
        <v>31</v>
      </c>
      <c r="AB116" s="11" t="s">
        <v>31</v>
      </c>
      <c r="AC116" s="10">
        <v>3</v>
      </c>
      <c r="AD116" s="10">
        <v>3</v>
      </c>
      <c r="AE116" s="10">
        <v>3</v>
      </c>
      <c r="AF116" s="10">
        <v>3</v>
      </c>
      <c r="AG116" s="10">
        <v>0</v>
      </c>
      <c r="AH116" s="9" t="s">
        <v>41</v>
      </c>
      <c r="AI116" s="9" t="s">
        <v>35</v>
      </c>
    </row>
    <row r="117" spans="1:35" x14ac:dyDescent="0.25">
      <c r="A117" s="9" t="s">
        <v>547</v>
      </c>
      <c r="B117" s="1" t="s">
        <v>983</v>
      </c>
      <c r="C117" s="1" t="s">
        <v>246</v>
      </c>
      <c r="D117" s="10">
        <v>2</v>
      </c>
      <c r="E117" s="10">
        <v>2010</v>
      </c>
      <c r="F117" s="9" t="s">
        <v>38</v>
      </c>
      <c r="G117" s="9" t="s">
        <v>54</v>
      </c>
      <c r="H117" s="1">
        <v>10.95</v>
      </c>
      <c r="I117" s="1" t="s">
        <v>31</v>
      </c>
      <c r="J117" s="9" t="s">
        <v>43</v>
      </c>
      <c r="K117" s="1">
        <v>1</v>
      </c>
      <c r="L117" s="10">
        <v>143</v>
      </c>
      <c r="M117" s="3">
        <v>0.23</v>
      </c>
      <c r="N117" s="11">
        <v>6.3168902112676062E-3</v>
      </c>
      <c r="O117">
        <v>304</v>
      </c>
      <c r="P117" s="11">
        <v>0.2341894667593668</v>
      </c>
      <c r="Q117" s="11">
        <v>7.1428571428571426E-3</v>
      </c>
      <c r="R117" s="11">
        <v>0.23078429487174809</v>
      </c>
      <c r="S117" s="11">
        <v>6.3120703818783869E-3</v>
      </c>
      <c r="T117" s="9" t="s">
        <v>40</v>
      </c>
      <c r="U117" s="9" t="s">
        <v>50</v>
      </c>
      <c r="V117" s="9" t="s">
        <v>33</v>
      </c>
      <c r="W117" s="9" t="s">
        <v>266</v>
      </c>
      <c r="X117" s="1" t="s">
        <v>31</v>
      </c>
      <c r="Y117" s="1" t="s">
        <v>31</v>
      </c>
      <c r="Z117" s="3" t="s">
        <v>31</v>
      </c>
      <c r="AA117" s="11" t="s">
        <v>31</v>
      </c>
      <c r="AB117" s="11" t="s">
        <v>31</v>
      </c>
      <c r="AC117" s="10">
        <v>3</v>
      </c>
      <c r="AD117" s="10">
        <v>3</v>
      </c>
      <c r="AE117" s="10">
        <v>3</v>
      </c>
      <c r="AF117" s="10">
        <v>3</v>
      </c>
      <c r="AG117" s="10">
        <v>0</v>
      </c>
      <c r="AH117" s="9" t="s">
        <v>41</v>
      </c>
      <c r="AI117" s="9" t="s">
        <v>35</v>
      </c>
    </row>
    <row r="118" spans="1:35" x14ac:dyDescent="0.25">
      <c r="A118" s="9" t="s">
        <v>548</v>
      </c>
      <c r="B118" s="1" t="s">
        <v>984</v>
      </c>
      <c r="C118" s="1" t="s">
        <v>250</v>
      </c>
      <c r="D118" s="10">
        <v>2</v>
      </c>
      <c r="E118" s="10">
        <v>2010</v>
      </c>
      <c r="F118" s="9" t="s">
        <v>38</v>
      </c>
      <c r="G118" s="9" t="s">
        <v>54</v>
      </c>
      <c r="H118" s="1">
        <v>11.8</v>
      </c>
      <c r="I118" s="1">
        <v>3.8</v>
      </c>
      <c r="J118" s="9" t="s">
        <v>30</v>
      </c>
      <c r="K118" s="1">
        <v>0.48</v>
      </c>
      <c r="L118" s="10">
        <v>649</v>
      </c>
      <c r="M118" s="3">
        <v>0.13500000000000001</v>
      </c>
      <c r="N118" s="11">
        <v>1.4874724546682101E-3</v>
      </c>
      <c r="O118" t="s">
        <v>239</v>
      </c>
      <c r="P118" s="11">
        <v>0.1358292114918119</v>
      </c>
      <c r="Q118" s="11">
        <v>1.5479876160990711E-3</v>
      </c>
      <c r="R118" s="11">
        <v>0.13510277713273541</v>
      </c>
      <c r="S118" s="11">
        <v>1.4873883371664539E-3</v>
      </c>
      <c r="T118" s="9" t="s">
        <v>40</v>
      </c>
      <c r="U118" s="9" t="s">
        <v>50</v>
      </c>
      <c r="V118" s="9" t="s">
        <v>33</v>
      </c>
      <c r="W118" s="9" t="s">
        <v>266</v>
      </c>
      <c r="X118" s="1" t="s">
        <v>31</v>
      </c>
      <c r="Y118" s="1" t="s">
        <v>31</v>
      </c>
      <c r="Z118" s="3" t="s">
        <v>31</v>
      </c>
      <c r="AA118" s="11" t="s">
        <v>31</v>
      </c>
      <c r="AB118" s="11" t="s">
        <v>31</v>
      </c>
      <c r="AC118" s="10">
        <v>3</v>
      </c>
      <c r="AD118" s="10">
        <v>3</v>
      </c>
      <c r="AE118" s="10">
        <v>3</v>
      </c>
      <c r="AF118" s="10">
        <v>3</v>
      </c>
      <c r="AG118" s="10">
        <v>0</v>
      </c>
      <c r="AH118" s="9" t="s">
        <v>41</v>
      </c>
      <c r="AI118" s="9" t="s">
        <v>35</v>
      </c>
    </row>
    <row r="119" spans="1:35" x14ac:dyDescent="0.25">
      <c r="A119" s="9" t="s">
        <v>549</v>
      </c>
      <c r="B119" s="1" t="s">
        <v>985</v>
      </c>
      <c r="C119" s="1" t="s">
        <v>261</v>
      </c>
      <c r="D119" s="10">
        <v>2</v>
      </c>
      <c r="E119" s="10">
        <v>2011</v>
      </c>
      <c r="F119" s="9" t="s">
        <v>38</v>
      </c>
      <c r="G119" s="9" t="s">
        <v>29</v>
      </c>
      <c r="H119" s="1">
        <v>18.5</v>
      </c>
      <c r="I119" s="1">
        <v>1.4</v>
      </c>
      <c r="J119" s="9" t="s">
        <v>43</v>
      </c>
      <c r="K119" s="1">
        <v>1</v>
      </c>
      <c r="L119" s="10">
        <v>14</v>
      </c>
      <c r="M119" s="3">
        <v>0.56999999999999995</v>
      </c>
      <c r="N119" s="11">
        <v>3.5058462307692322E-2</v>
      </c>
      <c r="O119">
        <v>1060</v>
      </c>
      <c r="P119" s="11">
        <v>0.64752284482737277</v>
      </c>
      <c r="Q119" s="11">
        <v>9.0909090909090912E-2</v>
      </c>
      <c r="R119" s="11">
        <v>0.58817773848843979</v>
      </c>
      <c r="S119" s="11">
        <v>3.2905954624484202E-2</v>
      </c>
      <c r="T119" s="9" t="s">
        <v>40</v>
      </c>
      <c r="U119" s="9" t="s">
        <v>50</v>
      </c>
      <c r="V119" s="9" t="s">
        <v>33</v>
      </c>
      <c r="W119" s="9" t="s">
        <v>242</v>
      </c>
      <c r="X119" s="1">
        <v>13.9</v>
      </c>
      <c r="Y119" s="1">
        <v>15</v>
      </c>
      <c r="Z119" s="3">
        <f>X119/Y119</f>
        <v>0.92666666666666664</v>
      </c>
      <c r="AA119" s="11">
        <v>0.59929789763747843</v>
      </c>
      <c r="AB119" s="11">
        <v>0.23672504559744059</v>
      </c>
      <c r="AC119" s="10">
        <v>3</v>
      </c>
      <c r="AD119" s="10">
        <v>3</v>
      </c>
      <c r="AE119" s="10">
        <v>3</v>
      </c>
      <c r="AF119" s="10">
        <v>3</v>
      </c>
      <c r="AG119" s="10">
        <v>0</v>
      </c>
      <c r="AH119" s="9" t="s">
        <v>34</v>
      </c>
      <c r="AI119" s="9" t="s">
        <v>35</v>
      </c>
    </row>
    <row r="120" spans="1:35" x14ac:dyDescent="0.25">
      <c r="A120" s="9" t="s">
        <v>549</v>
      </c>
      <c r="B120" s="1" t="s">
        <v>986</v>
      </c>
      <c r="C120" s="1" t="s">
        <v>262</v>
      </c>
      <c r="D120" s="10">
        <v>2</v>
      </c>
      <c r="E120" s="10">
        <v>2011</v>
      </c>
      <c r="F120" s="9" t="s">
        <v>28</v>
      </c>
      <c r="G120" s="9" t="s">
        <v>29</v>
      </c>
      <c r="H120" s="1">
        <v>19.3</v>
      </c>
      <c r="I120" s="1">
        <v>0.8</v>
      </c>
      <c r="J120" s="9" t="s">
        <v>43</v>
      </c>
      <c r="K120" s="1">
        <v>1</v>
      </c>
      <c r="L120" s="10">
        <v>14</v>
      </c>
      <c r="M120" s="3">
        <v>0.28999999999999998</v>
      </c>
      <c r="N120" s="11">
        <v>6.4528677692307704E-2</v>
      </c>
      <c r="O120">
        <v>1060</v>
      </c>
      <c r="P120" s="11">
        <v>0.29856626366017841</v>
      </c>
      <c r="Q120" s="11">
        <v>9.0909090909090912E-2</v>
      </c>
      <c r="R120" s="11">
        <v>0.30328799807232992</v>
      </c>
      <c r="S120" s="11">
        <v>6.3422597301365014E-2</v>
      </c>
      <c r="T120" s="9" t="s">
        <v>40</v>
      </c>
      <c r="U120" s="9" t="s">
        <v>50</v>
      </c>
      <c r="V120" s="9" t="s">
        <v>33</v>
      </c>
      <c r="W120" s="9" t="s">
        <v>242</v>
      </c>
      <c r="X120" s="1">
        <v>17.600000000000001</v>
      </c>
      <c r="Y120" s="1">
        <v>15</v>
      </c>
      <c r="Z120" s="3">
        <f>X120/Y120</f>
        <v>1.1733333333333333</v>
      </c>
      <c r="AA120" s="11">
        <v>0.25005299445173468</v>
      </c>
      <c r="AB120" s="11">
        <v>0.243825099115099</v>
      </c>
      <c r="AC120" s="10">
        <v>3</v>
      </c>
      <c r="AD120" s="10">
        <v>3</v>
      </c>
      <c r="AE120" s="10">
        <v>3</v>
      </c>
      <c r="AF120" s="10">
        <v>3</v>
      </c>
      <c r="AG120" s="10">
        <v>0</v>
      </c>
      <c r="AH120" s="9" t="s">
        <v>34</v>
      </c>
      <c r="AI120" s="9" t="s">
        <v>35</v>
      </c>
    </row>
    <row r="121" spans="1:35" x14ac:dyDescent="0.25">
      <c r="A121" s="9" t="s">
        <v>550</v>
      </c>
      <c r="B121" s="1" t="s">
        <v>987</v>
      </c>
      <c r="C121" s="1" t="s">
        <v>253</v>
      </c>
      <c r="D121" s="10">
        <v>3</v>
      </c>
      <c r="E121" s="10">
        <v>2011</v>
      </c>
      <c r="F121" s="9" t="s">
        <v>38</v>
      </c>
      <c r="G121" s="9" t="s">
        <v>29</v>
      </c>
      <c r="H121" s="1">
        <v>22.56</v>
      </c>
      <c r="I121" s="1">
        <v>1.74</v>
      </c>
      <c r="J121" s="9" t="s">
        <v>30</v>
      </c>
      <c r="K121" s="1">
        <v>0.44</v>
      </c>
      <c r="L121" s="10">
        <v>27</v>
      </c>
      <c r="M121" s="3">
        <v>1.9E-2</v>
      </c>
      <c r="N121" s="11">
        <v>3.8433774243115393E-2</v>
      </c>
      <c r="O121">
        <v>1670</v>
      </c>
      <c r="P121" s="11">
        <v>1.9002286828680801E-2</v>
      </c>
      <c r="Q121" s="11">
        <v>4.1666666666666657E-2</v>
      </c>
      <c r="R121" s="11">
        <v>1.9417266208941849E-2</v>
      </c>
      <c r="S121" s="11">
        <v>3.8432541603759009E-2</v>
      </c>
      <c r="T121" s="9" t="s">
        <v>40</v>
      </c>
      <c r="U121" s="9" t="s">
        <v>50</v>
      </c>
      <c r="V121" s="9" t="s">
        <v>33</v>
      </c>
      <c r="W121" s="9" t="s">
        <v>266</v>
      </c>
      <c r="X121" s="1">
        <v>8.3699999999999992</v>
      </c>
      <c r="Y121" s="1">
        <v>15</v>
      </c>
      <c r="Z121" s="3">
        <f>X121/Y121</f>
        <v>0.55799999999999994</v>
      </c>
      <c r="AA121" s="11">
        <v>3.4036594263861152E-2</v>
      </c>
      <c r="AB121" s="11">
        <v>0.35792948808660818</v>
      </c>
      <c r="AC121" s="10">
        <v>3</v>
      </c>
      <c r="AD121" s="10">
        <v>3</v>
      </c>
      <c r="AE121" s="10">
        <v>3</v>
      </c>
      <c r="AF121" s="10">
        <v>3</v>
      </c>
      <c r="AG121" s="10">
        <v>1</v>
      </c>
      <c r="AH121" s="9" t="s">
        <v>41</v>
      </c>
      <c r="AI121" s="9" t="s">
        <v>35</v>
      </c>
    </row>
    <row r="122" spans="1:35" x14ac:dyDescent="0.25">
      <c r="A122" s="9" t="s">
        <v>550</v>
      </c>
      <c r="B122" s="1" t="s">
        <v>988</v>
      </c>
      <c r="C122" s="1" t="s">
        <v>257</v>
      </c>
      <c r="D122" s="10">
        <v>3</v>
      </c>
      <c r="E122" s="10">
        <v>2011</v>
      </c>
      <c r="F122" s="9" t="s">
        <v>28</v>
      </c>
      <c r="G122" s="9" t="s">
        <v>29</v>
      </c>
      <c r="H122" s="1">
        <v>23.07</v>
      </c>
      <c r="I122" s="1">
        <v>2.2400000000000002</v>
      </c>
      <c r="J122" s="9" t="s">
        <v>30</v>
      </c>
      <c r="K122" s="1">
        <v>0.46700000000000003</v>
      </c>
      <c r="L122" s="10">
        <v>30</v>
      </c>
      <c r="M122" s="3">
        <v>0.67900000000000005</v>
      </c>
      <c r="N122" s="11">
        <v>1.001644150624138E-2</v>
      </c>
      <c r="O122">
        <v>1670</v>
      </c>
      <c r="P122" s="11">
        <v>0.82725626697376253</v>
      </c>
      <c r="Q122" s="11">
        <v>3.7037037037037042E-2</v>
      </c>
      <c r="R122" s="11">
        <v>0.68581962315102418</v>
      </c>
      <c r="S122" s="11">
        <v>9.673470781447667E-3</v>
      </c>
      <c r="T122" s="9" t="s">
        <v>40</v>
      </c>
      <c r="U122" s="9" t="s">
        <v>50</v>
      </c>
      <c r="V122" s="9" t="s">
        <v>33</v>
      </c>
      <c r="W122" s="9" t="s">
        <v>266</v>
      </c>
      <c r="X122" s="1">
        <v>10.87</v>
      </c>
      <c r="Y122" s="1">
        <v>15</v>
      </c>
      <c r="Z122" s="3">
        <f>X122/Y122</f>
        <v>0.72466666666666657</v>
      </c>
      <c r="AA122" s="11">
        <v>0.78715927665988372</v>
      </c>
      <c r="AB122" s="11">
        <v>0.113515181983545</v>
      </c>
      <c r="AC122" s="10">
        <v>3</v>
      </c>
      <c r="AD122" s="10">
        <v>3</v>
      </c>
      <c r="AE122" s="10">
        <v>3</v>
      </c>
      <c r="AF122" s="10">
        <v>3</v>
      </c>
      <c r="AG122" s="10">
        <v>1</v>
      </c>
      <c r="AH122" s="9" t="s">
        <v>41</v>
      </c>
      <c r="AI122" s="9" t="s">
        <v>35</v>
      </c>
    </row>
    <row r="123" spans="1:35" x14ac:dyDescent="0.25">
      <c r="A123" s="9" t="s">
        <v>550</v>
      </c>
      <c r="B123" s="1" t="s">
        <v>989</v>
      </c>
      <c r="C123" s="1" t="s">
        <v>407</v>
      </c>
      <c r="D123" s="10">
        <v>3</v>
      </c>
      <c r="E123" s="10">
        <v>2011</v>
      </c>
      <c r="F123" s="9" t="s">
        <v>28</v>
      </c>
      <c r="G123" s="9" t="s">
        <v>29</v>
      </c>
      <c r="H123" s="1">
        <v>23.02</v>
      </c>
      <c r="I123" s="1">
        <v>1.55</v>
      </c>
      <c r="J123" s="9" t="s">
        <v>30</v>
      </c>
      <c r="K123" s="1">
        <v>0.27</v>
      </c>
      <c r="L123" s="10">
        <v>37</v>
      </c>
      <c r="M123" s="3">
        <v>0.40600000000000003</v>
      </c>
      <c r="N123" s="11">
        <v>1.9374969636000001E-2</v>
      </c>
      <c r="O123">
        <v>1670</v>
      </c>
      <c r="P123" s="11">
        <v>0.43081237650398269</v>
      </c>
      <c r="Q123" s="11">
        <v>2.9411764705882349E-2</v>
      </c>
      <c r="R123" s="11">
        <v>0.41111518479420761</v>
      </c>
      <c r="S123" s="11">
        <v>1.9181525413236072E-2</v>
      </c>
      <c r="T123" s="9" t="s">
        <v>40</v>
      </c>
      <c r="U123" s="9" t="s">
        <v>50</v>
      </c>
      <c r="V123" s="9" t="s">
        <v>33</v>
      </c>
      <c r="W123" s="9" t="s">
        <v>266</v>
      </c>
      <c r="X123" s="1">
        <v>12.25</v>
      </c>
      <c r="Y123" s="1">
        <v>15</v>
      </c>
      <c r="Z123" s="3">
        <f>X123/Y123</f>
        <v>0.81666666666666665</v>
      </c>
      <c r="AA123" s="11">
        <v>0.47786405175607122</v>
      </c>
      <c r="AB123" s="11">
        <v>0.167987320367946</v>
      </c>
      <c r="AC123" s="10">
        <v>3</v>
      </c>
      <c r="AD123" s="10">
        <v>3</v>
      </c>
      <c r="AE123" s="10">
        <v>3</v>
      </c>
      <c r="AF123" s="10">
        <v>3</v>
      </c>
      <c r="AG123" s="10">
        <v>1</v>
      </c>
      <c r="AH123" s="9" t="s">
        <v>41</v>
      </c>
      <c r="AI123" s="9" t="s">
        <v>35</v>
      </c>
    </row>
    <row r="124" spans="1:35" x14ac:dyDescent="0.25">
      <c r="A124" s="9" t="s">
        <v>244</v>
      </c>
      <c r="B124" s="1" t="s">
        <v>990</v>
      </c>
      <c r="C124" s="1" t="s">
        <v>408</v>
      </c>
      <c r="D124" s="10">
        <v>2</v>
      </c>
      <c r="E124" s="10">
        <v>2011</v>
      </c>
      <c r="F124" s="9" t="s">
        <v>38</v>
      </c>
      <c r="G124" s="9" t="s">
        <v>29</v>
      </c>
      <c r="H124" s="1">
        <v>21.1</v>
      </c>
      <c r="I124" s="1">
        <v>2.5499999999999998</v>
      </c>
      <c r="J124" s="9" t="s">
        <v>30</v>
      </c>
      <c r="K124" s="1">
        <v>0.36</v>
      </c>
      <c r="L124" s="10">
        <v>80</v>
      </c>
      <c r="M124" s="3">
        <v>0.28899999999999998</v>
      </c>
      <c r="N124" s="11">
        <v>1.0632072879000001E-2</v>
      </c>
      <c r="O124" t="s">
        <v>63</v>
      </c>
      <c r="P124" s="11">
        <v>0.29747478656797322</v>
      </c>
      <c r="Q124" s="11">
        <v>1.298701298701299E-2</v>
      </c>
      <c r="R124" s="11">
        <v>0.29074378685232011</v>
      </c>
      <c r="S124" s="11">
        <v>1.0608629763488321E-2</v>
      </c>
      <c r="T124" s="9" t="s">
        <v>40</v>
      </c>
      <c r="U124" s="9" t="s">
        <v>31</v>
      </c>
      <c r="V124" s="9" t="s">
        <v>33</v>
      </c>
      <c r="W124" s="9" t="s">
        <v>247</v>
      </c>
      <c r="X124" s="1" t="s">
        <v>31</v>
      </c>
      <c r="Y124" s="1" t="s">
        <v>31</v>
      </c>
      <c r="Z124" s="3" t="s">
        <v>31</v>
      </c>
      <c r="AA124" s="11" t="s">
        <v>31</v>
      </c>
      <c r="AB124" s="11" t="s">
        <v>31</v>
      </c>
      <c r="AC124" s="10">
        <v>4</v>
      </c>
      <c r="AD124" s="10">
        <v>4</v>
      </c>
      <c r="AE124" s="10">
        <v>4</v>
      </c>
      <c r="AF124" s="10">
        <v>4</v>
      </c>
      <c r="AG124" s="10">
        <v>0</v>
      </c>
      <c r="AH124" s="9" t="s">
        <v>34</v>
      </c>
      <c r="AI124" s="9" t="s">
        <v>63</v>
      </c>
    </row>
    <row r="125" spans="1:35" x14ac:dyDescent="0.25">
      <c r="A125" s="9" t="s">
        <v>248</v>
      </c>
      <c r="B125" s="1" t="s">
        <v>991</v>
      </c>
      <c r="C125" s="1" t="s">
        <v>409</v>
      </c>
      <c r="D125" s="10">
        <v>2</v>
      </c>
      <c r="E125" s="10">
        <v>2011</v>
      </c>
      <c r="F125" s="9" t="s">
        <v>28</v>
      </c>
      <c r="G125" s="9" t="s">
        <v>29</v>
      </c>
      <c r="H125" s="1">
        <v>81.7</v>
      </c>
      <c r="I125" s="1">
        <v>6.7</v>
      </c>
      <c r="J125" s="9" t="s">
        <v>30</v>
      </c>
      <c r="K125" s="1">
        <v>0.43</v>
      </c>
      <c r="L125" s="10">
        <v>194</v>
      </c>
      <c r="M125" s="3">
        <v>0</v>
      </c>
      <c r="N125" s="11">
        <v>5.1813471502590684E-3</v>
      </c>
      <c r="O125" t="s">
        <v>63</v>
      </c>
      <c r="P125" s="11">
        <v>0</v>
      </c>
      <c r="Q125" s="11">
        <v>5.235602094240838E-3</v>
      </c>
      <c r="R125" s="11">
        <v>0</v>
      </c>
      <c r="S125" s="11">
        <v>5.1813471502590684E-3</v>
      </c>
      <c r="T125" s="9" t="s">
        <v>40</v>
      </c>
      <c r="U125" s="9" t="s">
        <v>46</v>
      </c>
      <c r="V125" s="9" t="s">
        <v>33</v>
      </c>
      <c r="W125" s="9" t="s">
        <v>335</v>
      </c>
      <c r="X125" s="1" t="s">
        <v>31</v>
      </c>
      <c r="Y125" s="1" t="s">
        <v>31</v>
      </c>
      <c r="Z125" s="3" t="s">
        <v>31</v>
      </c>
      <c r="AA125" s="11" t="s">
        <v>31</v>
      </c>
      <c r="AB125" s="11" t="s">
        <v>31</v>
      </c>
      <c r="AC125" s="10">
        <v>3</v>
      </c>
      <c r="AD125" s="10">
        <v>3</v>
      </c>
      <c r="AE125" s="10">
        <v>3</v>
      </c>
      <c r="AF125" s="10">
        <v>3</v>
      </c>
      <c r="AG125" s="10">
        <v>0</v>
      </c>
      <c r="AH125" s="9" t="s">
        <v>34</v>
      </c>
      <c r="AI125" s="9" t="s">
        <v>63</v>
      </c>
    </row>
    <row r="126" spans="1:35" x14ac:dyDescent="0.25">
      <c r="A126" s="9" t="s">
        <v>255</v>
      </c>
      <c r="B126" s="1" t="s">
        <v>992</v>
      </c>
      <c r="C126" s="1" t="s">
        <v>410</v>
      </c>
      <c r="D126" s="10">
        <v>2</v>
      </c>
      <c r="E126" s="10">
        <v>2012</v>
      </c>
      <c r="F126" s="9" t="s">
        <v>38</v>
      </c>
      <c r="G126" s="9" t="s">
        <v>54</v>
      </c>
      <c r="H126" s="1">
        <v>15.1</v>
      </c>
      <c r="I126" s="1">
        <v>0.75</v>
      </c>
      <c r="J126" s="9" t="s">
        <v>43</v>
      </c>
      <c r="K126" s="1">
        <v>1</v>
      </c>
      <c r="L126" s="10">
        <v>30</v>
      </c>
      <c r="M126" s="3">
        <v>0.4</v>
      </c>
      <c r="N126" s="11">
        <v>2.4331034482758619E-2</v>
      </c>
      <c r="O126">
        <v>1060</v>
      </c>
      <c r="P126" s="11">
        <v>0.42364893019360178</v>
      </c>
      <c r="Q126" s="11">
        <v>3.7037037037037042E-2</v>
      </c>
      <c r="R126" s="11">
        <v>0.40642714036640931</v>
      </c>
      <c r="S126" s="11">
        <v>2.403170308221932E-2</v>
      </c>
      <c r="T126" s="9" t="s">
        <v>40</v>
      </c>
      <c r="U126" s="9" t="s">
        <v>50</v>
      </c>
      <c r="V126" s="9" t="s">
        <v>33</v>
      </c>
      <c r="W126" s="9" t="s">
        <v>258</v>
      </c>
      <c r="X126" s="1">
        <v>11</v>
      </c>
      <c r="Y126" s="1">
        <v>15</v>
      </c>
      <c r="Z126" s="3">
        <f t="shared" ref="Z126:Z137" si="4">X126/Y126</f>
        <v>0.73333333333333328</v>
      </c>
      <c r="AA126" s="11">
        <v>0.51142142549476777</v>
      </c>
      <c r="AB126" s="11">
        <v>0.1946795173230618</v>
      </c>
      <c r="AC126" s="10">
        <v>4</v>
      </c>
      <c r="AD126" s="10">
        <v>4</v>
      </c>
      <c r="AE126" s="10">
        <v>4</v>
      </c>
      <c r="AF126" s="10">
        <v>4</v>
      </c>
      <c r="AG126" s="10">
        <v>0</v>
      </c>
      <c r="AH126" s="9" t="s">
        <v>34</v>
      </c>
      <c r="AI126" s="9" t="s">
        <v>35</v>
      </c>
    </row>
    <row r="127" spans="1:35" x14ac:dyDescent="0.25">
      <c r="A127" s="9" t="s">
        <v>251</v>
      </c>
      <c r="B127" s="1" t="s">
        <v>993</v>
      </c>
      <c r="C127" s="1" t="s">
        <v>405</v>
      </c>
      <c r="D127" s="10">
        <v>2</v>
      </c>
      <c r="E127" s="10">
        <v>2012</v>
      </c>
      <c r="F127" s="9" t="s">
        <v>38</v>
      </c>
      <c r="G127" s="9" t="s">
        <v>29</v>
      </c>
      <c r="H127" s="1">
        <v>19.88</v>
      </c>
      <c r="I127" s="1">
        <v>1.67</v>
      </c>
      <c r="J127" s="9" t="s">
        <v>30</v>
      </c>
      <c r="K127" s="1">
        <v>0.44</v>
      </c>
      <c r="L127" s="10">
        <v>100</v>
      </c>
      <c r="M127" s="3">
        <v>0.17</v>
      </c>
      <c r="N127" s="11">
        <v>9.5256081818181817E-3</v>
      </c>
      <c r="O127">
        <v>63</v>
      </c>
      <c r="P127" s="11">
        <v>0.1716666635005791</v>
      </c>
      <c r="Q127" s="11">
        <v>1.030927835051546E-2</v>
      </c>
      <c r="R127" s="11">
        <v>0.17086145945539871</v>
      </c>
      <c r="S127" s="11">
        <v>9.519848402669933E-3</v>
      </c>
      <c r="T127" s="9" t="s">
        <v>40</v>
      </c>
      <c r="U127" s="9" t="s">
        <v>50</v>
      </c>
      <c r="V127" s="9" t="s">
        <v>33</v>
      </c>
      <c r="W127" s="9" t="s">
        <v>254</v>
      </c>
      <c r="X127" s="1">
        <v>4.54</v>
      </c>
      <c r="Y127" s="1">
        <v>7.4</v>
      </c>
      <c r="Z127" s="3">
        <f t="shared" si="4"/>
        <v>0.61351351351351346</v>
      </c>
      <c r="AA127" s="11">
        <v>0.27068797223416791</v>
      </c>
      <c r="AB127" s="11">
        <v>0.15126112200594921</v>
      </c>
      <c r="AC127" s="10">
        <v>4</v>
      </c>
      <c r="AD127" s="10">
        <v>4</v>
      </c>
      <c r="AE127" s="10">
        <v>3</v>
      </c>
      <c r="AF127" s="10">
        <v>3</v>
      </c>
      <c r="AG127" s="10">
        <v>0</v>
      </c>
      <c r="AH127" s="9" t="s">
        <v>41</v>
      </c>
      <c r="AI127" s="9" t="s">
        <v>35</v>
      </c>
    </row>
    <row r="128" spans="1:35" x14ac:dyDescent="0.25">
      <c r="A128" s="9" t="s">
        <v>259</v>
      </c>
      <c r="B128" s="1" t="s">
        <v>496</v>
      </c>
      <c r="C128" s="1" t="s">
        <v>411</v>
      </c>
      <c r="D128" s="10">
        <v>2</v>
      </c>
      <c r="E128" s="10">
        <v>2013</v>
      </c>
      <c r="F128" s="9" t="s">
        <v>38</v>
      </c>
      <c r="G128" s="9" t="s">
        <v>29</v>
      </c>
      <c r="H128" s="1">
        <v>72.47</v>
      </c>
      <c r="I128" s="1">
        <v>0.73</v>
      </c>
      <c r="J128" s="9" t="s">
        <v>39</v>
      </c>
      <c r="K128" s="1">
        <v>1</v>
      </c>
      <c r="L128" s="10">
        <v>293</v>
      </c>
      <c r="M128" s="3">
        <v>0.26</v>
      </c>
      <c r="N128" s="11">
        <v>2.977293698630137E-3</v>
      </c>
      <c r="O128">
        <v>2729</v>
      </c>
      <c r="P128" s="11">
        <v>0.26610840687365411</v>
      </c>
      <c r="Q128" s="11">
        <v>3.4482758620689659E-3</v>
      </c>
      <c r="R128" s="11">
        <v>0.26041955856124721</v>
      </c>
      <c r="S128" s="11">
        <v>2.9758994354691071E-3</v>
      </c>
      <c r="T128" s="9" t="s">
        <v>40</v>
      </c>
      <c r="U128" s="9" t="s">
        <v>50</v>
      </c>
      <c r="V128" s="9" t="s">
        <v>33</v>
      </c>
      <c r="W128" s="9" t="s">
        <v>336</v>
      </c>
      <c r="X128" s="1">
        <v>14.03</v>
      </c>
      <c r="Y128" s="1">
        <v>15</v>
      </c>
      <c r="Z128" s="3">
        <f t="shared" si="4"/>
        <v>0.93533333333333324</v>
      </c>
      <c r="AA128" s="11">
        <v>0.2766413508068567</v>
      </c>
      <c r="AB128" s="11">
        <v>5.9651134458604281E-2</v>
      </c>
      <c r="AC128" s="10">
        <v>3</v>
      </c>
      <c r="AD128" s="10">
        <v>3</v>
      </c>
      <c r="AE128" s="10">
        <v>3</v>
      </c>
      <c r="AF128" s="10">
        <v>3</v>
      </c>
      <c r="AG128" s="10">
        <v>0</v>
      </c>
      <c r="AH128" s="9" t="s">
        <v>41</v>
      </c>
      <c r="AI128" s="9" t="s">
        <v>35</v>
      </c>
    </row>
    <row r="129" spans="1:35" x14ac:dyDescent="0.25">
      <c r="A129" s="9" t="s">
        <v>259</v>
      </c>
      <c r="B129" s="1" t="s">
        <v>496</v>
      </c>
      <c r="C129" s="1" t="s">
        <v>412</v>
      </c>
      <c r="D129" s="10">
        <v>2</v>
      </c>
      <c r="E129" s="10">
        <v>2013</v>
      </c>
      <c r="F129" s="9" t="s">
        <v>38</v>
      </c>
      <c r="G129" s="9" t="s">
        <v>29</v>
      </c>
      <c r="H129" s="1">
        <v>72.599999999999994</v>
      </c>
      <c r="I129" s="1">
        <v>0.7</v>
      </c>
      <c r="J129" s="9" t="s">
        <v>43</v>
      </c>
      <c r="K129" s="1">
        <v>0</v>
      </c>
      <c r="L129" s="10">
        <v>327</v>
      </c>
      <c r="M129" s="3">
        <v>0.27</v>
      </c>
      <c r="N129" s="11">
        <v>2.6365472699386499E-3</v>
      </c>
      <c r="O129">
        <v>2729</v>
      </c>
      <c r="P129" s="11">
        <v>0.27686382265510012</v>
      </c>
      <c r="Q129" s="11">
        <v>3.08641975308642E-3</v>
      </c>
      <c r="R129" s="11">
        <v>0.27038758904938431</v>
      </c>
      <c r="S129" s="11">
        <v>2.6353561190447811E-3</v>
      </c>
      <c r="T129" s="9" t="s">
        <v>40</v>
      </c>
      <c r="U129" s="9" t="s">
        <v>50</v>
      </c>
      <c r="V129" s="9" t="s">
        <v>33</v>
      </c>
      <c r="W129" s="9" t="s">
        <v>336</v>
      </c>
      <c r="X129" s="1">
        <v>14.15</v>
      </c>
      <c r="Y129" s="1">
        <v>15</v>
      </c>
      <c r="Z129" s="3">
        <f t="shared" si="4"/>
        <v>0.94333333333333336</v>
      </c>
      <c r="AA129" s="11">
        <v>0.28493670830100259</v>
      </c>
      <c r="AB129" s="11">
        <v>5.5860637506020092E-2</v>
      </c>
      <c r="AC129" s="10">
        <v>3</v>
      </c>
      <c r="AD129" s="10">
        <v>3</v>
      </c>
      <c r="AE129" s="10">
        <v>3</v>
      </c>
      <c r="AF129" s="10">
        <v>3</v>
      </c>
      <c r="AG129" s="10">
        <v>0</v>
      </c>
      <c r="AH129" s="9" t="s">
        <v>41</v>
      </c>
      <c r="AI129" s="9" t="s">
        <v>35</v>
      </c>
    </row>
    <row r="130" spans="1:35" x14ac:dyDescent="0.25">
      <c r="A130" s="9" t="s">
        <v>551</v>
      </c>
      <c r="B130" s="1" t="s">
        <v>994</v>
      </c>
      <c r="C130" s="1" t="s">
        <v>413</v>
      </c>
      <c r="D130" s="10">
        <v>3</v>
      </c>
      <c r="E130" s="10">
        <v>2013</v>
      </c>
      <c r="F130" s="9" t="s">
        <v>38</v>
      </c>
      <c r="G130" s="9" t="s">
        <v>54</v>
      </c>
      <c r="H130" s="1">
        <v>14.9</v>
      </c>
      <c r="I130" s="1">
        <v>3.2</v>
      </c>
      <c r="J130" s="9" t="s">
        <v>30</v>
      </c>
      <c r="K130" s="1">
        <v>0.53</v>
      </c>
      <c r="L130" s="10">
        <v>36</v>
      </c>
      <c r="M130" s="3">
        <v>0.25</v>
      </c>
      <c r="N130" s="11">
        <v>2.511160714285714E-2</v>
      </c>
      <c r="O130">
        <v>696</v>
      </c>
      <c r="P130" s="11">
        <v>0.25541281188299542</v>
      </c>
      <c r="Q130" s="11">
        <v>3.03030303030303E-2</v>
      </c>
      <c r="R130" s="11">
        <v>0.25367308053704268</v>
      </c>
      <c r="S130" s="11">
        <v>2.501259608608454E-2</v>
      </c>
      <c r="T130" s="9" t="s">
        <v>40</v>
      </c>
      <c r="U130" s="9" t="s">
        <v>50</v>
      </c>
      <c r="V130" s="9" t="s">
        <v>33</v>
      </c>
      <c r="W130" s="9" t="s">
        <v>964</v>
      </c>
      <c r="X130" s="1">
        <v>12.7</v>
      </c>
      <c r="Y130" s="1">
        <v>15</v>
      </c>
      <c r="Z130" s="3">
        <f t="shared" si="4"/>
        <v>0.84666666666666657</v>
      </c>
      <c r="AA130" s="11">
        <v>0.29169688451792047</v>
      </c>
      <c r="AB130" s="11">
        <v>0.18908037257710231</v>
      </c>
      <c r="AC130" s="10">
        <v>3</v>
      </c>
      <c r="AD130" s="10">
        <v>4</v>
      </c>
      <c r="AE130" s="10">
        <v>3</v>
      </c>
      <c r="AF130" s="10">
        <v>3</v>
      </c>
      <c r="AG130" s="10">
        <v>0</v>
      </c>
      <c r="AH130" s="9" t="s">
        <v>41</v>
      </c>
      <c r="AI130" s="9" t="s">
        <v>35</v>
      </c>
    </row>
    <row r="131" spans="1:35" x14ac:dyDescent="0.25">
      <c r="A131" s="9" t="s">
        <v>551</v>
      </c>
      <c r="B131" s="1" t="s">
        <v>995</v>
      </c>
      <c r="C131" s="1" t="s">
        <v>414</v>
      </c>
      <c r="D131" s="10">
        <v>3</v>
      </c>
      <c r="E131" s="10">
        <v>2013</v>
      </c>
      <c r="F131" s="9" t="s">
        <v>28</v>
      </c>
      <c r="G131" s="9" t="s">
        <v>54</v>
      </c>
      <c r="H131" s="1">
        <v>14.6</v>
      </c>
      <c r="I131" s="1">
        <v>4.2</v>
      </c>
      <c r="J131" s="9" t="s">
        <v>30</v>
      </c>
      <c r="K131" s="1">
        <v>0.49</v>
      </c>
      <c r="L131" s="10">
        <v>108</v>
      </c>
      <c r="M131" s="3">
        <v>0.23</v>
      </c>
      <c r="N131" s="11">
        <v>8.3831627102803757E-3</v>
      </c>
      <c r="O131">
        <v>696</v>
      </c>
      <c r="P131" s="11">
        <v>0.2341894667593668</v>
      </c>
      <c r="Q131" s="11">
        <v>9.5238095238095247E-3</v>
      </c>
      <c r="R131" s="11">
        <v>0.23104855606280961</v>
      </c>
      <c r="S131" s="11">
        <v>8.3746067349775924E-3</v>
      </c>
      <c r="T131" s="9" t="s">
        <v>40</v>
      </c>
      <c r="U131" s="9" t="s">
        <v>50</v>
      </c>
      <c r="V131" s="9" t="s">
        <v>33</v>
      </c>
      <c r="W131" s="9" t="s">
        <v>964</v>
      </c>
      <c r="X131" s="1">
        <v>17.899999999999999</v>
      </c>
      <c r="Y131" s="1">
        <v>15</v>
      </c>
      <c r="Z131" s="3">
        <f t="shared" si="4"/>
        <v>1.1933333333333331</v>
      </c>
      <c r="AA131" s="11">
        <v>0.19427363045087731</v>
      </c>
      <c r="AB131" s="11">
        <v>8.1119747394579278E-2</v>
      </c>
      <c r="AC131" s="10">
        <v>3</v>
      </c>
      <c r="AD131" s="10">
        <v>4</v>
      </c>
      <c r="AE131" s="10">
        <v>3</v>
      </c>
      <c r="AF131" s="10">
        <v>3</v>
      </c>
      <c r="AG131" s="10">
        <v>0</v>
      </c>
      <c r="AH131" s="9" t="s">
        <v>41</v>
      </c>
      <c r="AI131" s="9" t="s">
        <v>35</v>
      </c>
    </row>
    <row r="132" spans="1:35" x14ac:dyDescent="0.25">
      <c r="A132" s="9" t="s">
        <v>552</v>
      </c>
      <c r="B132" s="1" t="s">
        <v>996</v>
      </c>
      <c r="C132" s="1" t="s">
        <v>415</v>
      </c>
      <c r="D132" s="10">
        <v>3</v>
      </c>
      <c r="E132" s="10">
        <v>2014</v>
      </c>
      <c r="F132" s="9" t="s">
        <v>38</v>
      </c>
      <c r="G132" s="9" t="s">
        <v>29</v>
      </c>
      <c r="H132" s="1">
        <v>20.3</v>
      </c>
      <c r="I132" s="1">
        <v>0.77</v>
      </c>
      <c r="J132" s="9" t="s">
        <v>30</v>
      </c>
      <c r="K132" s="1">
        <v>0.42</v>
      </c>
      <c r="L132" s="10">
        <v>60</v>
      </c>
      <c r="M132" s="3">
        <v>0.36099999999999999</v>
      </c>
      <c r="N132" s="11">
        <v>1.2819348526118639E-2</v>
      </c>
      <c r="O132">
        <v>585</v>
      </c>
      <c r="P132" s="11">
        <v>0.37803527413696558</v>
      </c>
      <c r="Q132" s="11">
        <v>1.754385964912281E-2</v>
      </c>
      <c r="R132" s="11">
        <v>0.36380040910108108</v>
      </c>
      <c r="S132" s="11">
        <v>1.275958038026233E-2</v>
      </c>
      <c r="T132" s="9" t="s">
        <v>40</v>
      </c>
      <c r="U132" s="9" t="s">
        <v>46</v>
      </c>
      <c r="V132" s="9" t="s">
        <v>33</v>
      </c>
      <c r="W132" s="9" t="s">
        <v>247</v>
      </c>
      <c r="X132" s="1">
        <v>11.62</v>
      </c>
      <c r="Y132" s="1">
        <v>15</v>
      </c>
      <c r="Z132" s="3">
        <f t="shared" si="4"/>
        <v>0.77466666666666661</v>
      </c>
      <c r="AA132" s="11">
        <v>0.44700177017243742</v>
      </c>
      <c r="AB132" s="11">
        <v>0.1395087206677556</v>
      </c>
      <c r="AC132" s="10">
        <v>4</v>
      </c>
      <c r="AD132" s="10">
        <v>4</v>
      </c>
      <c r="AE132" s="10">
        <v>4</v>
      </c>
      <c r="AF132" s="10">
        <v>4</v>
      </c>
      <c r="AG132" s="10">
        <v>0</v>
      </c>
      <c r="AH132" s="9" t="s">
        <v>41</v>
      </c>
      <c r="AI132" s="9" t="s">
        <v>35</v>
      </c>
    </row>
    <row r="133" spans="1:35" x14ac:dyDescent="0.25">
      <c r="A133" s="9" t="s">
        <v>552</v>
      </c>
      <c r="B133" s="1" t="s">
        <v>997</v>
      </c>
      <c r="C133" s="1" t="s">
        <v>416</v>
      </c>
      <c r="D133" s="10">
        <v>3</v>
      </c>
      <c r="E133" s="10">
        <v>2014</v>
      </c>
      <c r="F133" s="9" t="s">
        <v>28</v>
      </c>
      <c r="G133" s="9" t="s">
        <v>29</v>
      </c>
      <c r="H133" s="1">
        <v>20.100000000000001</v>
      </c>
      <c r="I133" s="1">
        <v>0.99</v>
      </c>
      <c r="J133" s="9" t="s">
        <v>30</v>
      </c>
      <c r="K133" s="1">
        <v>0.41</v>
      </c>
      <c r="L133" s="10">
        <v>43</v>
      </c>
      <c r="M133" s="3">
        <v>0.55500000000000005</v>
      </c>
      <c r="N133" s="11">
        <v>1.140070001488095E-2</v>
      </c>
      <c r="O133">
        <v>584</v>
      </c>
      <c r="P133" s="11">
        <v>0.62557827122354726</v>
      </c>
      <c r="Q133" s="11">
        <v>2.5000000000000001E-2</v>
      </c>
      <c r="R133" s="11">
        <v>0.55986504452270769</v>
      </c>
      <c r="S133" s="11">
        <v>1.1222677541495521E-2</v>
      </c>
      <c r="T133" s="9" t="s">
        <v>40</v>
      </c>
      <c r="U133" s="9" t="s">
        <v>46</v>
      </c>
      <c r="V133" s="9" t="s">
        <v>33</v>
      </c>
      <c r="W133" s="9" t="s">
        <v>247</v>
      </c>
      <c r="X133" s="1">
        <v>13.14</v>
      </c>
      <c r="Y133" s="1">
        <v>15</v>
      </c>
      <c r="Z133" s="3">
        <f t="shared" si="4"/>
        <v>0.876</v>
      </c>
      <c r="AA133" s="11">
        <v>0.60590458147979021</v>
      </c>
      <c r="AB133" s="11">
        <v>0.12971650712472491</v>
      </c>
      <c r="AC133" s="10">
        <v>4</v>
      </c>
      <c r="AD133" s="10">
        <v>4</v>
      </c>
      <c r="AE133" s="10">
        <v>4</v>
      </c>
      <c r="AF133" s="10">
        <v>4</v>
      </c>
      <c r="AG133" s="10">
        <v>2</v>
      </c>
      <c r="AH133" s="9" t="s">
        <v>41</v>
      </c>
      <c r="AI133" s="9" t="s">
        <v>35</v>
      </c>
    </row>
    <row r="134" spans="1:35" x14ac:dyDescent="0.25">
      <c r="A134" s="9" t="s">
        <v>553</v>
      </c>
      <c r="B134" s="1" t="s">
        <v>998</v>
      </c>
      <c r="C134" s="1" t="s">
        <v>417</v>
      </c>
      <c r="D134" s="10">
        <v>3</v>
      </c>
      <c r="E134" s="10">
        <v>2014</v>
      </c>
      <c r="F134" s="9" t="s">
        <v>28</v>
      </c>
      <c r="G134" s="9" t="s">
        <v>54</v>
      </c>
      <c r="H134" s="1">
        <v>10.17</v>
      </c>
      <c r="I134" s="1">
        <v>0.8</v>
      </c>
      <c r="J134" s="9" t="s">
        <v>30</v>
      </c>
      <c r="K134" s="1">
        <v>0.34799999999999998</v>
      </c>
      <c r="L134" s="10">
        <v>21</v>
      </c>
      <c r="M134" s="3">
        <v>0</v>
      </c>
      <c r="N134" s="11">
        <v>0.05</v>
      </c>
      <c r="O134">
        <v>575</v>
      </c>
      <c r="P134" s="11">
        <v>0</v>
      </c>
      <c r="Q134" s="11">
        <v>5.5555555555555552E-2</v>
      </c>
      <c r="R134" s="11">
        <v>0</v>
      </c>
      <c r="S134" s="11">
        <v>0.05</v>
      </c>
      <c r="T134" s="9" t="s">
        <v>40</v>
      </c>
      <c r="U134" s="9" t="s">
        <v>50</v>
      </c>
      <c r="V134" s="9" t="s">
        <v>33</v>
      </c>
      <c r="W134" s="9" t="s">
        <v>264</v>
      </c>
      <c r="X134" s="1">
        <v>19.8</v>
      </c>
      <c r="Y134" s="1">
        <v>15</v>
      </c>
      <c r="Z134" s="3">
        <f t="shared" si="4"/>
        <v>1.32</v>
      </c>
      <c r="AA134" s="11">
        <v>0</v>
      </c>
      <c r="AB134" s="11" t="s">
        <v>31</v>
      </c>
      <c r="AC134" s="10">
        <v>4</v>
      </c>
      <c r="AD134" s="10">
        <v>4</v>
      </c>
      <c r="AE134" s="10">
        <v>4</v>
      </c>
      <c r="AF134" s="10">
        <v>4</v>
      </c>
      <c r="AG134" s="10">
        <v>3</v>
      </c>
      <c r="AH134" s="9" t="s">
        <v>34</v>
      </c>
      <c r="AI134" s="9" t="s">
        <v>35</v>
      </c>
    </row>
    <row r="135" spans="1:35" x14ac:dyDescent="0.25">
      <c r="A135" s="9" t="s">
        <v>554</v>
      </c>
      <c r="B135" s="1" t="s">
        <v>999</v>
      </c>
      <c r="C135" s="1" t="s">
        <v>418</v>
      </c>
      <c r="D135" s="10">
        <v>3</v>
      </c>
      <c r="E135" s="10">
        <v>2014</v>
      </c>
      <c r="F135" s="9" t="s">
        <v>38</v>
      </c>
      <c r="G135" s="9" t="s">
        <v>54</v>
      </c>
      <c r="H135" s="1">
        <v>11.7</v>
      </c>
      <c r="I135" s="1">
        <v>3.7</v>
      </c>
      <c r="J135" s="9" t="s">
        <v>30</v>
      </c>
      <c r="K135" s="1">
        <v>0.41699999999999998</v>
      </c>
      <c r="L135" s="10">
        <v>102</v>
      </c>
      <c r="M135" s="3">
        <v>0.185</v>
      </c>
      <c r="N135" s="11">
        <v>9.2348648576732681E-3</v>
      </c>
      <c r="O135">
        <v>21</v>
      </c>
      <c r="P135" s="11">
        <v>0.1871549701641845</v>
      </c>
      <c r="Q135" s="11">
        <v>1.01010101010101E-2</v>
      </c>
      <c r="R135" s="11">
        <v>0.18591315426045779</v>
      </c>
      <c r="S135" s="11">
        <v>9.2283885897785217E-3</v>
      </c>
      <c r="T135" s="9" t="s">
        <v>40</v>
      </c>
      <c r="U135" s="9" t="s">
        <v>50</v>
      </c>
      <c r="V135" s="9" t="s">
        <v>33</v>
      </c>
      <c r="W135" s="9" t="s">
        <v>265</v>
      </c>
      <c r="X135" s="1">
        <v>13.59</v>
      </c>
      <c r="Y135" s="1">
        <v>15</v>
      </c>
      <c r="Z135" s="3">
        <f t="shared" si="4"/>
        <v>0.90600000000000003</v>
      </c>
      <c r="AA135" s="11">
        <v>0.2034358114440579</v>
      </c>
      <c r="AB135" s="11">
        <v>0.10726583215120131</v>
      </c>
      <c r="AC135" s="10">
        <v>3</v>
      </c>
      <c r="AD135" s="10">
        <v>3</v>
      </c>
      <c r="AE135" s="10">
        <v>3</v>
      </c>
      <c r="AF135" s="10">
        <v>3</v>
      </c>
      <c r="AG135" s="10">
        <v>6</v>
      </c>
      <c r="AH135" s="9" t="s">
        <v>34</v>
      </c>
      <c r="AI135" s="9" t="s">
        <v>35</v>
      </c>
    </row>
    <row r="136" spans="1:35" x14ac:dyDescent="0.25">
      <c r="A136" s="9" t="s">
        <v>555</v>
      </c>
      <c r="B136" s="1" t="s">
        <v>498</v>
      </c>
      <c r="C136" s="1" t="s">
        <v>419</v>
      </c>
      <c r="D136" s="10">
        <v>3</v>
      </c>
      <c r="E136" s="10">
        <v>2014</v>
      </c>
      <c r="F136" s="9" t="s">
        <v>38</v>
      </c>
      <c r="G136" s="9" t="s">
        <v>54</v>
      </c>
      <c r="H136" s="1">
        <v>11.6</v>
      </c>
      <c r="I136" s="1">
        <v>3.6</v>
      </c>
      <c r="J136" s="9" t="s">
        <v>43</v>
      </c>
      <c r="K136" s="1">
        <v>1</v>
      </c>
      <c r="L136" s="10">
        <v>142</v>
      </c>
      <c r="M136" s="3">
        <v>0.23</v>
      </c>
      <c r="N136" s="11">
        <v>6.3616908510638311E-3</v>
      </c>
      <c r="O136">
        <v>57</v>
      </c>
      <c r="P136" s="11">
        <v>0.2341894667593668</v>
      </c>
      <c r="Q136" s="11">
        <v>7.1942446043165471E-3</v>
      </c>
      <c r="R136" s="11">
        <v>0.23078998333024711</v>
      </c>
      <c r="S136" s="11">
        <v>6.3568015789539139E-3</v>
      </c>
      <c r="T136" s="9" t="s">
        <v>40</v>
      </c>
      <c r="U136" s="9" t="s">
        <v>50</v>
      </c>
      <c r="V136" s="9" t="s">
        <v>33</v>
      </c>
      <c r="W136" s="9" t="s">
        <v>266</v>
      </c>
      <c r="X136" s="1">
        <v>12.8</v>
      </c>
      <c r="Y136" s="1">
        <v>15</v>
      </c>
      <c r="Z136" s="3">
        <f t="shared" si="4"/>
        <v>0.85333333333333339</v>
      </c>
      <c r="AA136" s="11">
        <v>0.26690879652476762</v>
      </c>
      <c r="AB136" s="11">
        <v>9.3600134941971808E-2</v>
      </c>
      <c r="AC136" s="10">
        <v>3</v>
      </c>
      <c r="AD136" s="10">
        <v>3</v>
      </c>
      <c r="AE136" s="10">
        <v>3</v>
      </c>
      <c r="AF136" s="10">
        <v>3</v>
      </c>
      <c r="AG136" s="10">
        <v>0</v>
      </c>
      <c r="AH136" s="9" t="s">
        <v>41</v>
      </c>
      <c r="AI136" s="9" t="s">
        <v>35</v>
      </c>
    </row>
    <row r="137" spans="1:35" x14ac:dyDescent="0.25">
      <c r="A137" s="9" t="s">
        <v>555</v>
      </c>
      <c r="B137" s="1" t="s">
        <v>499</v>
      </c>
      <c r="C137" s="1" t="s">
        <v>420</v>
      </c>
      <c r="D137" s="10">
        <v>3</v>
      </c>
      <c r="E137" s="10">
        <v>2014</v>
      </c>
      <c r="F137" s="9" t="s">
        <v>38</v>
      </c>
      <c r="G137" s="9" t="s">
        <v>54</v>
      </c>
      <c r="H137" s="1">
        <v>11.3</v>
      </c>
      <c r="I137" s="1">
        <v>3.5</v>
      </c>
      <c r="J137" s="9" t="s">
        <v>39</v>
      </c>
      <c r="K137" s="1">
        <v>0</v>
      </c>
      <c r="L137" s="10">
        <v>161</v>
      </c>
      <c r="M137" s="3">
        <v>0.216</v>
      </c>
      <c r="N137" s="11">
        <v>5.6804048895999996E-3</v>
      </c>
      <c r="O137">
        <v>57</v>
      </c>
      <c r="P137" s="11">
        <v>0.21945652108785221</v>
      </c>
      <c r="Q137" s="11">
        <v>6.3291139240506328E-3</v>
      </c>
      <c r="R137" s="11">
        <v>0.2166563999213422</v>
      </c>
      <c r="S137" s="11">
        <v>5.6770210745981133E-3</v>
      </c>
      <c r="T137" s="9" t="s">
        <v>40</v>
      </c>
      <c r="U137" s="9" t="s">
        <v>50</v>
      </c>
      <c r="V137" s="9" t="s">
        <v>33</v>
      </c>
      <c r="W137" s="9" t="s">
        <v>266</v>
      </c>
      <c r="X137" s="1">
        <v>12</v>
      </c>
      <c r="Y137" s="1">
        <v>15</v>
      </c>
      <c r="Z137" s="3">
        <f t="shared" si="4"/>
        <v>0.8</v>
      </c>
      <c r="AA137" s="11">
        <v>0.26652530478282382</v>
      </c>
      <c r="AB137" s="11">
        <v>9.310228139700949E-2</v>
      </c>
      <c r="AC137" s="10">
        <v>3</v>
      </c>
      <c r="AD137" s="10">
        <v>3</v>
      </c>
      <c r="AE137" s="10">
        <v>3</v>
      </c>
      <c r="AF137" s="10">
        <v>3</v>
      </c>
      <c r="AG137" s="10">
        <v>0</v>
      </c>
      <c r="AH137" s="9" t="s">
        <v>41</v>
      </c>
      <c r="AI137" s="9" t="s">
        <v>35</v>
      </c>
    </row>
    <row r="138" spans="1:35" x14ac:dyDescent="0.25">
      <c r="A138" s="9" t="s">
        <v>556</v>
      </c>
      <c r="B138" s="1" t="s">
        <v>500</v>
      </c>
      <c r="C138" s="1" t="s">
        <v>421</v>
      </c>
      <c r="D138" s="10">
        <v>3</v>
      </c>
      <c r="E138" s="10">
        <v>2014</v>
      </c>
      <c r="F138" s="9" t="s">
        <v>28</v>
      </c>
      <c r="G138" s="9" t="s">
        <v>54</v>
      </c>
      <c r="H138" s="1">
        <v>13</v>
      </c>
      <c r="I138" s="1" t="s">
        <v>31</v>
      </c>
      <c r="J138" s="9" t="s">
        <v>43</v>
      </c>
      <c r="K138" s="1">
        <v>1</v>
      </c>
      <c r="L138" s="10">
        <v>10</v>
      </c>
      <c r="M138" s="3">
        <v>0.59399999999999997</v>
      </c>
      <c r="N138" s="11">
        <v>4.6535693655111121E-2</v>
      </c>
      <c r="O138">
        <v>230</v>
      </c>
      <c r="P138" s="11">
        <v>0.68382434987421381</v>
      </c>
      <c r="Q138" s="11">
        <v>0.1428571428571429</v>
      </c>
      <c r="R138" s="11">
        <v>0.62265053962558758</v>
      </c>
      <c r="S138" s="11">
        <v>4.1657667973323827E-2</v>
      </c>
      <c r="T138" s="9" t="s">
        <v>40</v>
      </c>
      <c r="U138" s="9" t="s">
        <v>46</v>
      </c>
      <c r="V138" s="9" t="s">
        <v>33</v>
      </c>
      <c r="W138" s="9" t="s">
        <v>965</v>
      </c>
      <c r="X138" s="1" t="s">
        <v>31</v>
      </c>
      <c r="Y138" s="1" t="s">
        <v>31</v>
      </c>
      <c r="Z138" s="3" t="s">
        <v>31</v>
      </c>
      <c r="AA138" s="11" t="s">
        <v>31</v>
      </c>
      <c r="AB138" s="11" t="s">
        <v>31</v>
      </c>
      <c r="AC138" s="10">
        <v>3</v>
      </c>
      <c r="AD138" s="10">
        <v>3</v>
      </c>
      <c r="AE138" s="10">
        <v>3</v>
      </c>
      <c r="AF138" s="10">
        <v>3</v>
      </c>
      <c r="AG138" s="10">
        <v>1</v>
      </c>
      <c r="AH138" s="9" t="s">
        <v>41</v>
      </c>
      <c r="AI138" s="9" t="s">
        <v>35</v>
      </c>
    </row>
    <row r="139" spans="1:35" x14ac:dyDescent="0.25">
      <c r="A139" s="9" t="s">
        <v>556</v>
      </c>
      <c r="B139" s="1" t="s">
        <v>587</v>
      </c>
      <c r="C139" s="1" t="s">
        <v>422</v>
      </c>
      <c r="D139" s="10">
        <v>3</v>
      </c>
      <c r="E139" s="10">
        <v>2014</v>
      </c>
      <c r="F139" s="9" t="s">
        <v>28</v>
      </c>
      <c r="G139" s="9" t="s">
        <v>54</v>
      </c>
      <c r="H139" s="1">
        <v>13</v>
      </c>
      <c r="I139" s="1" t="s">
        <v>31</v>
      </c>
      <c r="J139" s="9" t="s">
        <v>39</v>
      </c>
      <c r="K139" s="1">
        <v>0</v>
      </c>
      <c r="L139" s="10">
        <v>16</v>
      </c>
      <c r="M139" s="3">
        <v>0.62</v>
      </c>
      <c r="N139" s="11">
        <v>2.5264223999999998E-2</v>
      </c>
      <c r="O139">
        <v>230</v>
      </c>
      <c r="P139" s="11">
        <v>0.72500508775299921</v>
      </c>
      <c r="Q139" s="11">
        <v>7.6923076923076927E-2</v>
      </c>
      <c r="R139" s="11">
        <v>0.63502085301130895</v>
      </c>
      <c r="S139" s="11">
        <v>2.3740586109038921E-2</v>
      </c>
      <c r="T139" s="9" t="s">
        <v>40</v>
      </c>
      <c r="U139" s="9" t="s">
        <v>46</v>
      </c>
      <c r="V139" s="9" t="s">
        <v>33</v>
      </c>
      <c r="W139" s="9" t="s">
        <v>965</v>
      </c>
      <c r="X139" s="1" t="s">
        <v>31</v>
      </c>
      <c r="Y139" s="1" t="s">
        <v>31</v>
      </c>
      <c r="Z139" s="3" t="s">
        <v>31</v>
      </c>
      <c r="AA139" s="11" t="s">
        <v>31</v>
      </c>
      <c r="AB139" s="11" t="s">
        <v>31</v>
      </c>
      <c r="AC139" s="10">
        <v>3</v>
      </c>
      <c r="AD139" s="10">
        <v>3</v>
      </c>
      <c r="AE139" s="10">
        <v>3</v>
      </c>
      <c r="AF139" s="10">
        <v>3</v>
      </c>
      <c r="AG139" s="10">
        <v>1</v>
      </c>
      <c r="AH139" s="9" t="s">
        <v>41</v>
      </c>
      <c r="AI139" s="9" t="s">
        <v>35</v>
      </c>
    </row>
    <row r="140" spans="1:35" x14ac:dyDescent="0.25">
      <c r="A140" s="9" t="s">
        <v>557</v>
      </c>
      <c r="B140" s="1" t="s">
        <v>589</v>
      </c>
      <c r="C140" s="1" t="s">
        <v>423</v>
      </c>
      <c r="D140" s="10">
        <v>3</v>
      </c>
      <c r="E140" s="10">
        <v>2014</v>
      </c>
      <c r="F140" s="9" t="s">
        <v>38</v>
      </c>
      <c r="G140" s="9" t="s">
        <v>29</v>
      </c>
      <c r="H140" s="1">
        <v>20.41</v>
      </c>
      <c r="I140" s="1">
        <v>0.89</v>
      </c>
      <c r="J140" s="9" t="s">
        <v>30</v>
      </c>
      <c r="K140" s="1">
        <v>0.41</v>
      </c>
      <c r="L140" s="10">
        <v>316</v>
      </c>
      <c r="M140" s="3">
        <v>0.1</v>
      </c>
      <c r="N140" s="11">
        <v>3.111428571428571E-3</v>
      </c>
      <c r="O140">
        <v>759</v>
      </c>
      <c r="P140" s="11">
        <v>0.10033534773107559</v>
      </c>
      <c r="Q140" s="11">
        <v>3.1948881789137379E-3</v>
      </c>
      <c r="R140" s="11">
        <v>0.1001587692425704</v>
      </c>
      <c r="S140" s="11">
        <v>3.1112288205671721E-3</v>
      </c>
      <c r="T140" s="9" t="s">
        <v>40</v>
      </c>
      <c r="U140" s="9" t="s">
        <v>46</v>
      </c>
      <c r="V140" s="9" t="s">
        <v>33</v>
      </c>
      <c r="W140" s="9" t="s">
        <v>966</v>
      </c>
      <c r="X140" s="1">
        <v>8.33</v>
      </c>
      <c r="Y140" s="1">
        <v>15</v>
      </c>
      <c r="Z140" s="3">
        <f t="shared" ref="Z140:Z150" si="5">X140/Y140</f>
        <v>0.55533333333333335</v>
      </c>
      <c r="AA140" s="11">
        <v>0.17808622535084481</v>
      </c>
      <c r="AB140" s="11">
        <v>9.7802790127761427E-2</v>
      </c>
      <c r="AC140" s="10">
        <v>3</v>
      </c>
      <c r="AD140" s="10">
        <v>3</v>
      </c>
      <c r="AE140" s="10">
        <v>3</v>
      </c>
      <c r="AF140" s="10">
        <v>3</v>
      </c>
      <c r="AG140" s="10">
        <v>0</v>
      </c>
      <c r="AH140" s="9" t="s">
        <v>34</v>
      </c>
      <c r="AI140" s="9" t="s">
        <v>35</v>
      </c>
    </row>
    <row r="141" spans="1:35" x14ac:dyDescent="0.25">
      <c r="A141" s="9" t="s">
        <v>558</v>
      </c>
      <c r="B141" s="1" t="s">
        <v>728</v>
      </c>
      <c r="C141" s="1" t="s">
        <v>424</v>
      </c>
      <c r="D141" s="10">
        <v>3</v>
      </c>
      <c r="E141" s="10">
        <v>2015</v>
      </c>
      <c r="F141" s="9" t="s">
        <v>38</v>
      </c>
      <c r="G141" s="9" t="s">
        <v>54</v>
      </c>
      <c r="H141" s="1">
        <v>8</v>
      </c>
      <c r="I141" s="1">
        <v>0.9</v>
      </c>
      <c r="J141" s="9" t="s">
        <v>30</v>
      </c>
      <c r="K141" s="1">
        <v>0.54</v>
      </c>
      <c r="L141" s="10">
        <v>10</v>
      </c>
      <c r="M141" s="3">
        <v>0.69</v>
      </c>
      <c r="N141" s="11">
        <v>3.049680111111111E-2</v>
      </c>
      <c r="O141">
        <v>8</v>
      </c>
      <c r="P141" s="11">
        <v>0.84795575521896349</v>
      </c>
      <c r="Q141" s="11">
        <v>0.1428571428571429</v>
      </c>
      <c r="R141" s="11">
        <v>0.71589417830042656</v>
      </c>
      <c r="S141" s="11">
        <v>2.6405765262076619E-2</v>
      </c>
      <c r="T141" s="9" t="s">
        <v>40</v>
      </c>
      <c r="U141" s="9" t="s">
        <v>50</v>
      </c>
      <c r="V141" s="9" t="s">
        <v>33</v>
      </c>
      <c r="W141" s="9" t="s">
        <v>967</v>
      </c>
      <c r="X141" s="1">
        <v>14</v>
      </c>
      <c r="Y141" s="1">
        <v>15</v>
      </c>
      <c r="Z141" s="3">
        <f t="shared" si="5"/>
        <v>0.93333333333333335</v>
      </c>
      <c r="AA141" s="11">
        <v>0.71454645071207323</v>
      </c>
      <c r="AB141" s="11">
        <v>0.2475693553428909</v>
      </c>
      <c r="AC141" s="10">
        <v>4</v>
      </c>
      <c r="AD141" s="10">
        <v>4</v>
      </c>
      <c r="AE141" s="10">
        <v>4</v>
      </c>
      <c r="AF141" s="10">
        <v>4</v>
      </c>
      <c r="AG141" s="10">
        <v>0</v>
      </c>
      <c r="AH141" s="9" t="s">
        <v>41</v>
      </c>
      <c r="AI141" s="9" t="s">
        <v>263</v>
      </c>
    </row>
    <row r="142" spans="1:35" x14ac:dyDescent="0.25">
      <c r="A142" s="9" t="s">
        <v>558</v>
      </c>
      <c r="B142" s="1" t="s">
        <v>729</v>
      </c>
      <c r="C142" s="1" t="s">
        <v>425</v>
      </c>
      <c r="D142" s="10">
        <v>3</v>
      </c>
      <c r="E142" s="10">
        <v>2015</v>
      </c>
      <c r="F142" s="9" t="s">
        <v>38</v>
      </c>
      <c r="G142" s="9" t="s">
        <v>54</v>
      </c>
      <c r="H142" s="1">
        <v>8.1999999999999993</v>
      </c>
      <c r="I142" s="1">
        <v>1</v>
      </c>
      <c r="J142" s="9" t="s">
        <v>30</v>
      </c>
      <c r="K142" s="1">
        <v>0.35799999999999998</v>
      </c>
      <c r="L142" s="10">
        <v>9</v>
      </c>
      <c r="M142" s="3">
        <v>0</v>
      </c>
      <c r="N142" s="11">
        <v>0.125</v>
      </c>
      <c r="O142">
        <v>9</v>
      </c>
      <c r="P142" s="11">
        <v>0</v>
      </c>
      <c r="Q142" s="11">
        <v>0.16666666666666671</v>
      </c>
      <c r="R142" s="11">
        <v>0</v>
      </c>
      <c r="S142" s="11">
        <v>0.125</v>
      </c>
      <c r="T142" s="9" t="s">
        <v>40</v>
      </c>
      <c r="U142" s="9" t="s">
        <v>50</v>
      </c>
      <c r="V142" s="9" t="s">
        <v>33</v>
      </c>
      <c r="W142" s="9" t="s">
        <v>967</v>
      </c>
      <c r="X142" s="1">
        <v>8</v>
      </c>
      <c r="Y142" s="1">
        <v>15</v>
      </c>
      <c r="Z142" s="3">
        <f t="shared" si="5"/>
        <v>0.53333333333333333</v>
      </c>
      <c r="AA142" s="11">
        <v>0</v>
      </c>
      <c r="AB142" s="11" t="s">
        <v>31</v>
      </c>
      <c r="AC142" s="10">
        <v>4</v>
      </c>
      <c r="AD142" s="10">
        <v>4</v>
      </c>
      <c r="AE142" s="10">
        <v>4</v>
      </c>
      <c r="AF142" s="10">
        <v>4</v>
      </c>
      <c r="AG142" s="10">
        <v>0</v>
      </c>
      <c r="AH142" s="9" t="s">
        <v>41</v>
      </c>
      <c r="AI142" s="9" t="s">
        <v>263</v>
      </c>
    </row>
    <row r="143" spans="1:35" x14ac:dyDescent="0.25">
      <c r="A143" s="9" t="s">
        <v>558</v>
      </c>
      <c r="B143" s="1" t="s">
        <v>730</v>
      </c>
      <c r="C143" s="1" t="s">
        <v>426</v>
      </c>
      <c r="D143" s="10">
        <v>3</v>
      </c>
      <c r="E143" s="10">
        <v>2015</v>
      </c>
      <c r="F143" s="9" t="s">
        <v>38</v>
      </c>
      <c r="G143" s="9" t="s">
        <v>54</v>
      </c>
      <c r="H143" s="1">
        <v>8.3000000000000007</v>
      </c>
      <c r="I143" s="1">
        <v>0.6</v>
      </c>
      <c r="J143" s="9" t="s">
        <v>30</v>
      </c>
      <c r="K143" s="1">
        <v>0.5</v>
      </c>
      <c r="L143" s="10">
        <v>21</v>
      </c>
      <c r="M143" s="3">
        <v>0</v>
      </c>
      <c r="N143" s="11">
        <v>0.05</v>
      </c>
      <c r="O143">
        <v>9</v>
      </c>
      <c r="P143" s="11">
        <v>0</v>
      </c>
      <c r="Q143" s="11">
        <v>5.5555555555555552E-2</v>
      </c>
      <c r="R143" s="11">
        <v>0</v>
      </c>
      <c r="S143" s="11">
        <v>0.05</v>
      </c>
      <c r="T143" s="9" t="s">
        <v>40</v>
      </c>
      <c r="U143" s="9" t="s">
        <v>50</v>
      </c>
      <c r="V143" s="9" t="s">
        <v>33</v>
      </c>
      <c r="W143" s="9" t="s">
        <v>272</v>
      </c>
      <c r="X143" s="1">
        <v>8.6</v>
      </c>
      <c r="Y143" s="1">
        <v>15</v>
      </c>
      <c r="Z143" s="3">
        <f t="shared" si="5"/>
        <v>0.57333333333333336</v>
      </c>
      <c r="AA143" s="11">
        <v>0</v>
      </c>
      <c r="AB143" s="11" t="s">
        <v>31</v>
      </c>
      <c r="AC143" s="10">
        <v>4</v>
      </c>
      <c r="AD143" s="10">
        <v>4</v>
      </c>
      <c r="AE143" s="10">
        <v>4</v>
      </c>
      <c r="AF143" s="10">
        <v>4</v>
      </c>
      <c r="AG143" s="10">
        <v>0</v>
      </c>
      <c r="AH143" s="9" t="s">
        <v>41</v>
      </c>
      <c r="AI143" s="9" t="s">
        <v>263</v>
      </c>
    </row>
    <row r="144" spans="1:35" x14ac:dyDescent="0.25">
      <c r="A144" s="9" t="s">
        <v>559</v>
      </c>
      <c r="B144" s="1" t="s">
        <v>731</v>
      </c>
      <c r="C144" s="1" t="s">
        <v>427</v>
      </c>
      <c r="D144" s="10">
        <v>3</v>
      </c>
      <c r="E144" s="10">
        <v>2015</v>
      </c>
      <c r="F144" s="9" t="s">
        <v>38</v>
      </c>
      <c r="G144" s="9" t="s">
        <v>29</v>
      </c>
      <c r="H144" s="1">
        <v>26.2</v>
      </c>
      <c r="I144" s="1">
        <v>5</v>
      </c>
      <c r="J144" s="9" t="s">
        <v>30</v>
      </c>
      <c r="K144" s="1">
        <v>0.51</v>
      </c>
      <c r="L144" s="10">
        <v>285</v>
      </c>
      <c r="M144" s="3">
        <v>0.28000000000000003</v>
      </c>
      <c r="N144" s="11">
        <v>2.99065690140845E-3</v>
      </c>
      <c r="O144">
        <v>1415</v>
      </c>
      <c r="P144" s="11">
        <v>0.28768207245178101</v>
      </c>
      <c r="Q144" s="11">
        <v>3.5460992907801422E-3</v>
      </c>
      <c r="R144" s="11">
        <v>0.28045927760985961</v>
      </c>
      <c r="S144" s="11">
        <v>2.988986530937621E-3</v>
      </c>
      <c r="T144" s="9" t="s">
        <v>40</v>
      </c>
      <c r="U144" s="9" t="s">
        <v>50</v>
      </c>
      <c r="V144" s="9" t="s">
        <v>33</v>
      </c>
      <c r="W144" s="9" t="s">
        <v>337</v>
      </c>
      <c r="X144" s="1">
        <v>15.62</v>
      </c>
      <c r="Y144" s="1">
        <v>15</v>
      </c>
      <c r="Z144" s="3">
        <f t="shared" si="5"/>
        <v>1.0413333333333332</v>
      </c>
      <c r="AA144" s="11">
        <v>0.26970995721700558</v>
      </c>
      <c r="AB144" s="11">
        <v>5.5306274219719329E-2</v>
      </c>
      <c r="AC144" s="10">
        <v>3</v>
      </c>
      <c r="AD144" s="10">
        <v>3</v>
      </c>
      <c r="AE144" s="10">
        <v>3</v>
      </c>
      <c r="AF144" s="10">
        <v>3</v>
      </c>
      <c r="AG144" s="10">
        <v>2</v>
      </c>
      <c r="AH144" s="9" t="s">
        <v>34</v>
      </c>
      <c r="AI144" s="9" t="s">
        <v>35</v>
      </c>
    </row>
    <row r="145" spans="1:35" x14ac:dyDescent="0.25">
      <c r="A145" s="9" t="s">
        <v>559</v>
      </c>
      <c r="B145" s="1" t="s">
        <v>732</v>
      </c>
      <c r="C145" s="1" t="s">
        <v>406</v>
      </c>
      <c r="D145" s="10">
        <v>3</v>
      </c>
      <c r="E145" s="10">
        <v>2015</v>
      </c>
      <c r="F145" s="9" t="s">
        <v>38</v>
      </c>
      <c r="G145" s="9" t="s">
        <v>29</v>
      </c>
      <c r="H145" s="1">
        <v>23.5</v>
      </c>
      <c r="I145" s="1">
        <v>5.0999999999999996</v>
      </c>
      <c r="J145" s="9" t="s">
        <v>43</v>
      </c>
      <c r="K145" s="1">
        <v>1</v>
      </c>
      <c r="L145" s="10">
        <v>107</v>
      </c>
      <c r="M145" s="3">
        <v>0.08</v>
      </c>
      <c r="N145" s="11">
        <v>9.3135939622641523E-3</v>
      </c>
      <c r="O145">
        <v>1415</v>
      </c>
      <c r="P145" s="11">
        <v>8.0171325037589738E-2</v>
      </c>
      <c r="Q145" s="11">
        <v>9.6153846153846159E-3</v>
      </c>
      <c r="R145" s="11">
        <v>8.038674089066411E-2</v>
      </c>
      <c r="S145" s="11">
        <v>9.3124311470307742E-3</v>
      </c>
      <c r="T145" s="9" t="s">
        <v>40</v>
      </c>
      <c r="U145" s="9" t="s">
        <v>50</v>
      </c>
      <c r="V145" s="9" t="s">
        <v>33</v>
      </c>
      <c r="W145" s="9" t="s">
        <v>337</v>
      </c>
      <c r="X145" s="1">
        <v>11.45</v>
      </c>
      <c r="Y145" s="1">
        <v>15</v>
      </c>
      <c r="Z145" s="3">
        <f t="shared" si="5"/>
        <v>0.76333333333333331</v>
      </c>
      <c r="AA145" s="11">
        <v>0.1045641183947779</v>
      </c>
      <c r="AB145" s="11">
        <v>0.12656618120994201</v>
      </c>
      <c r="AC145" s="10">
        <v>3</v>
      </c>
      <c r="AD145" s="10">
        <v>3</v>
      </c>
      <c r="AE145" s="10">
        <v>3</v>
      </c>
      <c r="AF145" s="10">
        <v>3</v>
      </c>
      <c r="AG145" s="10">
        <v>2</v>
      </c>
      <c r="AH145" s="9" t="s">
        <v>34</v>
      </c>
      <c r="AI145" s="9" t="s">
        <v>35</v>
      </c>
    </row>
    <row r="146" spans="1:35" x14ac:dyDescent="0.25">
      <c r="A146" s="9" t="s">
        <v>559</v>
      </c>
      <c r="B146" s="1" t="s">
        <v>733</v>
      </c>
      <c r="C146" s="1" t="s">
        <v>428</v>
      </c>
      <c r="D146" s="10">
        <v>3</v>
      </c>
      <c r="E146" s="10">
        <v>2015</v>
      </c>
      <c r="F146" s="9" t="s">
        <v>38</v>
      </c>
      <c r="G146" s="9" t="s">
        <v>29</v>
      </c>
      <c r="H146" s="1">
        <v>21.7</v>
      </c>
      <c r="I146" s="1">
        <v>2.9</v>
      </c>
      <c r="J146" s="9" t="s">
        <v>30</v>
      </c>
      <c r="K146" s="1">
        <v>0.54</v>
      </c>
      <c r="L146" s="10">
        <v>125</v>
      </c>
      <c r="M146" s="3">
        <v>0.04</v>
      </c>
      <c r="N146" s="11">
        <v>8.0387303225806436E-3</v>
      </c>
      <c r="O146">
        <v>1415</v>
      </c>
      <c r="P146" s="11">
        <v>4.0021353836768282E-2</v>
      </c>
      <c r="Q146" s="11">
        <v>8.1967213114754103E-3</v>
      </c>
      <c r="R146" s="11">
        <v>4.0165359331861453E-2</v>
      </c>
      <c r="S146" s="11">
        <v>8.0385168581830462E-3</v>
      </c>
      <c r="T146" s="9" t="s">
        <v>40</v>
      </c>
      <c r="U146" s="9" t="s">
        <v>50</v>
      </c>
      <c r="V146" s="9" t="s">
        <v>33</v>
      </c>
      <c r="W146" s="9" t="s">
        <v>266</v>
      </c>
      <c r="X146" s="1">
        <v>13.13</v>
      </c>
      <c r="Y146" s="1">
        <v>15</v>
      </c>
      <c r="Z146" s="3">
        <f t="shared" si="5"/>
        <v>0.87533333333333341</v>
      </c>
      <c r="AA146" s="11">
        <v>4.5685726749797838E-2</v>
      </c>
      <c r="AB146" s="11">
        <v>0.1028509492170263</v>
      </c>
      <c r="AC146" s="10">
        <v>3</v>
      </c>
      <c r="AD146" s="10">
        <v>3</v>
      </c>
      <c r="AE146" s="10">
        <v>3</v>
      </c>
      <c r="AF146" s="10">
        <v>3</v>
      </c>
      <c r="AG146" s="10">
        <v>2</v>
      </c>
      <c r="AH146" s="9" t="s">
        <v>34</v>
      </c>
      <c r="AI146" s="9" t="s">
        <v>35</v>
      </c>
    </row>
    <row r="147" spans="1:35" x14ac:dyDescent="0.25">
      <c r="A147" s="9" t="s">
        <v>560</v>
      </c>
      <c r="B147" s="1" t="s">
        <v>734</v>
      </c>
      <c r="C147" s="1" t="s">
        <v>429</v>
      </c>
      <c r="D147" s="10">
        <v>3</v>
      </c>
      <c r="E147" s="10">
        <v>2015</v>
      </c>
      <c r="F147" s="9" t="s">
        <v>38</v>
      </c>
      <c r="G147" s="9" t="s">
        <v>54</v>
      </c>
      <c r="H147" s="1">
        <v>17</v>
      </c>
      <c r="I147" s="1" t="s">
        <v>31</v>
      </c>
      <c r="J147" s="9" t="s">
        <v>30</v>
      </c>
      <c r="K147" s="1">
        <v>0.83</v>
      </c>
      <c r="L147" s="10">
        <v>366</v>
      </c>
      <c r="M147" s="3">
        <v>0.23</v>
      </c>
      <c r="N147" s="11">
        <v>2.4575298904109589E-3</v>
      </c>
      <c r="O147">
        <v>131</v>
      </c>
      <c r="P147" s="11">
        <v>0.2341894667593668</v>
      </c>
      <c r="Q147" s="11">
        <v>2.754820936639119E-3</v>
      </c>
      <c r="R147" s="11">
        <v>0.23030098230119389</v>
      </c>
      <c r="S147" s="11">
        <v>2.4568109646227769E-3</v>
      </c>
      <c r="T147" s="9" t="s">
        <v>40</v>
      </c>
      <c r="U147" s="9" t="s">
        <v>50</v>
      </c>
      <c r="V147" s="9" t="s">
        <v>33</v>
      </c>
      <c r="W147" s="9" t="s">
        <v>908</v>
      </c>
      <c r="X147" s="1">
        <v>12</v>
      </c>
      <c r="Y147" s="1">
        <v>15</v>
      </c>
      <c r="Z147" s="3">
        <f t="shared" si="5"/>
        <v>0.8</v>
      </c>
      <c r="AA147" s="11">
        <v>0.28331569285392399</v>
      </c>
      <c r="AB147" s="11">
        <v>6.1017665064915703E-2</v>
      </c>
      <c r="AC147" s="10" t="s">
        <v>31</v>
      </c>
      <c r="AD147" s="10" t="s">
        <v>31</v>
      </c>
      <c r="AE147" s="10" t="s">
        <v>31</v>
      </c>
      <c r="AF147" s="10" t="s">
        <v>31</v>
      </c>
      <c r="AG147" s="10">
        <v>0</v>
      </c>
      <c r="AH147" s="9" t="s">
        <v>41</v>
      </c>
      <c r="AI147" s="9" t="s">
        <v>35</v>
      </c>
    </row>
    <row r="148" spans="1:35" x14ac:dyDescent="0.25">
      <c r="A148" s="9" t="s">
        <v>560</v>
      </c>
      <c r="B148" s="1" t="s">
        <v>735</v>
      </c>
      <c r="C148" s="1" t="s">
        <v>430</v>
      </c>
      <c r="D148" s="10">
        <v>3</v>
      </c>
      <c r="E148" s="10">
        <v>2015</v>
      </c>
      <c r="F148" s="9" t="s">
        <v>28</v>
      </c>
      <c r="G148" s="9" t="s">
        <v>54</v>
      </c>
      <c r="H148" s="1">
        <v>16.600000000000001</v>
      </c>
      <c r="I148" s="1" t="s">
        <v>31</v>
      </c>
      <c r="J148" s="9" t="s">
        <v>30</v>
      </c>
      <c r="K148" s="1">
        <v>0.88</v>
      </c>
      <c r="L148" s="10">
        <v>328</v>
      </c>
      <c r="M148" s="3">
        <v>0.04</v>
      </c>
      <c r="N148" s="11">
        <v>3.0483258715596328E-3</v>
      </c>
      <c r="O148">
        <v>131</v>
      </c>
      <c r="P148" s="11">
        <v>4.0021353836768282E-2</v>
      </c>
      <c r="Q148" s="11">
        <v>3.0769230769230769E-3</v>
      </c>
      <c r="R148" s="11">
        <v>4.0061676420109542E-2</v>
      </c>
      <c r="S148" s="11">
        <v>3.0482957186255049E-3</v>
      </c>
      <c r="T148" s="9" t="s">
        <v>40</v>
      </c>
      <c r="U148" s="9" t="s">
        <v>50</v>
      </c>
      <c r="V148" s="9" t="s">
        <v>33</v>
      </c>
      <c r="W148" s="9" t="s">
        <v>908</v>
      </c>
      <c r="X148" s="1">
        <v>17</v>
      </c>
      <c r="Y148" s="1">
        <v>15</v>
      </c>
      <c r="Z148" s="3">
        <f t="shared" si="5"/>
        <v>1.1333333333333333</v>
      </c>
      <c r="AA148" s="11">
        <v>3.5300372107890339E-2</v>
      </c>
      <c r="AB148" s="11">
        <v>4.8855862754492621E-2</v>
      </c>
      <c r="AC148" s="10" t="s">
        <v>31</v>
      </c>
      <c r="AD148" s="10" t="s">
        <v>31</v>
      </c>
      <c r="AE148" s="10" t="s">
        <v>31</v>
      </c>
      <c r="AF148" s="10" t="s">
        <v>31</v>
      </c>
      <c r="AG148" s="10">
        <v>0</v>
      </c>
      <c r="AH148" s="9" t="s">
        <v>41</v>
      </c>
      <c r="AI148" s="9" t="s">
        <v>35</v>
      </c>
    </row>
    <row r="149" spans="1:35" x14ac:dyDescent="0.25">
      <c r="A149" s="9" t="s">
        <v>562</v>
      </c>
      <c r="B149" s="1" t="s">
        <v>737</v>
      </c>
      <c r="C149" s="1" t="s">
        <v>431</v>
      </c>
      <c r="D149" s="10">
        <v>3</v>
      </c>
      <c r="E149" s="10">
        <v>2015</v>
      </c>
      <c r="F149" s="9" t="s">
        <v>28</v>
      </c>
      <c r="G149" s="9" t="s">
        <v>54</v>
      </c>
      <c r="H149" s="1">
        <v>17.32</v>
      </c>
      <c r="I149" s="1">
        <v>1.18</v>
      </c>
      <c r="J149" s="9" t="s">
        <v>43</v>
      </c>
      <c r="K149" s="1">
        <v>1</v>
      </c>
      <c r="L149" s="10">
        <v>178</v>
      </c>
      <c r="M149" s="3">
        <v>0.19</v>
      </c>
      <c r="N149" s="11">
        <v>5.2491706779661017E-3</v>
      </c>
      <c r="O149">
        <v>207</v>
      </c>
      <c r="P149" s="11">
        <v>0.1923371692195453</v>
      </c>
      <c r="Q149" s="11">
        <v>5.7142857142857143E-3</v>
      </c>
      <c r="R149" s="11">
        <v>0.19052677241323879</v>
      </c>
      <c r="S149" s="11">
        <v>5.2469876877448678E-3</v>
      </c>
      <c r="T149" s="9" t="s">
        <v>40</v>
      </c>
      <c r="U149" s="9" t="s">
        <v>50</v>
      </c>
      <c r="V149" s="9" t="s">
        <v>33</v>
      </c>
      <c r="W149" s="9" t="s">
        <v>339</v>
      </c>
      <c r="X149" s="1">
        <v>12.06</v>
      </c>
      <c r="Y149" s="1">
        <v>15</v>
      </c>
      <c r="Z149" s="3">
        <f t="shared" si="5"/>
        <v>0.80400000000000005</v>
      </c>
      <c r="AA149" s="11">
        <v>0.23401918576133079</v>
      </c>
      <c r="AB149" s="11">
        <v>8.938514370448937E-2</v>
      </c>
      <c r="AC149" s="10">
        <v>3</v>
      </c>
      <c r="AD149" s="10">
        <v>3</v>
      </c>
      <c r="AE149" s="10">
        <v>3</v>
      </c>
      <c r="AF149" s="10">
        <v>3</v>
      </c>
      <c r="AG149" s="10">
        <v>0</v>
      </c>
      <c r="AH149" s="9" t="s">
        <v>41</v>
      </c>
      <c r="AI149" s="9" t="s">
        <v>35</v>
      </c>
    </row>
    <row r="150" spans="1:35" x14ac:dyDescent="0.25">
      <c r="A150" s="9" t="s">
        <v>563</v>
      </c>
      <c r="B150" s="1" t="s">
        <v>738</v>
      </c>
      <c r="C150" s="1" t="s">
        <v>432</v>
      </c>
      <c r="D150" s="10">
        <v>3</v>
      </c>
      <c r="E150" s="10">
        <v>2016</v>
      </c>
      <c r="F150" s="9" t="s">
        <v>28</v>
      </c>
      <c r="G150" s="9" t="s">
        <v>29</v>
      </c>
      <c r="H150" s="1">
        <v>25.1</v>
      </c>
      <c r="I150" s="1">
        <v>12.05</v>
      </c>
      <c r="J150" s="9" t="s">
        <v>30</v>
      </c>
      <c r="K150" s="1">
        <v>0.67</v>
      </c>
      <c r="L150" s="10">
        <v>30</v>
      </c>
      <c r="M150" s="3">
        <v>0.72599999999999998</v>
      </c>
      <c r="N150" s="11">
        <v>7.712314130206897E-3</v>
      </c>
      <c r="O150">
        <v>90</v>
      </c>
      <c r="P150" s="11">
        <v>0.92021688262765144</v>
      </c>
      <c r="Q150" s="11">
        <v>3.7037037037037042E-2</v>
      </c>
      <c r="R150" s="11">
        <v>0.73236325986495021</v>
      </c>
      <c r="S150" s="11">
        <v>7.4126141480413982E-3</v>
      </c>
      <c r="T150" s="9" t="s">
        <v>40</v>
      </c>
      <c r="U150" s="9" t="s">
        <v>46</v>
      </c>
      <c r="V150" s="9" t="s">
        <v>33</v>
      </c>
      <c r="W150" s="9" t="s">
        <v>344</v>
      </c>
      <c r="X150" s="1">
        <v>20.95</v>
      </c>
      <c r="Y150" s="1">
        <v>15</v>
      </c>
      <c r="Z150" s="3">
        <f t="shared" si="5"/>
        <v>1.3966666666666667</v>
      </c>
      <c r="AA150" s="11">
        <v>0.60299370677561759</v>
      </c>
      <c r="AB150" s="11">
        <v>0.145254860828676</v>
      </c>
      <c r="AC150" s="10">
        <v>2</v>
      </c>
      <c r="AD150" s="10">
        <v>2</v>
      </c>
      <c r="AE150" s="10">
        <v>2</v>
      </c>
      <c r="AF150" s="10">
        <v>2</v>
      </c>
      <c r="AG150" s="10">
        <v>2</v>
      </c>
      <c r="AH150" s="9" t="s">
        <v>41</v>
      </c>
      <c r="AI150" s="9" t="s">
        <v>35</v>
      </c>
    </row>
    <row r="151" spans="1:35" x14ac:dyDescent="0.25">
      <c r="A151" s="9" t="s">
        <v>564</v>
      </c>
      <c r="B151" s="1" t="s">
        <v>739</v>
      </c>
      <c r="C151" s="1" t="s">
        <v>433</v>
      </c>
      <c r="D151" s="10">
        <v>3</v>
      </c>
      <c r="E151" s="10">
        <v>2016</v>
      </c>
      <c r="F151" s="9" t="s">
        <v>38</v>
      </c>
      <c r="G151" s="9" t="s">
        <v>29</v>
      </c>
      <c r="H151" s="1">
        <v>32.69</v>
      </c>
      <c r="I151" s="1">
        <v>13.6</v>
      </c>
      <c r="J151" s="9" t="s">
        <v>30</v>
      </c>
      <c r="K151" s="1">
        <v>0.42</v>
      </c>
      <c r="L151" s="10">
        <v>164</v>
      </c>
      <c r="M151" s="3">
        <v>0.26</v>
      </c>
      <c r="N151" s="11">
        <v>5.333556809815951E-3</v>
      </c>
      <c r="O151">
        <v>1047</v>
      </c>
      <c r="P151" s="11">
        <v>0.26610840687365411</v>
      </c>
      <c r="Q151" s="11">
        <v>6.2111801242236021E-3</v>
      </c>
      <c r="R151" s="11">
        <v>0.2607580255117562</v>
      </c>
      <c r="S151" s="11">
        <v>5.3290416564427054E-3</v>
      </c>
      <c r="T151" s="9" t="s">
        <v>40</v>
      </c>
      <c r="U151" s="9" t="s">
        <v>50</v>
      </c>
      <c r="V151" s="9" t="s">
        <v>33</v>
      </c>
      <c r="W151" s="9" t="s">
        <v>341</v>
      </c>
      <c r="X151" s="1" t="s">
        <v>31</v>
      </c>
      <c r="Y151" s="1" t="s">
        <v>31</v>
      </c>
      <c r="Z151" s="3" t="s">
        <v>31</v>
      </c>
      <c r="AA151" s="11" t="s">
        <v>31</v>
      </c>
      <c r="AB151" s="11" t="s">
        <v>31</v>
      </c>
      <c r="AC151" s="10">
        <v>3</v>
      </c>
      <c r="AD151" s="10">
        <v>3</v>
      </c>
      <c r="AE151" s="10">
        <v>3</v>
      </c>
      <c r="AF151" s="10">
        <v>3</v>
      </c>
      <c r="AG151" s="10">
        <v>0</v>
      </c>
      <c r="AH151" s="9" t="s">
        <v>41</v>
      </c>
      <c r="AI151" s="9" t="s">
        <v>35</v>
      </c>
    </row>
    <row r="152" spans="1:35" x14ac:dyDescent="0.25">
      <c r="A152" s="9" t="s">
        <v>565</v>
      </c>
      <c r="B152" s="1" t="s">
        <v>740</v>
      </c>
      <c r="C152" s="1" t="s">
        <v>434</v>
      </c>
      <c r="D152" s="10">
        <v>3</v>
      </c>
      <c r="E152" s="10">
        <v>2016</v>
      </c>
      <c r="F152" s="9" t="s">
        <v>38</v>
      </c>
      <c r="G152" s="9" t="s">
        <v>54</v>
      </c>
      <c r="H152" s="1">
        <v>14.7</v>
      </c>
      <c r="I152" s="1">
        <v>3.3</v>
      </c>
      <c r="J152" s="9" t="s">
        <v>30</v>
      </c>
      <c r="K152" s="1">
        <v>0.56999999999999995</v>
      </c>
      <c r="L152" s="10">
        <v>662</v>
      </c>
      <c r="M152" s="3">
        <v>0.24099999999999999</v>
      </c>
      <c r="N152" s="11">
        <v>1.342226025054463E-3</v>
      </c>
      <c r="O152">
        <v>1302</v>
      </c>
      <c r="P152" s="11">
        <v>0.24583550390448869</v>
      </c>
      <c r="Q152" s="11">
        <v>1.5174506828528069E-3</v>
      </c>
      <c r="R152" s="11">
        <v>0.24117252540505019</v>
      </c>
      <c r="S152" s="11">
        <v>1.3419889540545601E-3</v>
      </c>
      <c r="T152" s="9" t="s">
        <v>40</v>
      </c>
      <c r="U152" s="9" t="s">
        <v>50</v>
      </c>
      <c r="V152" s="9" t="s">
        <v>33</v>
      </c>
      <c r="W152" s="9" t="s">
        <v>340</v>
      </c>
      <c r="X152" s="1" t="s">
        <v>31</v>
      </c>
      <c r="Y152" s="1" t="s">
        <v>31</v>
      </c>
      <c r="Z152" s="3" t="s">
        <v>31</v>
      </c>
      <c r="AA152" s="11" t="s">
        <v>31</v>
      </c>
      <c r="AB152" s="11" t="s">
        <v>31</v>
      </c>
      <c r="AC152" s="10">
        <v>4</v>
      </c>
      <c r="AD152" s="10">
        <v>4</v>
      </c>
      <c r="AE152" s="10">
        <v>3</v>
      </c>
      <c r="AF152" s="10">
        <v>3</v>
      </c>
      <c r="AG152" s="10">
        <v>2</v>
      </c>
      <c r="AH152" s="9" t="s">
        <v>34</v>
      </c>
      <c r="AI152" s="9" t="s">
        <v>35</v>
      </c>
    </row>
    <row r="153" spans="1:35" x14ac:dyDescent="0.25">
      <c r="A153" s="9" t="s">
        <v>566</v>
      </c>
      <c r="B153" s="1" t="s">
        <v>741</v>
      </c>
      <c r="C153" s="1" t="s">
        <v>435</v>
      </c>
      <c r="D153" s="10">
        <v>3</v>
      </c>
      <c r="E153" s="10">
        <v>2016</v>
      </c>
      <c r="F153" s="9" t="s">
        <v>28</v>
      </c>
      <c r="G153" s="9" t="s">
        <v>54</v>
      </c>
      <c r="H153" s="1">
        <v>7.5</v>
      </c>
      <c r="I153" s="1">
        <v>0.2</v>
      </c>
      <c r="J153" s="9" t="s">
        <v>30</v>
      </c>
      <c r="K153" s="1">
        <v>0.5</v>
      </c>
      <c r="L153" s="10">
        <v>134</v>
      </c>
      <c r="M153" s="3">
        <v>0.26</v>
      </c>
      <c r="N153" s="11">
        <v>6.5366147368421052E-3</v>
      </c>
      <c r="O153" t="s">
        <v>267</v>
      </c>
      <c r="P153" s="11">
        <v>0.26610840687365411</v>
      </c>
      <c r="Q153" s="11">
        <v>7.6335877862595417E-3</v>
      </c>
      <c r="R153" s="11">
        <v>0.26093307783612418</v>
      </c>
      <c r="S153" s="11">
        <v>6.5298012846691624E-3</v>
      </c>
      <c r="T153" s="9" t="s">
        <v>40</v>
      </c>
      <c r="U153" s="9" t="s">
        <v>46</v>
      </c>
      <c r="V153" s="9" t="s">
        <v>33</v>
      </c>
      <c r="W153" s="9" t="s">
        <v>266</v>
      </c>
      <c r="X153" s="1">
        <v>13.7</v>
      </c>
      <c r="Y153" s="1">
        <v>15</v>
      </c>
      <c r="Z153" s="3">
        <f>X153/Y153</f>
        <v>0.91333333333333333</v>
      </c>
      <c r="AA153" s="11">
        <v>0.28277790519715051</v>
      </c>
      <c r="AB153" s="11">
        <v>9.0196390436812726E-2</v>
      </c>
      <c r="AC153" s="10">
        <v>3</v>
      </c>
      <c r="AD153" s="10">
        <v>3</v>
      </c>
      <c r="AE153" s="10">
        <v>3</v>
      </c>
      <c r="AF153" s="10">
        <v>3</v>
      </c>
      <c r="AG153" s="10">
        <v>2</v>
      </c>
      <c r="AH153" s="9" t="s">
        <v>41</v>
      </c>
      <c r="AI153" s="9" t="s">
        <v>35</v>
      </c>
    </row>
    <row r="154" spans="1:35" x14ac:dyDescent="0.25">
      <c r="A154" s="9" t="s">
        <v>567</v>
      </c>
      <c r="B154" s="1" t="s">
        <v>736</v>
      </c>
      <c r="C154" s="1" t="s">
        <v>436</v>
      </c>
      <c r="D154" s="10">
        <v>3</v>
      </c>
      <c r="E154" s="10">
        <v>2016</v>
      </c>
      <c r="F154" s="9" t="s">
        <v>38</v>
      </c>
      <c r="G154" s="9" t="s">
        <v>29</v>
      </c>
      <c r="H154" s="1">
        <v>21.15</v>
      </c>
      <c r="I154" s="1">
        <v>2.556</v>
      </c>
      <c r="J154" s="9" t="s">
        <v>30</v>
      </c>
      <c r="K154" s="1">
        <v>0.34</v>
      </c>
      <c r="L154" s="10">
        <v>71</v>
      </c>
      <c r="M154" s="3">
        <v>0.435</v>
      </c>
      <c r="N154" s="11">
        <v>9.3908014375000005E-3</v>
      </c>
      <c r="O154">
        <v>2612</v>
      </c>
      <c r="P154" s="11">
        <v>0.46604719852364029</v>
      </c>
      <c r="Q154" s="11">
        <v>1.470588235294118E-2</v>
      </c>
      <c r="R154" s="11">
        <v>0.43762462815810571</v>
      </c>
      <c r="S154" s="11">
        <v>9.3378212229117599E-3</v>
      </c>
      <c r="T154" s="9" t="s">
        <v>40</v>
      </c>
      <c r="U154" s="9" t="s">
        <v>31</v>
      </c>
      <c r="V154" s="9" t="s">
        <v>51</v>
      </c>
      <c r="W154" s="9" t="s">
        <v>342</v>
      </c>
      <c r="X154" s="1" t="s">
        <v>31</v>
      </c>
      <c r="Y154" s="1" t="s">
        <v>31</v>
      </c>
      <c r="Z154" s="3" t="s">
        <v>31</v>
      </c>
      <c r="AA154" s="11" t="s">
        <v>31</v>
      </c>
      <c r="AB154" s="11" t="s">
        <v>31</v>
      </c>
      <c r="AC154" s="10">
        <v>3</v>
      </c>
      <c r="AD154" s="10">
        <v>3</v>
      </c>
      <c r="AE154" s="10">
        <v>3</v>
      </c>
      <c r="AF154" s="10">
        <v>3</v>
      </c>
      <c r="AG154" s="10">
        <v>0</v>
      </c>
      <c r="AH154" s="9" t="s">
        <v>34</v>
      </c>
      <c r="AI154" s="9" t="s">
        <v>35</v>
      </c>
    </row>
    <row r="155" spans="1:35" x14ac:dyDescent="0.25">
      <c r="A155" s="9" t="s">
        <v>909</v>
      </c>
      <c r="B155" s="1" t="s">
        <v>847</v>
      </c>
      <c r="C155" s="1" t="s">
        <v>437</v>
      </c>
      <c r="D155" s="10">
        <v>3</v>
      </c>
      <c r="E155" s="10">
        <v>2016</v>
      </c>
      <c r="F155" s="9" t="s">
        <v>38</v>
      </c>
      <c r="G155" s="9" t="s">
        <v>29</v>
      </c>
      <c r="H155" s="1">
        <v>24.57</v>
      </c>
      <c r="I155" s="1" t="s">
        <v>31</v>
      </c>
      <c r="J155" s="9" t="s">
        <v>39</v>
      </c>
      <c r="K155" s="1">
        <v>0</v>
      </c>
      <c r="L155" s="10">
        <v>90</v>
      </c>
      <c r="M155" s="3">
        <v>0.14299999999999999</v>
      </c>
      <c r="N155" s="11">
        <v>1.078112541124719E-2</v>
      </c>
      <c r="O155">
        <v>208</v>
      </c>
      <c r="P155" s="11">
        <v>0.1439868725985155</v>
      </c>
      <c r="Q155" s="11">
        <v>1.149425287356322E-2</v>
      </c>
      <c r="R155" s="11">
        <v>0.14381630037384599</v>
      </c>
      <c r="S155" s="11">
        <v>1.07759723066056E-2</v>
      </c>
      <c r="T155" s="9" t="s">
        <v>40</v>
      </c>
      <c r="U155" s="9" t="s">
        <v>50</v>
      </c>
      <c r="V155" s="9" t="s">
        <v>51</v>
      </c>
      <c r="W155" s="9" t="s">
        <v>338</v>
      </c>
      <c r="X155" s="1" t="s">
        <v>31</v>
      </c>
      <c r="Y155" s="1" t="s">
        <v>31</v>
      </c>
      <c r="Z155" s="3" t="s">
        <v>31</v>
      </c>
      <c r="AA155" s="11" t="s">
        <v>31</v>
      </c>
      <c r="AB155" s="11" t="s">
        <v>31</v>
      </c>
      <c r="AC155" s="10">
        <v>3</v>
      </c>
      <c r="AD155" s="10">
        <v>2</v>
      </c>
      <c r="AE155" s="10">
        <v>3</v>
      </c>
      <c r="AF155" s="10">
        <v>3</v>
      </c>
      <c r="AG155" s="10">
        <v>0</v>
      </c>
      <c r="AH155" s="9" t="s">
        <v>41</v>
      </c>
      <c r="AI155" s="9" t="s">
        <v>35</v>
      </c>
    </row>
    <row r="156" spans="1:35" x14ac:dyDescent="0.25">
      <c r="A156" s="9" t="s">
        <v>909</v>
      </c>
      <c r="B156" s="1" t="s">
        <v>848</v>
      </c>
      <c r="C156" s="1" t="s">
        <v>438</v>
      </c>
      <c r="D156" s="10">
        <v>3</v>
      </c>
      <c r="E156" s="10">
        <v>2016</v>
      </c>
      <c r="F156" s="9" t="s">
        <v>38</v>
      </c>
      <c r="G156" s="9" t="s">
        <v>29</v>
      </c>
      <c r="H156" s="1">
        <v>24.07</v>
      </c>
      <c r="I156" s="1" t="s">
        <v>31</v>
      </c>
      <c r="J156" s="9" t="s">
        <v>43</v>
      </c>
      <c r="K156" s="1">
        <v>1</v>
      </c>
      <c r="L156" s="10">
        <v>121</v>
      </c>
      <c r="M156" s="3">
        <v>0.129</v>
      </c>
      <c r="N156" s="11">
        <v>8.0582910240083339E-3</v>
      </c>
      <c r="O156">
        <v>208</v>
      </c>
      <c r="P156" s="11">
        <v>0.12972279364857961</v>
      </c>
      <c r="Q156" s="11">
        <v>8.4745762711864406E-3</v>
      </c>
      <c r="R156" s="11">
        <v>0.1295430846461981</v>
      </c>
      <c r="S156" s="11">
        <v>8.0559899515704279E-3</v>
      </c>
      <c r="T156" s="9" t="s">
        <v>40</v>
      </c>
      <c r="U156" s="9" t="s">
        <v>50</v>
      </c>
      <c r="V156" s="9" t="s">
        <v>51</v>
      </c>
      <c r="W156" s="9" t="s">
        <v>338</v>
      </c>
      <c r="X156" s="1" t="s">
        <v>31</v>
      </c>
      <c r="Y156" s="1" t="s">
        <v>31</v>
      </c>
      <c r="Z156" s="3" t="s">
        <v>31</v>
      </c>
      <c r="AA156" s="11" t="s">
        <v>31</v>
      </c>
      <c r="AB156" s="11" t="s">
        <v>31</v>
      </c>
      <c r="AC156" s="10">
        <v>3</v>
      </c>
      <c r="AD156" s="10">
        <v>2</v>
      </c>
      <c r="AE156" s="10">
        <v>3</v>
      </c>
      <c r="AF156" s="10">
        <v>3</v>
      </c>
      <c r="AG156" s="10">
        <v>0</v>
      </c>
      <c r="AH156" s="9" t="s">
        <v>41</v>
      </c>
      <c r="AI156" s="9" t="s">
        <v>35</v>
      </c>
    </row>
    <row r="157" spans="1:35" x14ac:dyDescent="0.25">
      <c r="A157" s="9" t="s">
        <v>568</v>
      </c>
      <c r="B157" s="1" t="s">
        <v>1000</v>
      </c>
      <c r="C157" s="1" t="s">
        <v>439</v>
      </c>
      <c r="D157" s="10">
        <v>3</v>
      </c>
      <c r="E157" s="10">
        <v>2016</v>
      </c>
      <c r="F157" s="9" t="s">
        <v>28</v>
      </c>
      <c r="G157" s="9" t="s">
        <v>54</v>
      </c>
      <c r="H157" s="1">
        <v>12.5</v>
      </c>
      <c r="I157" s="1">
        <v>3.3</v>
      </c>
      <c r="J157" s="9" t="s">
        <v>30</v>
      </c>
      <c r="K157" s="1">
        <v>0.53</v>
      </c>
      <c r="L157" s="10">
        <v>50</v>
      </c>
      <c r="M157" s="3">
        <v>0.21</v>
      </c>
      <c r="N157" s="11">
        <v>1.864785326530612E-2</v>
      </c>
      <c r="O157">
        <v>6</v>
      </c>
      <c r="P157" s="11">
        <v>0.21317134656485981</v>
      </c>
      <c r="Q157" s="11">
        <v>2.1276595744680851E-2</v>
      </c>
      <c r="R157" s="11">
        <v>0.21218873910981911</v>
      </c>
      <c r="S157" s="11">
        <v>1.8611817225701089E-2</v>
      </c>
      <c r="T157" s="9" t="s">
        <v>40</v>
      </c>
      <c r="U157" s="9" t="s">
        <v>50</v>
      </c>
      <c r="V157" s="9" t="s">
        <v>33</v>
      </c>
      <c r="W157" s="9" t="s">
        <v>343</v>
      </c>
      <c r="X157" s="1">
        <v>17</v>
      </c>
      <c r="Y157" s="1">
        <v>15</v>
      </c>
      <c r="Z157" s="3">
        <f>X157/Y157</f>
        <v>1.1333333333333333</v>
      </c>
      <c r="AA157" s="11">
        <v>0.18620559882400381</v>
      </c>
      <c r="AB157" s="11">
        <v>0.12636338702196029</v>
      </c>
      <c r="AC157" s="10">
        <v>3</v>
      </c>
      <c r="AD157" s="10">
        <v>3</v>
      </c>
      <c r="AE157" s="10">
        <v>3</v>
      </c>
      <c r="AF157" s="10">
        <v>3</v>
      </c>
      <c r="AG157" s="10">
        <v>1</v>
      </c>
      <c r="AH157" s="9" t="s">
        <v>41</v>
      </c>
      <c r="AI157" s="9" t="s">
        <v>35</v>
      </c>
    </row>
    <row r="158" spans="1:35" x14ac:dyDescent="0.25">
      <c r="A158" s="9" t="s">
        <v>568</v>
      </c>
      <c r="B158" s="1" t="s">
        <v>1001</v>
      </c>
      <c r="C158" s="1" t="s">
        <v>440</v>
      </c>
      <c r="D158" s="10">
        <v>3</v>
      </c>
      <c r="E158" s="10">
        <v>2016</v>
      </c>
      <c r="F158" s="9" t="s">
        <v>38</v>
      </c>
      <c r="G158" s="9" t="s">
        <v>54</v>
      </c>
      <c r="H158" s="1">
        <v>11.9</v>
      </c>
      <c r="I158" s="1">
        <v>3.4</v>
      </c>
      <c r="J158" s="9" t="s">
        <v>30</v>
      </c>
      <c r="K158" s="1">
        <v>0.48</v>
      </c>
      <c r="L158" s="10">
        <v>66</v>
      </c>
      <c r="M158" s="3">
        <v>0.09</v>
      </c>
      <c r="N158" s="11">
        <v>1.5136393999999999E-2</v>
      </c>
      <c r="O158">
        <v>6</v>
      </c>
      <c r="P158" s="11">
        <v>9.024418785614681E-2</v>
      </c>
      <c r="Q158" s="11">
        <v>1.5873015873015869E-2</v>
      </c>
      <c r="R158" s="11">
        <v>9.0722586994915907E-2</v>
      </c>
      <c r="S158" s="11">
        <v>1.5132408722973631E-2</v>
      </c>
      <c r="T158" s="9" t="s">
        <v>40</v>
      </c>
      <c r="U158" s="9" t="s">
        <v>50</v>
      </c>
      <c r="V158" s="9" t="s">
        <v>33</v>
      </c>
      <c r="W158" s="9" t="s">
        <v>343</v>
      </c>
      <c r="X158" s="1">
        <v>12</v>
      </c>
      <c r="Y158" s="1">
        <v>15</v>
      </c>
      <c r="Z158" s="3">
        <f>X158/Y158</f>
        <v>0.8</v>
      </c>
      <c r="AA158" s="11">
        <v>0.11224458341322679</v>
      </c>
      <c r="AB158" s="11">
        <v>0.1545583885606219</v>
      </c>
      <c r="AC158" s="10">
        <v>3</v>
      </c>
      <c r="AD158" s="10">
        <v>3</v>
      </c>
      <c r="AE158" s="10">
        <v>3</v>
      </c>
      <c r="AF158" s="10">
        <v>3</v>
      </c>
      <c r="AG158" s="10">
        <v>1</v>
      </c>
      <c r="AH158" s="9" t="s">
        <v>41</v>
      </c>
      <c r="AI158" s="9" t="s">
        <v>35</v>
      </c>
    </row>
    <row r="159" spans="1:35" x14ac:dyDescent="0.25">
      <c r="A159" s="9" t="s">
        <v>569</v>
      </c>
      <c r="B159" s="1" t="s">
        <v>1002</v>
      </c>
      <c r="C159" s="1" t="s">
        <v>441</v>
      </c>
      <c r="D159" s="10">
        <v>3</v>
      </c>
      <c r="E159" s="10">
        <v>2017</v>
      </c>
      <c r="F159" s="9" t="s">
        <v>38</v>
      </c>
      <c r="G159" s="9" t="s">
        <v>54</v>
      </c>
      <c r="H159" s="1">
        <v>3</v>
      </c>
      <c r="I159" s="1">
        <v>0.38750000000000001</v>
      </c>
      <c r="J159" s="9" t="s">
        <v>43</v>
      </c>
      <c r="K159" s="1">
        <v>1</v>
      </c>
      <c r="L159" s="10">
        <v>49</v>
      </c>
      <c r="M159" s="3">
        <v>0.35</v>
      </c>
      <c r="N159" s="11">
        <v>1.6041796875E-2</v>
      </c>
      <c r="O159">
        <v>716</v>
      </c>
      <c r="P159" s="11">
        <v>0.36544375427139619</v>
      </c>
      <c r="Q159" s="11">
        <v>2.1739130434782612E-2</v>
      </c>
      <c r="R159" s="11">
        <v>0.35340947973959419</v>
      </c>
      <c r="S159" s="11">
        <v>1.595423030632883E-2</v>
      </c>
      <c r="T159" s="9" t="s">
        <v>40</v>
      </c>
      <c r="U159" s="9" t="s">
        <v>50</v>
      </c>
      <c r="V159" s="9" t="s">
        <v>33</v>
      </c>
      <c r="W159" s="9" t="s">
        <v>346</v>
      </c>
      <c r="X159" s="1">
        <v>11.94</v>
      </c>
      <c r="Y159" s="1">
        <v>15</v>
      </c>
      <c r="Z159" s="3">
        <f>X159/Y159</f>
        <v>0.79599999999999993</v>
      </c>
      <c r="AA159" s="11">
        <v>0.42490686286216878</v>
      </c>
      <c r="AB159" s="11">
        <v>0.15490943606155691</v>
      </c>
      <c r="AC159" s="10">
        <v>3</v>
      </c>
      <c r="AD159" s="10">
        <v>3</v>
      </c>
      <c r="AE159" s="10">
        <v>3</v>
      </c>
      <c r="AF159" s="10">
        <v>3</v>
      </c>
      <c r="AG159" s="10">
        <v>0</v>
      </c>
      <c r="AH159" s="9" t="s">
        <v>41</v>
      </c>
      <c r="AI159" s="9" t="s">
        <v>35</v>
      </c>
    </row>
    <row r="160" spans="1:35" x14ac:dyDescent="0.25">
      <c r="A160" s="9" t="s">
        <v>569</v>
      </c>
      <c r="B160" s="1" t="s">
        <v>1003</v>
      </c>
      <c r="C160" s="1" t="s">
        <v>442</v>
      </c>
      <c r="D160" s="10">
        <v>3</v>
      </c>
      <c r="E160" s="10">
        <v>2017</v>
      </c>
      <c r="F160" s="9" t="s">
        <v>28</v>
      </c>
      <c r="G160" s="9" t="s">
        <v>54</v>
      </c>
      <c r="H160" s="1">
        <v>3.0750000000000002</v>
      </c>
      <c r="I160" s="1">
        <v>0.45300000000000001</v>
      </c>
      <c r="J160" s="9" t="s">
        <v>43</v>
      </c>
      <c r="K160" s="1">
        <v>1</v>
      </c>
      <c r="L160" s="10">
        <v>19</v>
      </c>
      <c r="M160" s="3">
        <v>-0.18</v>
      </c>
      <c r="N160" s="11">
        <v>5.2013875555555561E-2</v>
      </c>
      <c r="O160">
        <v>716</v>
      </c>
      <c r="P160" s="11">
        <v>-0.18198268860070579</v>
      </c>
      <c r="Q160" s="11">
        <v>6.25E-2</v>
      </c>
      <c r="R160" s="11">
        <v>-0.18586615911873491</v>
      </c>
      <c r="S160" s="11">
        <v>5.1783387985239529E-2</v>
      </c>
      <c r="T160" s="9" t="s">
        <v>40</v>
      </c>
      <c r="U160" s="9" t="s">
        <v>50</v>
      </c>
      <c r="V160" s="9" t="s">
        <v>33</v>
      </c>
      <c r="W160" s="9" t="s">
        <v>346</v>
      </c>
      <c r="X160" s="1">
        <v>22.42</v>
      </c>
      <c r="Y160" s="1">
        <v>15</v>
      </c>
      <c r="Z160" s="3">
        <f>X160/Y160</f>
        <v>1.4946666666666668</v>
      </c>
      <c r="AA160" s="11">
        <v>-0.1215205281554041</v>
      </c>
      <c r="AB160" s="11">
        <v>0.1639999053690385</v>
      </c>
      <c r="AC160" s="10">
        <v>3</v>
      </c>
      <c r="AD160" s="10">
        <v>3</v>
      </c>
      <c r="AE160" s="10">
        <v>3</v>
      </c>
      <c r="AF160" s="10">
        <v>3</v>
      </c>
      <c r="AG160" s="10">
        <v>0</v>
      </c>
      <c r="AH160" s="9" t="s">
        <v>41</v>
      </c>
      <c r="AI160" s="9" t="s">
        <v>35</v>
      </c>
    </row>
    <row r="161" spans="1:35" x14ac:dyDescent="0.25">
      <c r="A161" s="9" t="s">
        <v>569</v>
      </c>
      <c r="B161" s="1" t="s">
        <v>1004</v>
      </c>
      <c r="C161" s="1" t="s">
        <v>443</v>
      </c>
      <c r="D161" s="10">
        <v>3</v>
      </c>
      <c r="E161" s="10">
        <v>2017</v>
      </c>
      <c r="F161" s="9" t="s">
        <v>28</v>
      </c>
      <c r="G161" s="9" t="s">
        <v>54</v>
      </c>
      <c r="H161" s="1">
        <v>3.133</v>
      </c>
      <c r="I161" s="1">
        <v>0.51100000000000001</v>
      </c>
      <c r="J161" s="9" t="s">
        <v>43</v>
      </c>
      <c r="K161" s="1">
        <v>1</v>
      </c>
      <c r="L161" s="10">
        <v>110</v>
      </c>
      <c r="M161" s="3">
        <v>1.0999999999999999E-2</v>
      </c>
      <c r="N161" s="11">
        <v>9.1720918774403654E-3</v>
      </c>
      <c r="O161">
        <v>717</v>
      </c>
      <c r="P161" s="11">
        <v>1.100044369887958E-2</v>
      </c>
      <c r="Q161" s="11">
        <v>9.3457943925233638E-3</v>
      </c>
      <c r="R161" s="11">
        <v>1.1052002157119481E-2</v>
      </c>
      <c r="S161" s="11">
        <v>9.1720708386831828E-3</v>
      </c>
      <c r="T161" s="9" t="s">
        <v>40</v>
      </c>
      <c r="U161" s="9" t="s">
        <v>50</v>
      </c>
      <c r="V161" s="9" t="s">
        <v>33</v>
      </c>
      <c r="W161" s="9" t="s">
        <v>346</v>
      </c>
      <c r="X161" s="1">
        <v>21.32</v>
      </c>
      <c r="Y161" s="1">
        <v>15</v>
      </c>
      <c r="Z161" s="3">
        <f>X161/Y161</f>
        <v>1.4213333333333333</v>
      </c>
      <c r="AA161" s="11">
        <v>7.7394484690587644E-3</v>
      </c>
      <c r="AB161" s="11">
        <v>6.7702656826419363E-2</v>
      </c>
      <c r="AC161" s="10">
        <v>3</v>
      </c>
      <c r="AD161" s="10">
        <v>3</v>
      </c>
      <c r="AE161" s="10">
        <v>3</v>
      </c>
      <c r="AF161" s="10">
        <v>3</v>
      </c>
      <c r="AG161" s="10">
        <v>0</v>
      </c>
      <c r="AH161" s="9" t="s">
        <v>41</v>
      </c>
      <c r="AI161" s="9" t="s">
        <v>35</v>
      </c>
    </row>
    <row r="162" spans="1:35" x14ac:dyDescent="0.25">
      <c r="A162" s="9" t="s">
        <v>570</v>
      </c>
      <c r="B162" s="1" t="s">
        <v>1005</v>
      </c>
      <c r="C162" s="1" t="s">
        <v>444</v>
      </c>
      <c r="D162" s="10">
        <v>3</v>
      </c>
      <c r="E162" s="10">
        <v>2017</v>
      </c>
      <c r="F162" s="9" t="s">
        <v>38</v>
      </c>
      <c r="G162" s="9" t="s">
        <v>54</v>
      </c>
      <c r="H162" s="1">
        <v>9.1999999999999993</v>
      </c>
      <c r="I162" s="1">
        <v>0.5</v>
      </c>
      <c r="J162" s="9" t="s">
        <v>30</v>
      </c>
      <c r="K162" s="1">
        <v>0.46</v>
      </c>
      <c r="L162" s="10">
        <v>46</v>
      </c>
      <c r="M162" s="3">
        <v>0.51</v>
      </c>
      <c r="N162" s="11">
        <v>1.216560022222222E-2</v>
      </c>
      <c r="O162">
        <v>1322</v>
      </c>
      <c r="P162" s="11">
        <v>0.56272976935214891</v>
      </c>
      <c r="Q162" s="11">
        <v>2.3255813953488368E-2</v>
      </c>
      <c r="R162" s="11">
        <v>0.51445423692040115</v>
      </c>
      <c r="S162" s="11">
        <v>1.201600589974328E-2</v>
      </c>
      <c r="T162" s="9" t="s">
        <v>40</v>
      </c>
      <c r="U162" s="9" t="s">
        <v>50</v>
      </c>
      <c r="V162" s="9" t="s">
        <v>33</v>
      </c>
      <c r="W162" s="9" t="s">
        <v>268</v>
      </c>
      <c r="X162" s="1" t="s">
        <v>31</v>
      </c>
      <c r="Y162" s="1" t="s">
        <v>31</v>
      </c>
      <c r="Z162" s="3" t="s">
        <v>31</v>
      </c>
      <c r="AA162" s="11" t="s">
        <v>31</v>
      </c>
      <c r="AB162" s="11" t="s">
        <v>31</v>
      </c>
      <c r="AC162" s="10">
        <v>4</v>
      </c>
      <c r="AD162" s="10">
        <v>4</v>
      </c>
      <c r="AE162" s="10">
        <v>4</v>
      </c>
      <c r="AF162" s="10">
        <v>4</v>
      </c>
      <c r="AG162" s="10">
        <v>0</v>
      </c>
      <c r="AH162" s="9" t="s">
        <v>41</v>
      </c>
      <c r="AI162" s="9" t="s">
        <v>35</v>
      </c>
    </row>
    <row r="163" spans="1:35" x14ac:dyDescent="0.25">
      <c r="A163" s="9" t="s">
        <v>903</v>
      </c>
      <c r="B163" s="1" t="s">
        <v>280</v>
      </c>
      <c r="C163" s="1" t="s">
        <v>445</v>
      </c>
      <c r="D163" s="10">
        <v>3</v>
      </c>
      <c r="E163" s="10">
        <v>2017</v>
      </c>
      <c r="F163" s="9" t="s">
        <v>38</v>
      </c>
      <c r="G163" s="9" t="s">
        <v>29</v>
      </c>
      <c r="H163" s="1">
        <v>92.1</v>
      </c>
      <c r="I163" s="1">
        <v>0.34</v>
      </c>
      <c r="J163" s="9" t="s">
        <v>30</v>
      </c>
      <c r="K163" s="1">
        <v>0.45</v>
      </c>
      <c r="L163" s="10">
        <v>34</v>
      </c>
      <c r="M163" s="3">
        <v>0.23</v>
      </c>
      <c r="N163" s="11">
        <v>2.7181770000000001E-2</v>
      </c>
      <c r="O163" t="s">
        <v>932</v>
      </c>
      <c r="P163" s="11">
        <v>0.2341894667593668</v>
      </c>
      <c r="Q163" s="11">
        <v>3.2258064516129031E-2</v>
      </c>
      <c r="R163" s="11">
        <v>0.23364481867645001</v>
      </c>
      <c r="S163" s="11">
        <v>2.7084856204079539E-2</v>
      </c>
      <c r="T163" s="9" t="s">
        <v>40</v>
      </c>
      <c r="U163" s="9" t="s">
        <v>50</v>
      </c>
      <c r="V163" s="9" t="s">
        <v>51</v>
      </c>
      <c r="W163" s="9" t="s">
        <v>586</v>
      </c>
      <c r="X163" s="1" t="s">
        <v>31</v>
      </c>
      <c r="Y163" s="1" t="s">
        <v>31</v>
      </c>
      <c r="Z163" s="3" t="s">
        <v>31</v>
      </c>
      <c r="AA163" s="11" t="s">
        <v>31</v>
      </c>
      <c r="AB163" s="11" t="s">
        <v>31</v>
      </c>
      <c r="AC163" s="10">
        <v>3</v>
      </c>
      <c r="AD163" s="10">
        <v>2</v>
      </c>
      <c r="AE163" s="10">
        <v>2</v>
      </c>
      <c r="AF163" s="10">
        <v>2</v>
      </c>
      <c r="AG163" s="10">
        <v>0</v>
      </c>
      <c r="AH163" s="9" t="s">
        <v>34</v>
      </c>
      <c r="AI163" s="9" t="s">
        <v>35</v>
      </c>
    </row>
    <row r="164" spans="1:35" x14ac:dyDescent="0.25">
      <c r="A164" s="9" t="s">
        <v>571</v>
      </c>
      <c r="B164" s="1" t="s">
        <v>1006</v>
      </c>
      <c r="C164" s="1" t="s">
        <v>446</v>
      </c>
      <c r="D164" s="10">
        <v>3</v>
      </c>
      <c r="E164" s="10">
        <v>2017</v>
      </c>
      <c r="F164" s="9" t="s">
        <v>38</v>
      </c>
      <c r="G164" s="9" t="s">
        <v>29</v>
      </c>
      <c r="H164" s="1">
        <v>28.82</v>
      </c>
      <c r="I164" s="1">
        <v>3.66</v>
      </c>
      <c r="J164" s="9" t="s">
        <v>39</v>
      </c>
      <c r="K164" s="1">
        <v>0</v>
      </c>
      <c r="L164" s="10">
        <v>503</v>
      </c>
      <c r="M164" s="3">
        <v>0.26400000000000001</v>
      </c>
      <c r="N164" s="11">
        <v>1.724034925131474E-3</v>
      </c>
      <c r="O164">
        <v>82</v>
      </c>
      <c r="P164" s="11">
        <v>0.27040322798896332</v>
      </c>
      <c r="Q164" s="11">
        <v>2E-3</v>
      </c>
      <c r="R164" s="11">
        <v>0.26424613795535112</v>
      </c>
      <c r="S164" s="11">
        <v>1.7235530486440489E-3</v>
      </c>
      <c r="T164" s="9" t="s">
        <v>40</v>
      </c>
      <c r="U164" s="9" t="s">
        <v>50</v>
      </c>
      <c r="V164" s="9" t="s">
        <v>33</v>
      </c>
      <c r="W164" s="9" t="s">
        <v>345</v>
      </c>
      <c r="X164" s="1">
        <v>0.88</v>
      </c>
      <c r="Y164" s="1">
        <v>1</v>
      </c>
      <c r="Z164" s="3">
        <f t="shared" ref="Z164:Z169" si="6">X164/Y164</f>
        <v>0.88</v>
      </c>
      <c r="AA164" s="11">
        <v>0.29700000736560028</v>
      </c>
      <c r="AB164" s="11">
        <v>4.7513445518108141E-2</v>
      </c>
      <c r="AC164" s="10">
        <v>4</v>
      </c>
      <c r="AD164" s="10">
        <v>4</v>
      </c>
      <c r="AE164" s="10">
        <v>4</v>
      </c>
      <c r="AF164" s="10">
        <v>4</v>
      </c>
      <c r="AG164" s="10">
        <v>1</v>
      </c>
      <c r="AH164" s="9" t="s">
        <v>41</v>
      </c>
      <c r="AI164" s="9" t="s">
        <v>35</v>
      </c>
    </row>
    <row r="165" spans="1:35" x14ac:dyDescent="0.25">
      <c r="A165" s="9" t="s">
        <v>571</v>
      </c>
      <c r="B165" s="1" t="s">
        <v>1007</v>
      </c>
      <c r="C165" s="1" t="s">
        <v>447</v>
      </c>
      <c r="D165" s="10">
        <v>3</v>
      </c>
      <c r="E165" s="10">
        <v>2017</v>
      </c>
      <c r="F165" s="9" t="s">
        <v>38</v>
      </c>
      <c r="G165" s="9" t="s">
        <v>29</v>
      </c>
      <c r="H165" s="1">
        <v>28.82</v>
      </c>
      <c r="I165" s="1">
        <v>3.66</v>
      </c>
      <c r="J165" s="9" t="s">
        <v>43</v>
      </c>
      <c r="K165" s="1">
        <v>1</v>
      </c>
      <c r="L165" s="10">
        <v>393</v>
      </c>
      <c r="M165" s="3">
        <v>0.245</v>
      </c>
      <c r="N165" s="11">
        <v>2.2539617362882648E-3</v>
      </c>
      <c r="O165">
        <v>82</v>
      </c>
      <c r="P165" s="11">
        <v>0.25008652982489171</v>
      </c>
      <c r="Q165" s="11">
        <v>2.5641025641025641E-3</v>
      </c>
      <c r="R165" s="11">
        <v>0.2452960942199065</v>
      </c>
      <c r="S165" s="11">
        <v>2.25326556668571E-3</v>
      </c>
      <c r="T165" s="9" t="s">
        <v>40</v>
      </c>
      <c r="U165" s="9" t="s">
        <v>50</v>
      </c>
      <c r="V165" s="9" t="s">
        <v>33</v>
      </c>
      <c r="W165" s="9" t="s">
        <v>345</v>
      </c>
      <c r="X165" s="1">
        <v>0.89</v>
      </c>
      <c r="Y165" s="1">
        <v>1</v>
      </c>
      <c r="Z165" s="3">
        <f t="shared" si="6"/>
        <v>0.89</v>
      </c>
      <c r="AA165" s="11">
        <v>0.27313772295759031</v>
      </c>
      <c r="AB165" s="11">
        <v>5.3814162604584929E-2</v>
      </c>
      <c r="AC165" s="10">
        <v>4</v>
      </c>
      <c r="AD165" s="10">
        <v>4</v>
      </c>
      <c r="AE165" s="10">
        <v>4</v>
      </c>
      <c r="AF165" s="10">
        <v>4</v>
      </c>
      <c r="AG165" s="10">
        <v>1</v>
      </c>
      <c r="AH165" s="9" t="s">
        <v>41</v>
      </c>
      <c r="AI165" s="9" t="s">
        <v>35</v>
      </c>
    </row>
    <row r="166" spans="1:35" x14ac:dyDescent="0.25">
      <c r="A166" s="9" t="s">
        <v>906</v>
      </c>
      <c r="B166" s="1" t="s">
        <v>1008</v>
      </c>
      <c r="C166" s="1" t="s">
        <v>448</v>
      </c>
      <c r="D166" s="10">
        <v>3</v>
      </c>
      <c r="E166" s="10">
        <v>2017</v>
      </c>
      <c r="F166" s="9" t="s">
        <v>38</v>
      </c>
      <c r="G166" s="9" t="s">
        <v>29</v>
      </c>
      <c r="H166" s="1">
        <v>44.6</v>
      </c>
      <c r="I166" s="1">
        <v>14.5</v>
      </c>
      <c r="J166" s="9" t="s">
        <v>30</v>
      </c>
      <c r="K166" s="1">
        <v>0.49</v>
      </c>
      <c r="L166" s="10">
        <v>160</v>
      </c>
      <c r="M166" s="3">
        <v>0.28000000000000003</v>
      </c>
      <c r="N166" s="11">
        <v>5.341802264150943E-3</v>
      </c>
      <c r="O166">
        <v>61</v>
      </c>
      <c r="P166" s="11">
        <v>0.28768207245178101</v>
      </c>
      <c r="Q166" s="11">
        <v>6.369426751592357E-3</v>
      </c>
      <c r="R166" s="11">
        <v>0.28082745073705462</v>
      </c>
      <c r="S166" s="11">
        <v>5.3364240586500043E-3</v>
      </c>
      <c r="T166" s="9" t="s">
        <v>40</v>
      </c>
      <c r="U166" s="9" t="s">
        <v>50</v>
      </c>
      <c r="V166" s="9" t="s">
        <v>33</v>
      </c>
      <c r="W166" s="9" t="s">
        <v>974</v>
      </c>
      <c r="X166" s="1">
        <v>16.8</v>
      </c>
      <c r="Y166" s="1">
        <v>15</v>
      </c>
      <c r="Z166" s="3">
        <f t="shared" si="6"/>
        <v>1.1200000000000001</v>
      </c>
      <c r="AA166" s="11">
        <v>0.25201151940741351</v>
      </c>
      <c r="AB166" s="11">
        <v>6.9849904903077048E-2</v>
      </c>
      <c r="AC166" s="10">
        <v>3</v>
      </c>
      <c r="AD166" s="10">
        <v>3</v>
      </c>
      <c r="AE166" s="10">
        <v>3</v>
      </c>
      <c r="AF166" s="10">
        <v>3</v>
      </c>
      <c r="AG166" s="10">
        <v>2</v>
      </c>
      <c r="AH166" s="9" t="s">
        <v>41</v>
      </c>
      <c r="AI166" s="9" t="s">
        <v>35</v>
      </c>
    </row>
    <row r="167" spans="1:35" x14ac:dyDescent="0.25">
      <c r="A167" s="9" t="s">
        <v>572</v>
      </c>
      <c r="B167" s="1" t="s">
        <v>1009</v>
      </c>
      <c r="C167" s="1" t="s">
        <v>449</v>
      </c>
      <c r="D167" s="10">
        <v>3</v>
      </c>
      <c r="E167" s="10">
        <v>2018</v>
      </c>
      <c r="F167" s="9" t="s">
        <v>28</v>
      </c>
      <c r="G167" s="9" t="s">
        <v>54</v>
      </c>
      <c r="H167" s="1">
        <v>9.7899999999999991</v>
      </c>
      <c r="I167" s="1">
        <v>0.51</v>
      </c>
      <c r="J167" s="9" t="s">
        <v>30</v>
      </c>
      <c r="K167" s="1">
        <v>0.48</v>
      </c>
      <c r="L167" s="10">
        <v>52</v>
      </c>
      <c r="M167" s="3">
        <v>0.43</v>
      </c>
      <c r="N167" s="11">
        <v>1.3027215882352941E-2</v>
      </c>
      <c r="O167">
        <v>46</v>
      </c>
      <c r="P167" s="11">
        <v>0.45989668121267852</v>
      </c>
      <c r="Q167" s="11">
        <v>2.0408163265306121E-2</v>
      </c>
      <c r="R167" s="11">
        <v>0.43363710397162958</v>
      </c>
      <c r="S167" s="11">
        <v>1.292700379757462E-2</v>
      </c>
      <c r="T167" s="9" t="s">
        <v>40</v>
      </c>
      <c r="U167" s="9" t="s">
        <v>46</v>
      </c>
      <c r="V167" s="9" t="s">
        <v>33</v>
      </c>
      <c r="W167" s="9" t="s">
        <v>269</v>
      </c>
      <c r="X167" s="1">
        <v>18.559999999999999</v>
      </c>
      <c r="Y167" s="1">
        <v>15</v>
      </c>
      <c r="Z167" s="3">
        <f t="shared" si="6"/>
        <v>1.2373333333333332</v>
      </c>
      <c r="AA167" s="11">
        <v>0.35923090688400527</v>
      </c>
      <c r="AB167" s="11">
        <v>0.1139749964493595</v>
      </c>
      <c r="AC167" s="10">
        <v>4</v>
      </c>
      <c r="AD167" s="10">
        <v>4</v>
      </c>
      <c r="AE167" s="10">
        <v>4</v>
      </c>
      <c r="AF167" s="10">
        <v>4</v>
      </c>
      <c r="AG167" s="10">
        <v>0</v>
      </c>
      <c r="AH167" s="9" t="s">
        <v>34</v>
      </c>
      <c r="AI167" s="9" t="s">
        <v>35</v>
      </c>
    </row>
    <row r="168" spans="1:35" x14ac:dyDescent="0.25">
      <c r="A168" s="9" t="s">
        <v>843</v>
      </c>
      <c r="B168" s="1" t="s">
        <v>1010</v>
      </c>
      <c r="C168" s="1" t="s">
        <v>450</v>
      </c>
      <c r="D168" s="10">
        <v>3</v>
      </c>
      <c r="E168" s="10">
        <v>2018</v>
      </c>
      <c r="F168" s="9" t="s">
        <v>38</v>
      </c>
      <c r="G168" s="9" t="s">
        <v>29</v>
      </c>
      <c r="H168" s="1">
        <v>24.91</v>
      </c>
      <c r="I168" s="1">
        <v>5.61</v>
      </c>
      <c r="J168" s="9" t="s">
        <v>30</v>
      </c>
      <c r="K168" s="1">
        <v>0.59</v>
      </c>
      <c r="L168" s="10">
        <v>56</v>
      </c>
      <c r="M168" s="3">
        <v>0.3</v>
      </c>
      <c r="N168" s="11">
        <v>1.505636363636364E-2</v>
      </c>
      <c r="O168" t="s">
        <v>63</v>
      </c>
      <c r="P168" s="11">
        <v>0.30951960420311181</v>
      </c>
      <c r="Q168" s="11">
        <v>1.886792452830189E-2</v>
      </c>
      <c r="R168" s="11">
        <v>0.30262688114031538</v>
      </c>
      <c r="S168" s="11">
        <v>1.5004025324690031E-2</v>
      </c>
      <c r="T168" s="9" t="s">
        <v>40</v>
      </c>
      <c r="U168" s="9" t="s">
        <v>50</v>
      </c>
      <c r="V168" s="9" t="s">
        <v>33</v>
      </c>
      <c r="W168" s="9" t="s">
        <v>844</v>
      </c>
      <c r="X168" s="1">
        <v>1</v>
      </c>
      <c r="Y168" s="1">
        <v>1</v>
      </c>
      <c r="Z168" s="3">
        <f t="shared" si="6"/>
        <v>1</v>
      </c>
      <c r="AA168" s="11">
        <v>0.3</v>
      </c>
      <c r="AB168" s="11">
        <v>0.12981468272831029</v>
      </c>
      <c r="AC168" s="10">
        <v>3</v>
      </c>
      <c r="AD168" s="10">
        <v>3</v>
      </c>
      <c r="AE168" s="10">
        <v>3</v>
      </c>
      <c r="AF168" s="10">
        <v>3</v>
      </c>
      <c r="AG168" s="10">
        <v>0</v>
      </c>
      <c r="AH168" s="9" t="s">
        <v>34</v>
      </c>
      <c r="AI168" s="9" t="s">
        <v>63</v>
      </c>
    </row>
    <row r="169" spans="1:35" x14ac:dyDescent="0.25">
      <c r="A169" s="9" t="s">
        <v>843</v>
      </c>
      <c r="B169" s="1" t="s">
        <v>1011</v>
      </c>
      <c r="C169" s="1" t="s">
        <v>451</v>
      </c>
      <c r="D169" s="10">
        <v>3</v>
      </c>
      <c r="E169" s="10">
        <v>2018</v>
      </c>
      <c r="F169" s="9" t="s">
        <v>28</v>
      </c>
      <c r="G169" s="9" t="s">
        <v>29</v>
      </c>
      <c r="H169" s="1">
        <v>24.69</v>
      </c>
      <c r="I169" s="1">
        <v>5.93</v>
      </c>
      <c r="J169" s="9" t="s">
        <v>30</v>
      </c>
      <c r="K169" s="1">
        <v>0.57399999999999995</v>
      </c>
      <c r="L169" s="10">
        <v>54</v>
      </c>
      <c r="M169" s="3">
        <v>0.14000000000000001</v>
      </c>
      <c r="N169" s="11">
        <v>1.813555018867925E-2</v>
      </c>
      <c r="O169" t="s">
        <v>63</v>
      </c>
      <c r="P169" s="11">
        <v>0.14092557607049391</v>
      </c>
      <c r="Q169" s="11">
        <v>1.9607843137254902E-2</v>
      </c>
      <c r="R169" s="11">
        <v>0.14137808621116491</v>
      </c>
      <c r="S169" s="11">
        <v>1.812120724827743E-2</v>
      </c>
      <c r="T169" s="9" t="s">
        <v>40</v>
      </c>
      <c r="U169" s="9" t="s">
        <v>50</v>
      </c>
      <c r="V169" s="9" t="s">
        <v>33</v>
      </c>
      <c r="W169" s="9" t="s">
        <v>844</v>
      </c>
      <c r="X169" s="1">
        <v>1.63</v>
      </c>
      <c r="Y169" s="1">
        <v>1</v>
      </c>
      <c r="Z169" s="3">
        <f t="shared" si="6"/>
        <v>1.63</v>
      </c>
      <c r="AA169" s="11">
        <v>8.6419345424107272E-2</v>
      </c>
      <c r="AB169" s="11">
        <v>8.580725295467298E-2</v>
      </c>
      <c r="AC169" s="10">
        <v>3</v>
      </c>
      <c r="AD169" s="10">
        <v>3</v>
      </c>
      <c r="AE169" s="10">
        <v>3</v>
      </c>
      <c r="AF169" s="10">
        <v>3</v>
      </c>
      <c r="AG169" s="10">
        <v>0</v>
      </c>
      <c r="AH169" s="9" t="s">
        <v>34</v>
      </c>
      <c r="AI169" s="9" t="s">
        <v>63</v>
      </c>
    </row>
    <row r="170" spans="1:35" x14ac:dyDescent="0.25">
      <c r="A170" s="9" t="s">
        <v>573</v>
      </c>
      <c r="B170" s="1" t="s">
        <v>1012</v>
      </c>
      <c r="C170" s="1" t="s">
        <v>452</v>
      </c>
      <c r="D170" s="10">
        <v>3</v>
      </c>
      <c r="E170" s="10">
        <v>2018</v>
      </c>
      <c r="F170" s="9" t="s">
        <v>28</v>
      </c>
      <c r="G170" s="9" t="s">
        <v>29</v>
      </c>
      <c r="H170" s="1">
        <v>72</v>
      </c>
      <c r="I170" s="1" t="s">
        <v>31</v>
      </c>
      <c r="J170" s="9" t="s">
        <v>30</v>
      </c>
      <c r="K170" s="1">
        <v>0.61</v>
      </c>
      <c r="L170" s="10">
        <v>243</v>
      </c>
      <c r="M170" s="3">
        <v>0.182</v>
      </c>
      <c r="N170" s="11">
        <v>3.863013220561983E-3</v>
      </c>
      <c r="O170">
        <v>150</v>
      </c>
      <c r="P170" s="11">
        <v>0.18405043068164809</v>
      </c>
      <c r="Q170" s="11">
        <v>4.1666666666666666E-3</v>
      </c>
      <c r="R170" s="11">
        <v>0.1823684094863009</v>
      </c>
      <c r="S170" s="11">
        <v>3.861940647754102E-3</v>
      </c>
      <c r="T170" s="9" t="s">
        <v>40</v>
      </c>
      <c r="U170" s="9" t="s">
        <v>50</v>
      </c>
      <c r="V170" s="9" t="s">
        <v>33</v>
      </c>
      <c r="W170" s="9" t="s">
        <v>348</v>
      </c>
      <c r="X170" s="1" t="s">
        <v>31</v>
      </c>
      <c r="Y170" s="1" t="s">
        <v>31</v>
      </c>
      <c r="Z170" s="3" t="s">
        <v>31</v>
      </c>
      <c r="AA170" s="11" t="s">
        <v>31</v>
      </c>
      <c r="AB170" s="11" t="s">
        <v>31</v>
      </c>
      <c r="AC170" s="10">
        <v>3</v>
      </c>
      <c r="AD170" s="10">
        <v>3</v>
      </c>
      <c r="AE170" s="10">
        <v>3</v>
      </c>
      <c r="AF170" s="10">
        <v>3</v>
      </c>
      <c r="AG170" s="10">
        <v>3</v>
      </c>
      <c r="AH170" s="9" t="s">
        <v>34</v>
      </c>
      <c r="AI170" s="9" t="s">
        <v>35</v>
      </c>
    </row>
    <row r="171" spans="1:35" x14ac:dyDescent="0.25">
      <c r="A171" s="9" t="s">
        <v>574</v>
      </c>
      <c r="B171" s="1" t="s">
        <v>1013</v>
      </c>
      <c r="C171" s="1" t="s">
        <v>453</v>
      </c>
      <c r="D171" s="10">
        <v>3</v>
      </c>
      <c r="E171" s="10">
        <v>2018</v>
      </c>
      <c r="F171" s="9" t="s">
        <v>28</v>
      </c>
      <c r="G171" s="9" t="s">
        <v>29</v>
      </c>
      <c r="H171" s="1">
        <v>18.96</v>
      </c>
      <c r="I171" s="1">
        <v>0.86</v>
      </c>
      <c r="J171" s="9" t="s">
        <v>30</v>
      </c>
      <c r="K171" s="1">
        <v>0.6</v>
      </c>
      <c r="L171" s="10">
        <v>82</v>
      </c>
      <c r="M171" s="3">
        <v>0.3</v>
      </c>
      <c r="N171" s="11">
        <v>1.022345679012346E-2</v>
      </c>
      <c r="O171" t="s">
        <v>930</v>
      </c>
      <c r="P171" s="11">
        <v>0.30951960420311181</v>
      </c>
      <c r="Q171" s="11">
        <v>1.2658227848101271E-2</v>
      </c>
      <c r="R171" s="11">
        <v>0.30175091362826623</v>
      </c>
      <c r="S171" s="11">
        <v>1.0199796701837051E-2</v>
      </c>
      <c r="T171" s="9" t="s">
        <v>40</v>
      </c>
      <c r="U171" s="9" t="s">
        <v>50</v>
      </c>
      <c r="V171" s="9" t="s">
        <v>33</v>
      </c>
      <c r="W171" s="9" t="s">
        <v>347</v>
      </c>
      <c r="X171" s="1" t="s">
        <v>31</v>
      </c>
      <c r="Y171" s="1" t="s">
        <v>31</v>
      </c>
      <c r="Z171" s="3" t="s">
        <v>31</v>
      </c>
      <c r="AA171" s="11" t="s">
        <v>31</v>
      </c>
      <c r="AB171" s="11" t="s">
        <v>31</v>
      </c>
      <c r="AC171" s="10">
        <v>2</v>
      </c>
      <c r="AD171" s="10">
        <v>3</v>
      </c>
      <c r="AE171" s="10">
        <v>3</v>
      </c>
      <c r="AF171" s="10">
        <v>3</v>
      </c>
      <c r="AG171" s="10">
        <v>0</v>
      </c>
      <c r="AH171" s="9" t="s">
        <v>34</v>
      </c>
      <c r="AI171" s="9" t="s">
        <v>35</v>
      </c>
    </row>
    <row r="172" spans="1:35" x14ac:dyDescent="0.25">
      <c r="A172" s="9" t="s">
        <v>575</v>
      </c>
      <c r="B172" s="1" t="s">
        <v>1014</v>
      </c>
      <c r="C172" s="1" t="s">
        <v>454</v>
      </c>
      <c r="D172" s="10">
        <v>3</v>
      </c>
      <c r="E172" s="10">
        <v>2018</v>
      </c>
      <c r="F172" s="9" t="s">
        <v>28</v>
      </c>
      <c r="G172" s="9" t="s">
        <v>54</v>
      </c>
      <c r="H172" s="1">
        <v>10.8</v>
      </c>
      <c r="I172" s="1">
        <v>1.1200000000000001</v>
      </c>
      <c r="J172" s="9" t="s">
        <v>30</v>
      </c>
      <c r="K172" s="1">
        <v>0.66</v>
      </c>
      <c r="L172" s="10">
        <v>30</v>
      </c>
      <c r="M172" s="3">
        <v>0</v>
      </c>
      <c r="N172" s="11">
        <v>3.4482758620689662E-2</v>
      </c>
      <c r="O172">
        <v>383</v>
      </c>
      <c r="P172" s="11">
        <v>0</v>
      </c>
      <c r="Q172" s="11">
        <v>3.7037037037037042E-2</v>
      </c>
      <c r="R172" s="11">
        <v>0</v>
      </c>
      <c r="S172" s="11">
        <v>3.4482758620689662E-2</v>
      </c>
      <c r="T172" s="9" t="s">
        <v>40</v>
      </c>
      <c r="U172" s="9" t="s">
        <v>50</v>
      </c>
      <c r="V172" s="9" t="s">
        <v>33</v>
      </c>
      <c r="W172" s="9" t="s">
        <v>270</v>
      </c>
      <c r="X172" s="1">
        <v>13.89</v>
      </c>
      <c r="Y172" s="1">
        <v>15</v>
      </c>
      <c r="Z172" s="3">
        <f>X172/Y172</f>
        <v>0.92600000000000005</v>
      </c>
      <c r="AA172" s="11">
        <v>0</v>
      </c>
      <c r="AB172" s="11" t="s">
        <v>31</v>
      </c>
      <c r="AC172" s="10">
        <v>4</v>
      </c>
      <c r="AD172" s="10">
        <v>4</v>
      </c>
      <c r="AE172" s="10">
        <v>4</v>
      </c>
      <c r="AF172" s="10">
        <v>4</v>
      </c>
      <c r="AG172" s="10">
        <v>0</v>
      </c>
      <c r="AH172" s="9" t="s">
        <v>34</v>
      </c>
      <c r="AI172" s="9" t="s">
        <v>35</v>
      </c>
    </row>
    <row r="173" spans="1:35" x14ac:dyDescent="0.25">
      <c r="A173" s="9" t="s">
        <v>576</v>
      </c>
      <c r="B173" s="1" t="s">
        <v>1015</v>
      </c>
      <c r="C173" s="1" t="s">
        <v>455</v>
      </c>
      <c r="D173" s="10">
        <v>3</v>
      </c>
      <c r="E173" s="10">
        <v>2018</v>
      </c>
      <c r="F173" s="9" t="s">
        <v>38</v>
      </c>
      <c r="G173" s="9" t="s">
        <v>29</v>
      </c>
      <c r="H173" s="1">
        <v>20.8</v>
      </c>
      <c r="I173" s="1">
        <v>1.8</v>
      </c>
      <c r="J173" s="9" t="s">
        <v>30</v>
      </c>
      <c r="K173" s="1">
        <v>0.57999999999999996</v>
      </c>
      <c r="L173" s="10">
        <v>1319</v>
      </c>
      <c r="M173" s="3">
        <v>6.7000000000000004E-2</v>
      </c>
      <c r="N173" s="11">
        <v>7.5192879447723824E-4</v>
      </c>
      <c r="O173">
        <v>5</v>
      </c>
      <c r="P173" s="11">
        <v>6.7100525227204694E-2</v>
      </c>
      <c r="Q173" s="11">
        <v>7.5987841945288754E-4</v>
      </c>
      <c r="R173" s="11">
        <v>6.7025365551115268E-2</v>
      </c>
      <c r="S173" s="11">
        <v>7.5192365887700281E-4</v>
      </c>
      <c r="T173" s="9" t="s">
        <v>40</v>
      </c>
      <c r="U173" s="9" t="s">
        <v>46</v>
      </c>
      <c r="V173" s="9" t="s">
        <v>33</v>
      </c>
      <c r="W173" s="9" t="s">
        <v>271</v>
      </c>
      <c r="X173" s="1" t="s">
        <v>31</v>
      </c>
      <c r="Y173" s="1" t="s">
        <v>31</v>
      </c>
      <c r="Z173" s="3" t="s">
        <v>31</v>
      </c>
      <c r="AA173" s="11" t="s">
        <v>31</v>
      </c>
      <c r="AB173" s="11" t="s">
        <v>31</v>
      </c>
      <c r="AC173" s="10">
        <v>3</v>
      </c>
      <c r="AD173" s="10">
        <v>3</v>
      </c>
      <c r="AE173" s="10">
        <v>3</v>
      </c>
      <c r="AF173" s="10">
        <v>3</v>
      </c>
      <c r="AG173" s="10">
        <v>2</v>
      </c>
      <c r="AH173" s="9" t="s">
        <v>34</v>
      </c>
      <c r="AI173" s="9" t="s">
        <v>35</v>
      </c>
    </row>
    <row r="174" spans="1:35" x14ac:dyDescent="0.25">
      <c r="A174" s="9" t="s">
        <v>577</v>
      </c>
      <c r="B174" s="1" t="s">
        <v>1016</v>
      </c>
      <c r="C174" s="1" t="s">
        <v>456</v>
      </c>
      <c r="D174" s="10">
        <v>3</v>
      </c>
      <c r="E174" s="10">
        <v>2018</v>
      </c>
      <c r="F174" s="9" t="s">
        <v>28</v>
      </c>
      <c r="G174" s="9" t="s">
        <v>29</v>
      </c>
      <c r="H174" s="1">
        <v>70.010000000000005</v>
      </c>
      <c r="I174" s="1">
        <v>9.75</v>
      </c>
      <c r="J174" s="9" t="s">
        <v>30</v>
      </c>
      <c r="K174" s="1">
        <v>0.65</v>
      </c>
      <c r="L174" s="10">
        <v>118</v>
      </c>
      <c r="M174" s="3">
        <v>0.23400000000000001</v>
      </c>
      <c r="N174" s="11">
        <v>7.6366343550085466E-3</v>
      </c>
      <c r="O174">
        <v>1660</v>
      </c>
      <c r="P174" s="11">
        <v>0.23841701736237089</v>
      </c>
      <c r="Q174" s="11">
        <v>8.6956521739130436E-3</v>
      </c>
      <c r="R174" s="11">
        <v>0.234971168877387</v>
      </c>
      <c r="S174" s="11">
        <v>7.629276955780976E-3</v>
      </c>
      <c r="T174" s="9" t="s">
        <v>40</v>
      </c>
      <c r="U174" s="9" t="s">
        <v>50</v>
      </c>
      <c r="V174" s="9" t="s">
        <v>33</v>
      </c>
      <c r="W174" s="9" t="s">
        <v>1251</v>
      </c>
      <c r="X174" s="1" t="s">
        <v>31</v>
      </c>
      <c r="Y174" s="1" t="s">
        <v>31</v>
      </c>
      <c r="Z174" s="3" t="s">
        <v>31</v>
      </c>
      <c r="AA174" s="11" t="s">
        <v>31</v>
      </c>
      <c r="AB174" s="11" t="s">
        <v>31</v>
      </c>
      <c r="AC174" s="10">
        <v>3</v>
      </c>
      <c r="AD174" s="10">
        <v>3</v>
      </c>
      <c r="AE174" s="10">
        <v>3</v>
      </c>
      <c r="AF174" s="10">
        <v>3</v>
      </c>
      <c r="AG174" s="10">
        <v>4</v>
      </c>
      <c r="AH174" s="9" t="s">
        <v>34</v>
      </c>
      <c r="AI174" s="9" t="s">
        <v>35</v>
      </c>
    </row>
    <row r="175" spans="1:35" x14ac:dyDescent="0.25">
      <c r="A175" s="9" t="s">
        <v>578</v>
      </c>
      <c r="B175" s="1" t="s">
        <v>1017</v>
      </c>
      <c r="C175" s="1" t="s">
        <v>457</v>
      </c>
      <c r="D175" s="10">
        <v>3</v>
      </c>
      <c r="E175" s="10">
        <v>2019</v>
      </c>
      <c r="F175" s="9" t="s">
        <v>28</v>
      </c>
      <c r="G175" s="9" t="s">
        <v>29</v>
      </c>
      <c r="H175" s="1">
        <v>32.97</v>
      </c>
      <c r="I175" s="1">
        <v>11.12</v>
      </c>
      <c r="J175" s="9" t="s">
        <v>30</v>
      </c>
      <c r="K175" s="1">
        <v>0.42</v>
      </c>
      <c r="L175" s="10">
        <v>38</v>
      </c>
      <c r="M175" s="3">
        <v>0</v>
      </c>
      <c r="N175" s="11">
        <v>2.7027027027027029E-2</v>
      </c>
      <c r="O175">
        <v>3</v>
      </c>
      <c r="P175" s="11">
        <v>0</v>
      </c>
      <c r="Q175" s="11">
        <v>2.8571428571428571E-2</v>
      </c>
      <c r="R175" s="11">
        <v>0</v>
      </c>
      <c r="S175" s="11">
        <v>2.7027027027027029E-2</v>
      </c>
      <c r="T175" s="9" t="s">
        <v>40</v>
      </c>
      <c r="U175" s="9" t="s">
        <v>46</v>
      </c>
      <c r="V175" s="9" t="s">
        <v>33</v>
      </c>
      <c r="W175" s="9" t="s">
        <v>969</v>
      </c>
      <c r="X175" s="1">
        <v>11.22</v>
      </c>
      <c r="Y175" s="1">
        <v>15</v>
      </c>
      <c r="Z175" s="3">
        <f>X175/Y175</f>
        <v>0.748</v>
      </c>
      <c r="AA175" s="11">
        <v>0</v>
      </c>
      <c r="AB175" s="11" t="s">
        <v>31</v>
      </c>
      <c r="AC175" s="10">
        <v>4</v>
      </c>
      <c r="AD175" s="10">
        <v>4</v>
      </c>
      <c r="AE175" s="10">
        <v>4</v>
      </c>
      <c r="AF175" s="10">
        <v>4</v>
      </c>
      <c r="AG175" s="10">
        <v>0</v>
      </c>
      <c r="AH175" s="9" t="s">
        <v>34</v>
      </c>
      <c r="AI175" s="9" t="s">
        <v>35</v>
      </c>
    </row>
    <row r="176" spans="1:35" x14ac:dyDescent="0.25">
      <c r="A176" s="9" t="s">
        <v>910</v>
      </c>
      <c r="B176" s="1" t="s">
        <v>1018</v>
      </c>
      <c r="C176" s="1" t="s">
        <v>458</v>
      </c>
      <c r="D176" s="10">
        <v>3</v>
      </c>
      <c r="E176" s="10">
        <v>2019</v>
      </c>
      <c r="F176" s="9" t="s">
        <v>38</v>
      </c>
      <c r="G176" s="9" t="s">
        <v>54</v>
      </c>
      <c r="H176" s="1">
        <v>9.93</v>
      </c>
      <c r="I176" s="1">
        <v>1.538</v>
      </c>
      <c r="J176" s="9" t="s">
        <v>30</v>
      </c>
      <c r="K176" s="1">
        <v>0.54</v>
      </c>
      <c r="L176" s="10">
        <v>63</v>
      </c>
      <c r="M176" s="3">
        <v>7.0000000000000007E-2</v>
      </c>
      <c r="N176" s="11">
        <v>1.5971355E-2</v>
      </c>
      <c r="O176">
        <v>42</v>
      </c>
      <c r="P176" s="11">
        <v>7.0114670654325154E-2</v>
      </c>
      <c r="Q176" s="11">
        <v>1.666666666666667E-2</v>
      </c>
      <c r="R176" s="11">
        <v>7.0592678696529312E-2</v>
      </c>
      <c r="S176" s="11">
        <v>1.5968680338222019E-2</v>
      </c>
      <c r="T176" s="9" t="s">
        <v>40</v>
      </c>
      <c r="U176" s="9" t="s">
        <v>31</v>
      </c>
      <c r="V176" s="9" t="s">
        <v>33</v>
      </c>
      <c r="W176" s="9" t="s">
        <v>970</v>
      </c>
      <c r="X176" s="1" t="s">
        <v>31</v>
      </c>
      <c r="Y176" s="1" t="s">
        <v>31</v>
      </c>
      <c r="Z176" s="3" t="s">
        <v>31</v>
      </c>
      <c r="AA176" s="11" t="s">
        <v>31</v>
      </c>
      <c r="AB176" s="11" t="s">
        <v>31</v>
      </c>
      <c r="AC176" s="10">
        <v>3</v>
      </c>
      <c r="AD176" s="10">
        <v>3</v>
      </c>
      <c r="AE176" s="10">
        <v>3</v>
      </c>
      <c r="AF176" s="10">
        <v>3</v>
      </c>
      <c r="AG176" s="10">
        <v>0</v>
      </c>
      <c r="AH176" s="9" t="s">
        <v>34</v>
      </c>
      <c r="AI176" s="9" t="s">
        <v>35</v>
      </c>
    </row>
    <row r="177" spans="1:35" x14ac:dyDescent="0.25">
      <c r="A177" s="9" t="s">
        <v>910</v>
      </c>
      <c r="B177" s="1" t="s">
        <v>1019</v>
      </c>
      <c r="C177" s="1" t="s">
        <v>459</v>
      </c>
      <c r="D177" s="10">
        <v>3</v>
      </c>
      <c r="E177" s="10">
        <v>2019</v>
      </c>
      <c r="F177" s="9" t="s">
        <v>28</v>
      </c>
      <c r="G177" s="9" t="s">
        <v>54</v>
      </c>
      <c r="H177" s="1">
        <v>9.35</v>
      </c>
      <c r="I177" s="1">
        <v>1.6830000000000001</v>
      </c>
      <c r="J177" s="9" t="s">
        <v>30</v>
      </c>
      <c r="K177" s="1">
        <v>0.64700000000000002</v>
      </c>
      <c r="L177" s="10">
        <v>139</v>
      </c>
      <c r="M177" s="3">
        <v>0.02</v>
      </c>
      <c r="N177" s="11">
        <v>7.2405808695652184E-3</v>
      </c>
      <c r="O177">
        <v>42</v>
      </c>
      <c r="P177" s="11">
        <v>2.00026673068496E-2</v>
      </c>
      <c r="Q177" s="11">
        <v>7.3529411764705881E-3</v>
      </c>
      <c r="R177" s="11">
        <v>2.0074180551345151E-2</v>
      </c>
      <c r="S177" s="11">
        <v>7.240537803894209E-3</v>
      </c>
      <c r="T177" s="9" t="s">
        <v>40</v>
      </c>
      <c r="U177" s="9" t="s">
        <v>31</v>
      </c>
      <c r="V177" s="9" t="s">
        <v>33</v>
      </c>
      <c r="W177" s="9" t="s">
        <v>970</v>
      </c>
      <c r="X177" s="1" t="s">
        <v>31</v>
      </c>
      <c r="Y177" s="1" t="s">
        <v>31</v>
      </c>
      <c r="Z177" s="3" t="s">
        <v>31</v>
      </c>
      <c r="AA177" s="11" t="s">
        <v>31</v>
      </c>
      <c r="AB177" s="11" t="s">
        <v>31</v>
      </c>
      <c r="AC177" s="10">
        <v>3</v>
      </c>
      <c r="AD177" s="10">
        <v>3</v>
      </c>
      <c r="AE177" s="10">
        <v>3</v>
      </c>
      <c r="AF177" s="10">
        <v>3</v>
      </c>
      <c r="AG177" s="10">
        <v>0</v>
      </c>
      <c r="AH177" s="9" t="s">
        <v>34</v>
      </c>
      <c r="AI177" s="9" t="s">
        <v>35</v>
      </c>
    </row>
    <row r="178" spans="1:35" x14ac:dyDescent="0.25">
      <c r="A178" s="9" t="s">
        <v>579</v>
      </c>
      <c r="B178" s="1" t="s">
        <v>1020</v>
      </c>
      <c r="C178" s="1" t="s">
        <v>460</v>
      </c>
      <c r="D178" s="10">
        <v>3</v>
      </c>
      <c r="E178" s="10">
        <v>2019</v>
      </c>
      <c r="F178" s="9" t="s">
        <v>38</v>
      </c>
      <c r="G178" s="9" t="s">
        <v>29</v>
      </c>
      <c r="H178" s="1">
        <v>63.13</v>
      </c>
      <c r="I178" s="1">
        <v>7.48</v>
      </c>
      <c r="J178" s="9" t="s">
        <v>43</v>
      </c>
      <c r="K178" s="1">
        <v>1</v>
      </c>
      <c r="L178" s="10">
        <v>3900</v>
      </c>
      <c r="M178" s="3">
        <v>0.214</v>
      </c>
      <c r="N178" s="11">
        <v>2.335227683036676E-4</v>
      </c>
      <c r="O178">
        <v>8</v>
      </c>
      <c r="P178" s="11">
        <v>0.2173595895951185</v>
      </c>
      <c r="Q178" s="11">
        <v>2.5660764690787791E-4</v>
      </c>
      <c r="R178" s="11">
        <v>0.21402620730927319</v>
      </c>
      <c r="S178" s="11">
        <v>2.335172778499458E-4</v>
      </c>
      <c r="T178" s="9" t="s">
        <v>40</v>
      </c>
      <c r="U178" s="9" t="s">
        <v>50</v>
      </c>
      <c r="V178" s="9" t="s">
        <v>33</v>
      </c>
      <c r="W178" s="9" t="s">
        <v>350</v>
      </c>
      <c r="X178" s="1" t="s">
        <v>31</v>
      </c>
      <c r="Y178" s="1" t="s">
        <v>31</v>
      </c>
      <c r="Z178" s="3" t="s">
        <v>31</v>
      </c>
      <c r="AA178" s="11" t="s">
        <v>31</v>
      </c>
      <c r="AB178" s="11" t="s">
        <v>31</v>
      </c>
      <c r="AC178" s="10">
        <v>3</v>
      </c>
      <c r="AD178" s="10">
        <v>3</v>
      </c>
      <c r="AE178" s="10">
        <v>3</v>
      </c>
      <c r="AF178" s="10">
        <v>3</v>
      </c>
      <c r="AG178" s="10">
        <v>1</v>
      </c>
      <c r="AH178" s="9" t="s">
        <v>41</v>
      </c>
      <c r="AI178" s="9" t="s">
        <v>35</v>
      </c>
    </row>
    <row r="179" spans="1:35" x14ac:dyDescent="0.25">
      <c r="A179" s="9" t="s">
        <v>579</v>
      </c>
      <c r="B179" s="1" t="s">
        <v>1021</v>
      </c>
      <c r="C179" s="1" t="s">
        <v>461</v>
      </c>
      <c r="D179" s="10">
        <v>3</v>
      </c>
      <c r="E179" s="10">
        <v>2019</v>
      </c>
      <c r="F179" s="9" t="s">
        <v>38</v>
      </c>
      <c r="G179" s="9" t="s">
        <v>29</v>
      </c>
      <c r="H179" s="1">
        <v>63.13</v>
      </c>
      <c r="I179" s="1">
        <v>7.48</v>
      </c>
      <c r="J179" s="9" t="s">
        <v>39</v>
      </c>
      <c r="K179" s="1">
        <v>0</v>
      </c>
      <c r="L179" s="10">
        <v>4192</v>
      </c>
      <c r="M179" s="3">
        <v>0.26</v>
      </c>
      <c r="N179" s="11">
        <v>2.0743730851825341E-4</v>
      </c>
      <c r="O179">
        <v>8</v>
      </c>
      <c r="P179" s="11">
        <v>0.26610840687365411</v>
      </c>
      <c r="Q179" s="11">
        <v>2.3872045834327999E-4</v>
      </c>
      <c r="R179" s="11">
        <v>0.26002894336926191</v>
      </c>
      <c r="S179" s="11">
        <v>2.0743061140419161E-4</v>
      </c>
      <c r="T179" s="9" t="s">
        <v>40</v>
      </c>
      <c r="U179" s="9" t="s">
        <v>50</v>
      </c>
      <c r="V179" s="9" t="s">
        <v>33</v>
      </c>
      <c r="W179" s="9" t="s">
        <v>350</v>
      </c>
      <c r="X179" s="1" t="s">
        <v>31</v>
      </c>
      <c r="Y179" s="1" t="s">
        <v>31</v>
      </c>
      <c r="Z179" s="3" t="s">
        <v>31</v>
      </c>
      <c r="AA179" s="11" t="s">
        <v>31</v>
      </c>
      <c r="AB179" s="11" t="s">
        <v>31</v>
      </c>
      <c r="AC179" s="10">
        <v>3</v>
      </c>
      <c r="AD179" s="10">
        <v>3</v>
      </c>
      <c r="AE179" s="10">
        <v>3</v>
      </c>
      <c r="AF179" s="10">
        <v>3</v>
      </c>
      <c r="AG179" s="10">
        <v>1</v>
      </c>
      <c r="AH179" s="9" t="s">
        <v>41</v>
      </c>
      <c r="AI179" s="9" t="s">
        <v>35</v>
      </c>
    </row>
    <row r="180" spans="1:35" x14ac:dyDescent="0.25">
      <c r="A180" s="9" t="s">
        <v>580</v>
      </c>
      <c r="B180" s="1" t="s">
        <v>1008</v>
      </c>
      <c r="C180" s="1" t="s">
        <v>462</v>
      </c>
      <c r="D180" s="10">
        <v>3</v>
      </c>
      <c r="E180" s="10">
        <v>2019</v>
      </c>
      <c r="F180" s="9" t="s">
        <v>28</v>
      </c>
      <c r="G180" s="9" t="s">
        <v>29</v>
      </c>
      <c r="H180" s="1">
        <v>27.49</v>
      </c>
      <c r="I180" s="1">
        <v>7.06</v>
      </c>
      <c r="J180" s="9" t="s">
        <v>30</v>
      </c>
      <c r="K180" s="1">
        <v>0.6</v>
      </c>
      <c r="L180" s="10">
        <v>516</v>
      </c>
      <c r="M180" s="3">
        <v>0.28999999999999998</v>
      </c>
      <c r="N180" s="11">
        <v>1.6288792427184471E-3</v>
      </c>
      <c r="O180" t="s">
        <v>931</v>
      </c>
      <c r="P180" s="11">
        <v>0.29856626366017841</v>
      </c>
      <c r="Q180" s="11">
        <v>1.9493177387914229E-3</v>
      </c>
      <c r="R180" s="11">
        <v>0.29025941603555683</v>
      </c>
      <c r="S180" s="11">
        <v>1.6283438725714951E-3</v>
      </c>
      <c r="T180" s="9" t="s">
        <v>40</v>
      </c>
      <c r="U180" s="9" t="s">
        <v>50</v>
      </c>
      <c r="V180" s="9" t="s">
        <v>33</v>
      </c>
      <c r="W180" s="9" t="s">
        <v>352</v>
      </c>
      <c r="X180" s="1">
        <v>14.82</v>
      </c>
      <c r="Y180" s="1">
        <v>15</v>
      </c>
      <c r="Z180" s="3">
        <f t="shared" ref="Z180:Z188" si="7">X180/Y180</f>
        <v>0.98799999999999999</v>
      </c>
      <c r="AA180" s="11">
        <v>0.29322109009818442</v>
      </c>
      <c r="AB180" s="11">
        <v>4.2593955950276562E-2</v>
      </c>
      <c r="AC180" s="10">
        <v>3</v>
      </c>
      <c r="AD180" s="10">
        <v>3</v>
      </c>
      <c r="AE180" s="10">
        <v>3</v>
      </c>
      <c r="AF180" s="10">
        <v>3</v>
      </c>
      <c r="AG180" s="10">
        <v>0</v>
      </c>
      <c r="AH180" s="9" t="s">
        <v>34</v>
      </c>
      <c r="AI180" s="9" t="s">
        <v>35</v>
      </c>
    </row>
    <row r="181" spans="1:35" x14ac:dyDescent="0.25">
      <c r="A181" s="9" t="s">
        <v>580</v>
      </c>
      <c r="B181" s="1" t="s">
        <v>1008</v>
      </c>
      <c r="C181" s="1" t="s">
        <v>463</v>
      </c>
      <c r="D181" s="10">
        <v>3</v>
      </c>
      <c r="E181" s="10">
        <v>2019</v>
      </c>
      <c r="F181" s="9" t="s">
        <v>28</v>
      </c>
      <c r="G181" s="9" t="s">
        <v>29</v>
      </c>
      <c r="H181" s="1">
        <v>52.85</v>
      </c>
      <c r="I181" s="1">
        <v>4.45</v>
      </c>
      <c r="J181" s="9" t="s">
        <v>30</v>
      </c>
      <c r="K181" s="1">
        <v>0.32</v>
      </c>
      <c r="L181" s="10">
        <v>85</v>
      </c>
      <c r="M181" s="3">
        <v>0.06</v>
      </c>
      <c r="N181" s="11">
        <v>1.18192019047619E-2</v>
      </c>
      <c r="O181" t="s">
        <v>931</v>
      </c>
      <c r="P181" s="11">
        <v>6.0072155921031697E-2</v>
      </c>
      <c r="Q181" s="11">
        <v>1.2195121951219509E-2</v>
      </c>
      <c r="R181" s="11">
        <v>6.0370130970982643E-2</v>
      </c>
      <c r="S181" s="11">
        <v>1.181814496830445E-2</v>
      </c>
      <c r="T181" s="9" t="s">
        <v>40</v>
      </c>
      <c r="U181" s="9" t="s">
        <v>50</v>
      </c>
      <c r="V181" s="9" t="s">
        <v>33</v>
      </c>
      <c r="W181" s="9" t="s">
        <v>353</v>
      </c>
      <c r="X181" s="1">
        <v>13.93</v>
      </c>
      <c r="Y181" s="1">
        <v>15</v>
      </c>
      <c r="Z181" s="3">
        <f t="shared" si="7"/>
        <v>0.92866666666666664</v>
      </c>
      <c r="AA181" s="11">
        <v>6.4590213928848658E-2</v>
      </c>
      <c r="AB181" s="11">
        <v>0.1178810364716551</v>
      </c>
      <c r="AC181" s="10">
        <v>3</v>
      </c>
      <c r="AD181" s="10">
        <v>3</v>
      </c>
      <c r="AE181" s="10">
        <v>3</v>
      </c>
      <c r="AF181" s="10">
        <v>3</v>
      </c>
      <c r="AG181" s="10">
        <v>0</v>
      </c>
      <c r="AH181" s="9" t="s">
        <v>34</v>
      </c>
      <c r="AI181" s="9" t="s">
        <v>35</v>
      </c>
    </row>
    <row r="182" spans="1:35" x14ac:dyDescent="0.25">
      <c r="A182" s="9" t="s">
        <v>581</v>
      </c>
      <c r="B182" s="1" t="s">
        <v>1023</v>
      </c>
      <c r="C182" s="1" t="s">
        <v>464</v>
      </c>
      <c r="D182" s="10">
        <v>3</v>
      </c>
      <c r="E182" s="10">
        <v>2019</v>
      </c>
      <c r="F182" s="9" t="s">
        <v>38</v>
      </c>
      <c r="G182" s="9" t="s">
        <v>29</v>
      </c>
      <c r="H182" s="1">
        <v>45</v>
      </c>
      <c r="I182" s="1" t="s">
        <v>31</v>
      </c>
      <c r="J182" s="9" t="s">
        <v>30</v>
      </c>
      <c r="K182" s="1">
        <v>0.48</v>
      </c>
      <c r="L182" s="10">
        <v>596</v>
      </c>
      <c r="M182" s="3">
        <v>0.35</v>
      </c>
      <c r="N182" s="11">
        <v>1.294128151260504E-3</v>
      </c>
      <c r="O182">
        <v>3499</v>
      </c>
      <c r="P182" s="11">
        <v>0.36544375427139619</v>
      </c>
      <c r="Q182" s="11">
        <v>1.686340640809443E-3</v>
      </c>
      <c r="R182" s="11">
        <v>0.35025938442170118</v>
      </c>
      <c r="S182" s="11">
        <v>1.2935924557190329E-3</v>
      </c>
      <c r="T182" s="9" t="s">
        <v>40</v>
      </c>
      <c r="U182" s="9" t="s">
        <v>50</v>
      </c>
      <c r="V182" s="9" t="s">
        <v>33</v>
      </c>
      <c r="W182" s="9" t="s">
        <v>971</v>
      </c>
      <c r="X182" s="1">
        <v>15.27</v>
      </c>
      <c r="Y182" s="1">
        <v>15</v>
      </c>
      <c r="Z182" s="3">
        <f t="shared" si="7"/>
        <v>1.018</v>
      </c>
      <c r="AA182" s="11">
        <v>0.34455189612486947</v>
      </c>
      <c r="AB182" s="11">
        <v>3.8000183673461092E-2</v>
      </c>
      <c r="AC182" s="10">
        <v>4</v>
      </c>
      <c r="AD182" s="10">
        <v>4</v>
      </c>
      <c r="AE182" s="10">
        <v>4</v>
      </c>
      <c r="AF182" s="10">
        <v>4</v>
      </c>
      <c r="AG182" s="10">
        <v>1</v>
      </c>
      <c r="AH182" s="9" t="s">
        <v>41</v>
      </c>
      <c r="AI182" s="9" t="s">
        <v>35</v>
      </c>
    </row>
    <row r="183" spans="1:35" x14ac:dyDescent="0.25">
      <c r="A183" s="9" t="s">
        <v>581</v>
      </c>
      <c r="B183" s="1" t="s">
        <v>1024</v>
      </c>
      <c r="C183" s="1" t="s">
        <v>465</v>
      </c>
      <c r="D183" s="10">
        <v>3</v>
      </c>
      <c r="E183" s="10">
        <v>2019</v>
      </c>
      <c r="F183" s="9" t="s">
        <v>38</v>
      </c>
      <c r="G183" s="9" t="s">
        <v>29</v>
      </c>
      <c r="H183" s="1">
        <v>22.23</v>
      </c>
      <c r="I183" s="1">
        <v>5.53</v>
      </c>
      <c r="J183" s="9" t="s">
        <v>30</v>
      </c>
      <c r="K183" s="1">
        <v>0.47</v>
      </c>
      <c r="L183" s="10">
        <v>1163</v>
      </c>
      <c r="M183" s="3">
        <v>0.12</v>
      </c>
      <c r="N183" s="11">
        <v>8.3597879518072294E-4</v>
      </c>
      <c r="O183">
        <v>3499</v>
      </c>
      <c r="P183" s="11">
        <v>0.1205810284084441</v>
      </c>
      <c r="Q183" s="11">
        <v>8.6206896551724137E-4</v>
      </c>
      <c r="R183" s="11">
        <v>0.1200510328679167</v>
      </c>
      <c r="S183" s="11">
        <v>8.3595801375125288E-4</v>
      </c>
      <c r="T183" s="9" t="s">
        <v>40</v>
      </c>
      <c r="U183" s="9" t="s">
        <v>50</v>
      </c>
      <c r="V183" s="9" t="s">
        <v>33</v>
      </c>
      <c r="W183" s="9" t="s">
        <v>335</v>
      </c>
      <c r="X183" s="1">
        <v>9.02</v>
      </c>
      <c r="Y183" s="1">
        <v>15</v>
      </c>
      <c r="Z183" s="3">
        <f t="shared" si="7"/>
        <v>0.60133333333333328</v>
      </c>
      <c r="AA183" s="11">
        <v>0.19706726078436351</v>
      </c>
      <c r="AB183" s="11">
        <v>4.6662123234052513E-2</v>
      </c>
      <c r="AC183" s="10">
        <v>3</v>
      </c>
      <c r="AD183" s="10">
        <v>3</v>
      </c>
      <c r="AE183" s="10">
        <v>3</v>
      </c>
      <c r="AF183" s="10">
        <v>3</v>
      </c>
      <c r="AG183" s="10">
        <v>5</v>
      </c>
      <c r="AH183" s="9" t="s">
        <v>41</v>
      </c>
      <c r="AI183" s="9" t="s">
        <v>35</v>
      </c>
    </row>
    <row r="184" spans="1:35" x14ac:dyDescent="0.25">
      <c r="A184" s="9" t="s">
        <v>581</v>
      </c>
      <c r="B184" s="1" t="s">
        <v>1025</v>
      </c>
      <c r="C184" s="1" t="s">
        <v>466</v>
      </c>
      <c r="D184" s="10">
        <v>3</v>
      </c>
      <c r="E184" s="10">
        <v>2019</v>
      </c>
      <c r="F184" s="9" t="s">
        <v>38</v>
      </c>
      <c r="G184" s="9" t="s">
        <v>29</v>
      </c>
      <c r="H184" s="1">
        <v>20.260000000000002</v>
      </c>
      <c r="I184" s="1">
        <v>1.2</v>
      </c>
      <c r="J184" s="9" t="s">
        <v>30</v>
      </c>
      <c r="K184" s="1">
        <v>0.47</v>
      </c>
      <c r="L184" s="10">
        <v>515</v>
      </c>
      <c r="M184" s="3">
        <v>0.16</v>
      </c>
      <c r="N184" s="11">
        <v>1.847189416342413E-3</v>
      </c>
      <c r="O184">
        <v>3499</v>
      </c>
      <c r="P184" s="11">
        <v>0.16138669613152551</v>
      </c>
      <c r="Q184" s="11">
        <v>1.953125E-3</v>
      </c>
      <c r="R184" s="11">
        <v>0.16015260523374469</v>
      </c>
      <c r="S184" s="11">
        <v>1.847004182757208E-3</v>
      </c>
      <c r="T184" s="9" t="s">
        <v>40</v>
      </c>
      <c r="U184" s="9" t="s">
        <v>50</v>
      </c>
      <c r="V184" s="9" t="s">
        <v>33</v>
      </c>
      <c r="W184" s="9" t="s">
        <v>347</v>
      </c>
      <c r="X184" s="1">
        <v>7.35</v>
      </c>
      <c r="Y184" s="1">
        <v>15</v>
      </c>
      <c r="Z184" s="3">
        <f t="shared" si="7"/>
        <v>0.49</v>
      </c>
      <c r="AA184" s="11">
        <v>0.3140556334409958</v>
      </c>
      <c r="AB184" s="11">
        <v>7.9133783662923632E-2</v>
      </c>
      <c r="AC184" s="10">
        <v>3</v>
      </c>
      <c r="AD184" s="10">
        <v>3</v>
      </c>
      <c r="AE184" s="10">
        <v>3</v>
      </c>
      <c r="AF184" s="10">
        <v>3</v>
      </c>
      <c r="AG184" s="10">
        <v>1</v>
      </c>
      <c r="AH184" s="9" t="s">
        <v>41</v>
      </c>
      <c r="AI184" s="9" t="s">
        <v>35</v>
      </c>
    </row>
    <row r="185" spans="1:35" x14ac:dyDescent="0.25">
      <c r="A185" s="9" t="s">
        <v>582</v>
      </c>
      <c r="B185" s="1" t="s">
        <v>1026</v>
      </c>
      <c r="C185" s="1" t="s">
        <v>467</v>
      </c>
      <c r="D185" s="10">
        <v>3</v>
      </c>
      <c r="E185" s="10">
        <v>2019</v>
      </c>
      <c r="F185" s="9" t="s">
        <v>28</v>
      </c>
      <c r="G185" s="9" t="s">
        <v>54</v>
      </c>
      <c r="H185" s="1">
        <v>9.43</v>
      </c>
      <c r="I185" s="1">
        <v>1.67</v>
      </c>
      <c r="J185" s="9" t="s">
        <v>30</v>
      </c>
      <c r="K185" s="1">
        <v>0.52</v>
      </c>
      <c r="L185" s="10">
        <v>27</v>
      </c>
      <c r="M185" s="3">
        <v>0.33900000000000002</v>
      </c>
      <c r="N185" s="11">
        <v>3.01294167785E-2</v>
      </c>
      <c r="O185">
        <v>7</v>
      </c>
      <c r="P185" s="11">
        <v>0.35296225291974298</v>
      </c>
      <c r="Q185" s="11">
        <v>4.1666666666666657E-2</v>
      </c>
      <c r="R185" s="11">
        <v>0.34551248300293691</v>
      </c>
      <c r="S185" s="11">
        <v>2.9826675545847298E-2</v>
      </c>
      <c r="T185" s="9" t="s">
        <v>40</v>
      </c>
      <c r="U185" s="9" t="s">
        <v>50</v>
      </c>
      <c r="V185" s="9" t="s">
        <v>33</v>
      </c>
      <c r="W185" s="9" t="s">
        <v>272</v>
      </c>
      <c r="X185" s="1">
        <v>10.84</v>
      </c>
      <c r="Y185" s="1">
        <v>15</v>
      </c>
      <c r="Z185" s="3">
        <f t="shared" si="7"/>
        <v>0.72266666666666668</v>
      </c>
      <c r="AA185" s="11">
        <v>0.44622612224646258</v>
      </c>
      <c r="AB185" s="11">
        <v>0.2241108779618351</v>
      </c>
      <c r="AC185" s="10">
        <v>4</v>
      </c>
      <c r="AD185" s="10">
        <v>4</v>
      </c>
      <c r="AE185" s="10">
        <v>4</v>
      </c>
      <c r="AF185" s="10">
        <v>4</v>
      </c>
      <c r="AG185" s="10">
        <v>3</v>
      </c>
      <c r="AH185" s="9" t="s">
        <v>41</v>
      </c>
      <c r="AI185" s="9" t="s">
        <v>35</v>
      </c>
    </row>
    <row r="186" spans="1:35" x14ac:dyDescent="0.25">
      <c r="A186" s="9" t="s">
        <v>583</v>
      </c>
      <c r="B186" s="1" t="s">
        <v>1008</v>
      </c>
      <c r="C186" s="1" t="s">
        <v>468</v>
      </c>
      <c r="D186" s="10">
        <v>3</v>
      </c>
      <c r="E186" s="10">
        <v>2019</v>
      </c>
      <c r="F186" s="9" t="s">
        <v>38</v>
      </c>
      <c r="G186" s="9" t="s">
        <v>54</v>
      </c>
      <c r="H186" s="1">
        <v>12.74</v>
      </c>
      <c r="I186" s="1">
        <v>2.14</v>
      </c>
      <c r="J186" s="9" t="s">
        <v>30</v>
      </c>
      <c r="K186" s="1">
        <v>0.53</v>
      </c>
      <c r="L186" s="10">
        <v>40</v>
      </c>
      <c r="M186" s="3">
        <v>0.34</v>
      </c>
      <c r="N186" s="11">
        <v>2.0055470769230772E-2</v>
      </c>
      <c r="O186">
        <v>3</v>
      </c>
      <c r="P186" s="11">
        <v>0.35409252896224302</v>
      </c>
      <c r="Q186" s="11">
        <v>2.7027027027027029E-2</v>
      </c>
      <c r="R186" s="11">
        <v>0.34417315897285228</v>
      </c>
      <c r="S186" s="11">
        <v>1.9926187154136219E-2</v>
      </c>
      <c r="T186" s="9" t="s">
        <v>40</v>
      </c>
      <c r="U186" s="9" t="s">
        <v>50</v>
      </c>
      <c r="V186" s="9" t="s">
        <v>33</v>
      </c>
      <c r="W186" s="9" t="s">
        <v>351</v>
      </c>
      <c r="X186" s="1">
        <v>13</v>
      </c>
      <c r="Y186" s="1">
        <v>15</v>
      </c>
      <c r="Z186" s="3">
        <f t="shared" si="7"/>
        <v>0.8666666666666667</v>
      </c>
      <c r="AA186" s="11">
        <v>0.38500315020013992</v>
      </c>
      <c r="AB186" s="11">
        <v>0.16637683297499881</v>
      </c>
      <c r="AC186" s="10">
        <v>3</v>
      </c>
      <c r="AD186" s="10">
        <v>3</v>
      </c>
      <c r="AE186" s="10">
        <v>3</v>
      </c>
      <c r="AF186" s="10">
        <v>3</v>
      </c>
      <c r="AG186" s="10">
        <v>0</v>
      </c>
      <c r="AH186" s="9" t="s">
        <v>41</v>
      </c>
      <c r="AI186" s="9" t="s">
        <v>35</v>
      </c>
    </row>
    <row r="187" spans="1:35" x14ac:dyDescent="0.25">
      <c r="A187" s="9" t="s">
        <v>583</v>
      </c>
      <c r="B187" s="1" t="s">
        <v>1008</v>
      </c>
      <c r="C187" s="1" t="s">
        <v>469</v>
      </c>
      <c r="D187" s="10">
        <v>3</v>
      </c>
      <c r="E187" s="10">
        <v>2019</v>
      </c>
      <c r="F187" s="9" t="s">
        <v>28</v>
      </c>
      <c r="G187" s="9" t="s">
        <v>54</v>
      </c>
      <c r="H187" s="1">
        <v>13.77</v>
      </c>
      <c r="I187" s="1">
        <v>2.97</v>
      </c>
      <c r="J187" s="9" t="s">
        <v>30</v>
      </c>
      <c r="K187" s="1">
        <v>0.3</v>
      </c>
      <c r="L187" s="10">
        <v>40</v>
      </c>
      <c r="M187" s="3">
        <v>0.53</v>
      </c>
      <c r="N187" s="11">
        <v>1.325909769230769E-2</v>
      </c>
      <c r="O187">
        <v>3</v>
      </c>
      <c r="P187" s="11">
        <v>0.59014515984118854</v>
      </c>
      <c r="Q187" s="11">
        <v>2.7027027027027029E-2</v>
      </c>
      <c r="R187" s="11">
        <v>0.53523375736247769</v>
      </c>
      <c r="S187" s="11">
        <v>1.3054299381082881E-2</v>
      </c>
      <c r="T187" s="9" t="s">
        <v>40</v>
      </c>
      <c r="U187" s="9" t="s">
        <v>50</v>
      </c>
      <c r="V187" s="9" t="s">
        <v>33</v>
      </c>
      <c r="W187" s="9" t="s">
        <v>351</v>
      </c>
      <c r="X187" s="1">
        <v>19.170000000000002</v>
      </c>
      <c r="Y187" s="1">
        <v>15</v>
      </c>
      <c r="Z187" s="3">
        <f t="shared" si="7"/>
        <v>1.278</v>
      </c>
      <c r="AA187" s="11">
        <v>0.43932457874714631</v>
      </c>
      <c r="AB187" s="11">
        <v>0.12796566229421549</v>
      </c>
      <c r="AC187" s="10">
        <v>3</v>
      </c>
      <c r="AD187" s="10">
        <v>3</v>
      </c>
      <c r="AE187" s="10">
        <v>3</v>
      </c>
      <c r="AF187" s="10">
        <v>3</v>
      </c>
      <c r="AG187" s="10">
        <v>0</v>
      </c>
      <c r="AH187" s="9" t="s">
        <v>41</v>
      </c>
      <c r="AI187" s="9" t="s">
        <v>35</v>
      </c>
    </row>
    <row r="188" spans="1:35" x14ac:dyDescent="0.25">
      <c r="A188" s="9" t="s">
        <v>583</v>
      </c>
      <c r="B188" s="1" t="s">
        <v>1008</v>
      </c>
      <c r="C188" s="1" t="s">
        <v>470</v>
      </c>
      <c r="D188" s="10">
        <v>3</v>
      </c>
      <c r="E188" s="10">
        <v>2019</v>
      </c>
      <c r="F188" s="9" t="s">
        <v>28</v>
      </c>
      <c r="G188" s="9" t="s">
        <v>54</v>
      </c>
      <c r="H188" s="1">
        <v>14.52</v>
      </c>
      <c r="I188" s="1">
        <v>2.67</v>
      </c>
      <c r="J188" s="9" t="s">
        <v>30</v>
      </c>
      <c r="K188" s="1">
        <v>0.56000000000000005</v>
      </c>
      <c r="L188" s="10">
        <v>63</v>
      </c>
      <c r="M188" s="3">
        <v>0.39</v>
      </c>
      <c r="N188" s="11">
        <v>1.1595716290322579E-2</v>
      </c>
      <c r="O188">
        <v>3</v>
      </c>
      <c r="P188" s="11">
        <v>0.41180003447869029</v>
      </c>
      <c r="Q188" s="11">
        <v>1.666666666666667E-2</v>
      </c>
      <c r="R188" s="11">
        <v>0.392797426057378</v>
      </c>
      <c r="S188" s="11">
        <v>1.153589858190889E-2</v>
      </c>
      <c r="T188" s="9" t="s">
        <v>40</v>
      </c>
      <c r="U188" s="9" t="s">
        <v>50</v>
      </c>
      <c r="V188" s="9" t="s">
        <v>33</v>
      </c>
      <c r="W188" s="9" t="s">
        <v>351</v>
      </c>
      <c r="X188" s="1">
        <v>18.3</v>
      </c>
      <c r="Y188" s="1">
        <v>15</v>
      </c>
      <c r="Z188" s="3">
        <f t="shared" si="7"/>
        <v>1.22</v>
      </c>
      <c r="AA188" s="11">
        <v>0.32796110484049062</v>
      </c>
      <c r="AB188" s="11">
        <v>0.1043518764180377</v>
      </c>
      <c r="AC188" s="10">
        <v>3</v>
      </c>
      <c r="AD188" s="10">
        <v>3</v>
      </c>
      <c r="AE188" s="10">
        <v>3</v>
      </c>
      <c r="AF188" s="10">
        <v>3</v>
      </c>
      <c r="AG188" s="10">
        <v>0</v>
      </c>
      <c r="AH188" s="9" t="s">
        <v>41</v>
      </c>
      <c r="AI188" s="9" t="s">
        <v>35</v>
      </c>
    </row>
    <row r="189" spans="1:35" x14ac:dyDescent="0.25">
      <c r="A189" s="9" t="s">
        <v>584</v>
      </c>
      <c r="B189" s="1" t="s">
        <v>1027</v>
      </c>
      <c r="C189" s="1" t="s">
        <v>588</v>
      </c>
      <c r="D189" s="10">
        <v>3</v>
      </c>
      <c r="E189" s="10">
        <v>2020</v>
      </c>
      <c r="F189" s="9" t="s">
        <v>38</v>
      </c>
      <c r="G189" s="9" t="s">
        <v>29</v>
      </c>
      <c r="H189" s="1">
        <v>39.6</v>
      </c>
      <c r="I189" s="1" t="s">
        <v>31</v>
      </c>
      <c r="J189" s="9" t="s">
        <v>30</v>
      </c>
      <c r="K189" s="1">
        <v>0.43</v>
      </c>
      <c r="L189" s="10">
        <v>1216</v>
      </c>
      <c r="M189" s="3">
        <v>0.12</v>
      </c>
      <c r="N189" s="11">
        <v>7.995122304526749E-4</v>
      </c>
      <c r="O189">
        <v>3443</v>
      </c>
      <c r="P189" s="11">
        <v>0.1205810284084441</v>
      </c>
      <c r="Q189" s="11">
        <v>8.2440230832646333E-4</v>
      </c>
      <c r="R189" s="11">
        <v>0.1200488008326336</v>
      </c>
      <c r="S189" s="11">
        <v>7.9949322498310091E-4</v>
      </c>
      <c r="T189" s="9" t="s">
        <v>40</v>
      </c>
      <c r="U189" s="9" t="s">
        <v>46</v>
      </c>
      <c r="V189" s="9" t="s">
        <v>33</v>
      </c>
      <c r="W189" s="9" t="s">
        <v>354</v>
      </c>
      <c r="X189" s="1" t="s">
        <v>31</v>
      </c>
      <c r="Y189" s="1" t="s">
        <v>31</v>
      </c>
      <c r="Z189" s="3" t="s">
        <v>31</v>
      </c>
      <c r="AA189" s="11" t="s">
        <v>31</v>
      </c>
      <c r="AB189" s="11" t="s">
        <v>31</v>
      </c>
      <c r="AC189" s="10">
        <v>4</v>
      </c>
      <c r="AD189" s="10">
        <v>3</v>
      </c>
      <c r="AE189" s="10">
        <v>3</v>
      </c>
      <c r="AF189" s="10">
        <v>3</v>
      </c>
      <c r="AG189" s="10">
        <v>0</v>
      </c>
      <c r="AH189" s="9" t="s">
        <v>34</v>
      </c>
      <c r="AI189" s="9" t="s">
        <v>35</v>
      </c>
    </row>
    <row r="190" spans="1:35" x14ac:dyDescent="0.25">
      <c r="A190" s="9" t="s">
        <v>585</v>
      </c>
      <c r="B190" s="1" t="s">
        <v>1022</v>
      </c>
      <c r="C190" s="1" t="s">
        <v>590</v>
      </c>
      <c r="D190" s="10">
        <v>3</v>
      </c>
      <c r="E190" s="10">
        <v>2020</v>
      </c>
      <c r="F190" s="9" t="s">
        <v>38</v>
      </c>
      <c r="G190" s="9" t="s">
        <v>29</v>
      </c>
      <c r="H190" s="1">
        <v>22.3</v>
      </c>
      <c r="I190" s="1">
        <v>3.3</v>
      </c>
      <c r="J190" s="9" t="s">
        <v>30</v>
      </c>
      <c r="K190" s="1">
        <v>0.38</v>
      </c>
      <c r="L190" s="10">
        <v>1097</v>
      </c>
      <c r="M190" s="3">
        <v>0.253</v>
      </c>
      <c r="N190" s="11">
        <v>7.9934229204470806E-4</v>
      </c>
      <c r="O190">
        <v>5</v>
      </c>
      <c r="P190" s="11">
        <v>0.25861538488162561</v>
      </c>
      <c r="Q190" s="11">
        <v>9.1407678244972577E-4</v>
      </c>
      <c r="R190" s="11">
        <v>0.25310833879247502</v>
      </c>
      <c r="S190" s="11">
        <v>7.9924864245541039E-4</v>
      </c>
      <c r="T190" s="9" t="s">
        <v>40</v>
      </c>
      <c r="U190" s="9" t="s">
        <v>46</v>
      </c>
      <c r="V190" s="9" t="s">
        <v>33</v>
      </c>
      <c r="W190" s="9" t="s">
        <v>355</v>
      </c>
      <c r="X190" s="1">
        <v>13.8</v>
      </c>
      <c r="Y190" s="1">
        <v>15</v>
      </c>
      <c r="Z190" s="3">
        <f>X190/Y190</f>
        <v>0.92</v>
      </c>
      <c r="AA190" s="11">
        <v>0.27341658146595549</v>
      </c>
      <c r="AB190" s="11">
        <v>3.1233267085211961E-2</v>
      </c>
      <c r="AC190" s="10">
        <v>3</v>
      </c>
      <c r="AD190" s="10">
        <v>3</v>
      </c>
      <c r="AE190" s="10">
        <v>3</v>
      </c>
      <c r="AF190" s="10">
        <v>3</v>
      </c>
      <c r="AG190" s="10">
        <v>2</v>
      </c>
      <c r="AH190" s="9" t="s">
        <v>34</v>
      </c>
      <c r="AI190" s="9" t="s">
        <v>35</v>
      </c>
    </row>
    <row r="191" spans="1:35" x14ac:dyDescent="0.25">
      <c r="A191" s="9" t="s">
        <v>935</v>
      </c>
      <c r="B191" s="1" t="s">
        <v>1028</v>
      </c>
      <c r="C191" s="1" t="s">
        <v>591</v>
      </c>
      <c r="D191" s="10">
        <v>3</v>
      </c>
      <c r="E191" s="10">
        <v>2020</v>
      </c>
      <c r="F191" s="9" t="s">
        <v>28</v>
      </c>
      <c r="G191" s="9" t="s">
        <v>54</v>
      </c>
      <c r="H191" s="1">
        <v>10</v>
      </c>
      <c r="I191" s="1">
        <v>1.1000000000000001</v>
      </c>
      <c r="J191" s="9" t="s">
        <v>30</v>
      </c>
      <c r="K191" s="1">
        <v>0.6</v>
      </c>
      <c r="L191" s="10">
        <v>100</v>
      </c>
      <c r="M191" s="3">
        <v>-2.5000000000000001E-2</v>
      </c>
      <c r="N191" s="11">
        <v>1.0088387784090909E-2</v>
      </c>
      <c r="O191">
        <v>2500</v>
      </c>
      <c r="P191" s="11">
        <v>-2.5005210287330649E-2</v>
      </c>
      <c r="Q191" s="11">
        <v>1.030927835051546E-2</v>
      </c>
      <c r="R191" s="11">
        <v>-2.513046209583043E-2</v>
      </c>
      <c r="S191" s="11">
        <v>1.0088255743359901E-2</v>
      </c>
      <c r="T191" s="9" t="s">
        <v>40</v>
      </c>
      <c r="U191" s="9" t="s">
        <v>50</v>
      </c>
      <c r="V191" s="9" t="s">
        <v>33</v>
      </c>
      <c r="W191" s="9" t="s">
        <v>912</v>
      </c>
      <c r="X191" s="1">
        <v>12.9</v>
      </c>
      <c r="Y191" s="1">
        <v>15</v>
      </c>
      <c r="Z191" s="3">
        <f>X191/Y191</f>
        <v>0.86</v>
      </c>
      <c r="AA191" s="11">
        <v>-2.9066569548418238E-2</v>
      </c>
      <c r="AB191" s="11">
        <v>0.1173841383984299</v>
      </c>
      <c r="AC191" s="10">
        <v>3</v>
      </c>
      <c r="AD191" s="10">
        <v>3</v>
      </c>
      <c r="AE191" s="10">
        <v>3</v>
      </c>
      <c r="AF191" s="10">
        <v>3</v>
      </c>
      <c r="AG191" s="10">
        <v>4</v>
      </c>
      <c r="AH191" s="9" t="s">
        <v>41</v>
      </c>
      <c r="AI191" s="9" t="s">
        <v>35</v>
      </c>
    </row>
    <row r="192" spans="1:35" x14ac:dyDescent="0.25">
      <c r="A192" s="9" t="s">
        <v>936</v>
      </c>
      <c r="B192" s="1" t="s">
        <v>1029</v>
      </c>
      <c r="C192" s="1" t="s">
        <v>592</v>
      </c>
      <c r="D192" s="10">
        <v>3</v>
      </c>
      <c r="E192" s="10">
        <v>2020</v>
      </c>
      <c r="F192" s="9" t="s">
        <v>28</v>
      </c>
      <c r="G192" s="9" t="s">
        <v>54</v>
      </c>
      <c r="H192" s="1">
        <v>12.3</v>
      </c>
      <c r="I192" s="1">
        <v>1.5</v>
      </c>
      <c r="J192" s="9" t="s">
        <v>30</v>
      </c>
      <c r="K192" s="1">
        <v>0.624</v>
      </c>
      <c r="L192" s="10">
        <v>304</v>
      </c>
      <c r="M192" s="3">
        <v>0.19</v>
      </c>
      <c r="N192" s="11">
        <v>3.0663472277227721E-3</v>
      </c>
      <c r="O192">
        <v>86</v>
      </c>
      <c r="P192" s="11">
        <v>0.1923371692195453</v>
      </c>
      <c r="Q192" s="11">
        <v>3.3222591362126251E-3</v>
      </c>
      <c r="R192" s="11">
        <v>0.19030540569061741</v>
      </c>
      <c r="S192" s="11">
        <v>3.065608298564019E-3</v>
      </c>
      <c r="T192" s="9" t="s">
        <v>40</v>
      </c>
      <c r="U192" s="9" t="s">
        <v>50</v>
      </c>
      <c r="V192" s="9" t="s">
        <v>33</v>
      </c>
      <c r="W192" s="9" t="s">
        <v>922</v>
      </c>
      <c r="X192" s="1" t="s">
        <v>31</v>
      </c>
      <c r="Y192" s="1" t="s">
        <v>31</v>
      </c>
      <c r="Z192" s="3" t="s">
        <v>31</v>
      </c>
      <c r="AA192" s="11" t="s">
        <v>31</v>
      </c>
      <c r="AB192" s="11" t="s">
        <v>31</v>
      </c>
      <c r="AC192" s="10">
        <v>3</v>
      </c>
      <c r="AD192" s="10">
        <v>3</v>
      </c>
      <c r="AE192" s="10">
        <v>3</v>
      </c>
      <c r="AF192" s="10">
        <v>3</v>
      </c>
      <c r="AG192" s="10">
        <v>2</v>
      </c>
      <c r="AH192" s="9" t="s">
        <v>41</v>
      </c>
      <c r="AI192" s="9" t="s">
        <v>263</v>
      </c>
    </row>
    <row r="193" spans="1:35" x14ac:dyDescent="0.25">
      <c r="A193" s="9" t="s">
        <v>936</v>
      </c>
      <c r="B193" s="1" t="s">
        <v>1030</v>
      </c>
      <c r="C193" s="1" t="s">
        <v>593</v>
      </c>
      <c r="D193" s="10">
        <v>3</v>
      </c>
      <c r="E193" s="10">
        <v>2020</v>
      </c>
      <c r="F193" s="9" t="s">
        <v>28</v>
      </c>
      <c r="G193" s="9" t="s">
        <v>54</v>
      </c>
      <c r="H193" s="1">
        <v>12.5</v>
      </c>
      <c r="I193" s="1">
        <v>2.2999999999999998</v>
      </c>
      <c r="J193" s="9" t="s">
        <v>30</v>
      </c>
      <c r="K193" s="1">
        <v>0.51900000000000002</v>
      </c>
      <c r="L193" s="10">
        <v>161</v>
      </c>
      <c r="M193" s="3">
        <v>-7.0000000000000007E-2</v>
      </c>
      <c r="N193" s="11">
        <v>6.1889000624999998E-3</v>
      </c>
      <c r="O193">
        <v>86</v>
      </c>
      <c r="P193" s="11">
        <v>-7.0114670654325195E-2</v>
      </c>
      <c r="Q193" s="11">
        <v>6.3291139240506328E-3</v>
      </c>
      <c r="R193" s="11">
        <v>-7.022217388436007E-2</v>
      </c>
      <c r="S193" s="11">
        <v>6.1885125554173269E-3</v>
      </c>
      <c r="T193" s="9" t="s">
        <v>40</v>
      </c>
      <c r="U193" s="9" t="s">
        <v>50</v>
      </c>
      <c r="V193" s="9" t="s">
        <v>33</v>
      </c>
      <c r="W193" s="9" t="s">
        <v>922</v>
      </c>
      <c r="X193" s="1">
        <v>12.7</v>
      </c>
      <c r="Y193" s="1">
        <v>15</v>
      </c>
      <c r="Z193" s="3">
        <f t="shared" ref="Z193:Z199" si="8">X193/Y193</f>
        <v>0.84666666666666657</v>
      </c>
      <c r="AA193" s="11">
        <v>-8.2597269922754735E-2</v>
      </c>
      <c r="AB193" s="11">
        <v>9.3167122712588243E-2</v>
      </c>
      <c r="AC193" s="10">
        <v>3</v>
      </c>
      <c r="AD193" s="10">
        <v>3</v>
      </c>
      <c r="AE193" s="10">
        <v>3</v>
      </c>
      <c r="AF193" s="10">
        <v>3</v>
      </c>
      <c r="AG193" s="10">
        <v>2</v>
      </c>
      <c r="AH193" s="9" t="s">
        <v>41</v>
      </c>
      <c r="AI193" s="9" t="s">
        <v>263</v>
      </c>
    </row>
    <row r="194" spans="1:35" x14ac:dyDescent="0.25">
      <c r="A194" s="9" t="s">
        <v>937</v>
      </c>
      <c r="B194" s="1" t="s">
        <v>1031</v>
      </c>
      <c r="C194" s="1" t="s">
        <v>594</v>
      </c>
      <c r="D194" s="10">
        <v>3</v>
      </c>
      <c r="E194" s="10">
        <v>2020</v>
      </c>
      <c r="F194" s="9" t="s">
        <v>38</v>
      </c>
      <c r="G194" s="9" t="s">
        <v>54</v>
      </c>
      <c r="H194" s="1">
        <v>13.1</v>
      </c>
      <c r="I194" s="1">
        <v>4.0999999999999996</v>
      </c>
      <c r="J194" s="9" t="s">
        <v>30</v>
      </c>
      <c r="K194" s="1">
        <v>0.72699999999999998</v>
      </c>
      <c r="L194" s="10">
        <v>216</v>
      </c>
      <c r="M194" s="3">
        <v>0.38</v>
      </c>
      <c r="N194" s="11">
        <v>3.4048900465116281E-3</v>
      </c>
      <c r="O194">
        <v>5</v>
      </c>
      <c r="P194" s="11">
        <v>0.40005965005605648</v>
      </c>
      <c r="Q194" s="11">
        <v>4.6948356807511738E-3</v>
      </c>
      <c r="R194" s="11">
        <v>0.3807665286343439</v>
      </c>
      <c r="S194" s="11">
        <v>3.400250302012279E-3</v>
      </c>
      <c r="T194" s="9" t="s">
        <v>40</v>
      </c>
      <c r="U194" s="9" t="s">
        <v>50</v>
      </c>
      <c r="V194" s="9" t="s">
        <v>33</v>
      </c>
      <c r="W194" s="9" t="s">
        <v>972</v>
      </c>
      <c r="X194" s="1">
        <v>16</v>
      </c>
      <c r="Y194" s="1">
        <v>15</v>
      </c>
      <c r="Z194" s="3">
        <f t="shared" si="8"/>
        <v>1.0666666666666667</v>
      </c>
      <c r="AA194" s="11">
        <v>0.35940613444085701</v>
      </c>
      <c r="AB194" s="11">
        <v>6.0868362039978523E-2</v>
      </c>
      <c r="AC194" s="10" t="s">
        <v>31</v>
      </c>
      <c r="AD194" s="10" t="s">
        <v>31</v>
      </c>
      <c r="AE194" s="10" t="s">
        <v>31</v>
      </c>
      <c r="AF194" s="10" t="s">
        <v>31</v>
      </c>
      <c r="AG194" s="10">
        <v>2</v>
      </c>
      <c r="AH194" s="9" t="s">
        <v>41</v>
      </c>
      <c r="AI194" s="9" t="s">
        <v>35</v>
      </c>
    </row>
    <row r="195" spans="1:35" x14ac:dyDescent="0.25">
      <c r="A195" s="9" t="s">
        <v>937</v>
      </c>
      <c r="B195" s="1" t="s">
        <v>1032</v>
      </c>
      <c r="C195" s="1" t="s">
        <v>595</v>
      </c>
      <c r="D195" s="10">
        <v>3</v>
      </c>
      <c r="E195" s="10">
        <v>2020</v>
      </c>
      <c r="F195" s="9" t="s">
        <v>28</v>
      </c>
      <c r="G195" s="9" t="s">
        <v>54</v>
      </c>
      <c r="H195" s="1">
        <v>13</v>
      </c>
      <c r="I195" s="1">
        <v>3.5</v>
      </c>
      <c r="J195" s="9" t="s">
        <v>30</v>
      </c>
      <c r="K195" s="1">
        <v>0.82099999999999995</v>
      </c>
      <c r="L195" s="10">
        <v>240</v>
      </c>
      <c r="M195" s="3">
        <v>4.4999999999999998E-2</v>
      </c>
      <c r="N195" s="11">
        <v>4.1671719691422594E-3</v>
      </c>
      <c r="O195">
        <v>5</v>
      </c>
      <c r="P195" s="11">
        <v>4.5030411959090563E-2</v>
      </c>
      <c r="Q195" s="11">
        <v>4.2194092827004216E-3</v>
      </c>
      <c r="R195" s="11">
        <v>4.5095244642536302E-2</v>
      </c>
      <c r="S195" s="11">
        <v>4.1671003065828728E-3</v>
      </c>
      <c r="T195" s="9" t="s">
        <v>40</v>
      </c>
      <c r="U195" s="9" t="s">
        <v>50</v>
      </c>
      <c r="V195" s="9" t="s">
        <v>33</v>
      </c>
      <c r="W195" s="9" t="s">
        <v>972</v>
      </c>
      <c r="X195" s="1">
        <v>20.6</v>
      </c>
      <c r="Y195" s="1">
        <v>15</v>
      </c>
      <c r="Z195" s="3">
        <f t="shared" si="8"/>
        <v>1.3733333333333335</v>
      </c>
      <c r="AA195" s="11">
        <v>3.2782587438429302E-2</v>
      </c>
      <c r="AB195" s="11">
        <v>4.7218851385985992E-2</v>
      </c>
      <c r="AC195" s="10" t="s">
        <v>31</v>
      </c>
      <c r="AD195" s="10" t="s">
        <v>31</v>
      </c>
      <c r="AE195" s="10" t="s">
        <v>31</v>
      </c>
      <c r="AF195" s="10" t="s">
        <v>31</v>
      </c>
      <c r="AG195" s="10">
        <v>2</v>
      </c>
      <c r="AH195" s="9" t="s">
        <v>41</v>
      </c>
      <c r="AI195" s="9" t="s">
        <v>35</v>
      </c>
    </row>
    <row r="196" spans="1:35" x14ac:dyDescent="0.25">
      <c r="A196" s="9" t="s">
        <v>937</v>
      </c>
      <c r="B196" s="1" t="s">
        <v>1033</v>
      </c>
      <c r="C196" s="1" t="s">
        <v>596</v>
      </c>
      <c r="D196" s="10">
        <v>3</v>
      </c>
      <c r="E196" s="10">
        <v>2020</v>
      </c>
      <c r="F196" s="9" t="s">
        <v>38</v>
      </c>
      <c r="G196" s="9" t="s">
        <v>29</v>
      </c>
      <c r="H196" s="1">
        <v>20.6</v>
      </c>
      <c r="I196" s="1">
        <v>9.1999999999999993</v>
      </c>
      <c r="J196" s="9" t="s">
        <v>43</v>
      </c>
      <c r="K196" s="1">
        <v>1</v>
      </c>
      <c r="L196" s="10">
        <v>89</v>
      </c>
      <c r="M196" s="3">
        <v>0.35</v>
      </c>
      <c r="N196" s="11">
        <v>8.7500710227272748E-3</v>
      </c>
      <c r="O196">
        <v>9</v>
      </c>
      <c r="P196" s="11">
        <v>0.36544375427139619</v>
      </c>
      <c r="Q196" s="11">
        <v>1.1627906976744189E-2</v>
      </c>
      <c r="R196" s="11">
        <v>0.35180591453912219</v>
      </c>
      <c r="S196" s="11">
        <v>8.7248132575660376E-3</v>
      </c>
      <c r="T196" s="9" t="s">
        <v>40</v>
      </c>
      <c r="U196" s="9" t="s">
        <v>50</v>
      </c>
      <c r="V196" s="9" t="s">
        <v>33</v>
      </c>
      <c r="W196" s="9" t="s">
        <v>914</v>
      </c>
      <c r="X196" s="1">
        <v>19.600000000000001</v>
      </c>
      <c r="Y196" s="1">
        <v>15</v>
      </c>
      <c r="Z196" s="3">
        <f t="shared" si="8"/>
        <v>1.3066666666666669</v>
      </c>
      <c r="AA196" s="11">
        <v>0.27492454356776491</v>
      </c>
      <c r="AB196" s="11">
        <v>8.3105538114646937E-2</v>
      </c>
      <c r="AC196" s="10" t="s">
        <v>31</v>
      </c>
      <c r="AD196" s="10" t="s">
        <v>31</v>
      </c>
      <c r="AE196" s="10" t="s">
        <v>31</v>
      </c>
      <c r="AF196" s="10" t="s">
        <v>31</v>
      </c>
      <c r="AG196" s="10">
        <v>1</v>
      </c>
      <c r="AH196" s="9" t="s">
        <v>41</v>
      </c>
      <c r="AI196" s="9" t="s">
        <v>35</v>
      </c>
    </row>
    <row r="197" spans="1:35" x14ac:dyDescent="0.25">
      <c r="A197" s="9" t="s">
        <v>937</v>
      </c>
      <c r="B197" s="1" t="s">
        <v>1034</v>
      </c>
      <c r="C197" s="1" t="s">
        <v>597</v>
      </c>
      <c r="D197" s="10">
        <v>3</v>
      </c>
      <c r="E197" s="10">
        <v>2020</v>
      </c>
      <c r="F197" s="9" t="s">
        <v>28</v>
      </c>
      <c r="G197" s="9" t="s">
        <v>29</v>
      </c>
      <c r="H197" s="1">
        <v>16.600000000000001</v>
      </c>
      <c r="I197" s="1">
        <v>9.1</v>
      </c>
      <c r="J197" s="9" t="s">
        <v>43</v>
      </c>
      <c r="K197" s="1">
        <v>1</v>
      </c>
      <c r="L197" s="10">
        <v>86</v>
      </c>
      <c r="M197" s="3">
        <v>0.25</v>
      </c>
      <c r="N197" s="11">
        <v>1.0340073529411759E-2</v>
      </c>
      <c r="O197">
        <v>9</v>
      </c>
      <c r="P197" s="11">
        <v>0.25541281188299542</v>
      </c>
      <c r="Q197" s="11">
        <v>1.204819277108434E-2</v>
      </c>
      <c r="R197" s="11">
        <v>0.25143093224330287</v>
      </c>
      <c r="S197" s="11">
        <v>1.032425207834721E-2</v>
      </c>
      <c r="T197" s="9" t="s">
        <v>40</v>
      </c>
      <c r="U197" s="9" t="s">
        <v>50</v>
      </c>
      <c r="V197" s="9" t="s">
        <v>33</v>
      </c>
      <c r="W197" s="9" t="s">
        <v>914</v>
      </c>
      <c r="X197" s="1">
        <v>23.1</v>
      </c>
      <c r="Y197" s="1">
        <v>15</v>
      </c>
      <c r="Z197" s="3">
        <f t="shared" si="8"/>
        <v>1.54</v>
      </c>
      <c r="AA197" s="11">
        <v>0.16535364382967779</v>
      </c>
      <c r="AB197" s="11">
        <v>7.2495111139170065E-2</v>
      </c>
      <c r="AC197" s="10" t="s">
        <v>31</v>
      </c>
      <c r="AD197" s="10" t="s">
        <v>31</v>
      </c>
      <c r="AE197" s="10" t="s">
        <v>31</v>
      </c>
      <c r="AF197" s="10" t="s">
        <v>31</v>
      </c>
      <c r="AG197" s="10">
        <v>1</v>
      </c>
      <c r="AH197" s="9" t="s">
        <v>41</v>
      </c>
      <c r="AI197" s="9" t="s">
        <v>35</v>
      </c>
    </row>
    <row r="198" spans="1:35" x14ac:dyDescent="0.25">
      <c r="A198" s="9" t="s">
        <v>938</v>
      </c>
      <c r="B198" s="1" t="s">
        <v>1035</v>
      </c>
      <c r="C198" s="1" t="s">
        <v>598</v>
      </c>
      <c r="D198" s="10">
        <v>3</v>
      </c>
      <c r="E198" s="10">
        <v>2021</v>
      </c>
      <c r="F198" s="9" t="s">
        <v>28</v>
      </c>
      <c r="G198" s="9" t="s">
        <v>29</v>
      </c>
      <c r="H198" s="1">
        <v>26.7</v>
      </c>
      <c r="I198" s="1">
        <v>0.61</v>
      </c>
      <c r="J198" s="9" t="s">
        <v>30</v>
      </c>
      <c r="K198" s="1">
        <v>0.57399999999999995</v>
      </c>
      <c r="L198" s="10">
        <v>97</v>
      </c>
      <c r="M198" s="3">
        <v>0.377</v>
      </c>
      <c r="N198" s="11">
        <v>7.6660692983437509E-3</v>
      </c>
      <c r="O198">
        <v>4</v>
      </c>
      <c r="P198" s="11">
        <v>0.39655798997060088</v>
      </c>
      <c r="Q198" s="11">
        <v>1.063829787234043E-2</v>
      </c>
      <c r="R198" s="11">
        <v>0.37873736008379782</v>
      </c>
      <c r="S198" s="11">
        <v>7.6426211255508714E-3</v>
      </c>
      <c r="T198" s="9" t="s">
        <v>40</v>
      </c>
      <c r="U198" s="9" t="s">
        <v>46</v>
      </c>
      <c r="V198" s="9" t="s">
        <v>33</v>
      </c>
      <c r="W198" s="9" t="s">
        <v>915</v>
      </c>
      <c r="X198" s="1">
        <v>12.7</v>
      </c>
      <c r="Y198" s="1">
        <v>15</v>
      </c>
      <c r="Z198" s="3">
        <f t="shared" si="8"/>
        <v>0.84666666666666657</v>
      </c>
      <c r="AA198" s="11">
        <v>0.43327922392077428</v>
      </c>
      <c r="AB198" s="11">
        <v>0.10340788564602681</v>
      </c>
      <c r="AC198" s="10">
        <v>3</v>
      </c>
      <c r="AD198" s="10">
        <v>3</v>
      </c>
      <c r="AE198" s="10">
        <v>3</v>
      </c>
      <c r="AF198" s="10">
        <v>3</v>
      </c>
      <c r="AG198" s="10">
        <v>1</v>
      </c>
      <c r="AH198" s="9" t="s">
        <v>41</v>
      </c>
      <c r="AI198" s="9" t="s">
        <v>35</v>
      </c>
    </row>
    <row r="199" spans="1:35" x14ac:dyDescent="0.25">
      <c r="A199" s="9" t="s">
        <v>939</v>
      </c>
      <c r="B199" s="1" t="s">
        <v>1046</v>
      </c>
      <c r="C199" s="1" t="s">
        <v>599</v>
      </c>
      <c r="D199" s="10">
        <v>3</v>
      </c>
      <c r="E199" s="10">
        <v>2021</v>
      </c>
      <c r="F199" s="9" t="s">
        <v>28</v>
      </c>
      <c r="G199" s="9" t="s">
        <v>29</v>
      </c>
      <c r="H199" s="1">
        <v>26.71</v>
      </c>
      <c r="I199" s="1">
        <v>3.58</v>
      </c>
      <c r="J199" s="9" t="s">
        <v>30</v>
      </c>
      <c r="K199" s="1">
        <v>0.38600000000000001</v>
      </c>
      <c r="L199" s="10">
        <v>44</v>
      </c>
      <c r="M199" s="3">
        <v>0.14000000000000001</v>
      </c>
      <c r="N199" s="11">
        <v>2.2353120000000001E-2</v>
      </c>
      <c r="O199">
        <v>5</v>
      </c>
      <c r="P199" s="11">
        <v>0.14092557607049391</v>
      </c>
      <c r="Q199" s="11">
        <v>2.4390243902439029E-2</v>
      </c>
      <c r="R199" s="11">
        <v>0.14172428408352869</v>
      </c>
      <c r="S199" s="11">
        <v>2.2330974252719491E-2</v>
      </c>
      <c r="T199" s="9" t="s">
        <v>40</v>
      </c>
      <c r="U199" s="9" t="s">
        <v>50</v>
      </c>
      <c r="V199" s="9" t="s">
        <v>33</v>
      </c>
      <c r="W199" s="9" t="s">
        <v>923</v>
      </c>
      <c r="X199" s="1">
        <v>11.54</v>
      </c>
      <c r="Y199" s="1">
        <v>15</v>
      </c>
      <c r="Z199" s="3">
        <f t="shared" si="8"/>
        <v>0.76933333333333331</v>
      </c>
      <c r="AA199" s="11">
        <v>0.18075834630022841</v>
      </c>
      <c r="AB199" s="11">
        <v>0.19463326898864819</v>
      </c>
      <c r="AC199" s="10">
        <v>3</v>
      </c>
      <c r="AD199" s="10">
        <v>3</v>
      </c>
      <c r="AE199" s="10">
        <v>3</v>
      </c>
      <c r="AF199" s="10">
        <v>3</v>
      </c>
      <c r="AG199" s="10">
        <v>0</v>
      </c>
      <c r="AH199" s="9" t="s">
        <v>41</v>
      </c>
      <c r="AI199" s="9" t="s">
        <v>35</v>
      </c>
    </row>
    <row r="200" spans="1:35" x14ac:dyDescent="0.25">
      <c r="A200" s="9" t="s">
        <v>941</v>
      </c>
      <c r="B200" s="1" t="s">
        <v>1008</v>
      </c>
      <c r="C200" s="1" t="s">
        <v>600</v>
      </c>
      <c r="D200" s="10">
        <v>3</v>
      </c>
      <c r="E200" s="10">
        <v>2020</v>
      </c>
      <c r="F200" s="9" t="s">
        <v>28</v>
      </c>
      <c r="G200" s="9" t="s">
        <v>29</v>
      </c>
      <c r="H200" s="1">
        <v>32.14</v>
      </c>
      <c r="I200" s="1">
        <v>8.32</v>
      </c>
      <c r="J200" s="9" t="s">
        <v>30</v>
      </c>
      <c r="K200" s="1">
        <v>0.46</v>
      </c>
      <c r="L200" s="10">
        <v>968</v>
      </c>
      <c r="M200" s="3">
        <v>0.2</v>
      </c>
      <c r="N200" s="11">
        <v>9.5305067218200623E-4</v>
      </c>
      <c r="O200" t="s">
        <v>924</v>
      </c>
      <c r="P200" s="11">
        <v>0.20273255405408211</v>
      </c>
      <c r="Q200" s="11">
        <v>1.036269430051813E-3</v>
      </c>
      <c r="R200" s="11">
        <v>0.2000996015565458</v>
      </c>
      <c r="S200" s="11">
        <v>9.5297154968493911E-4</v>
      </c>
      <c r="T200" s="9" t="s">
        <v>40</v>
      </c>
      <c r="U200" s="9" t="s">
        <v>50</v>
      </c>
      <c r="V200" s="9" t="s">
        <v>33</v>
      </c>
      <c r="W200" s="9" t="s">
        <v>925</v>
      </c>
      <c r="X200" s="1">
        <v>14.39</v>
      </c>
      <c r="Y200" s="1">
        <v>15</v>
      </c>
      <c r="Z200" s="3">
        <f>X200/Y200</f>
        <v>0.95933333333333337</v>
      </c>
      <c r="AA200" s="11">
        <v>0.2081180521299244</v>
      </c>
      <c r="AB200" s="11">
        <v>3.2690788325047453E-2</v>
      </c>
      <c r="AC200" s="10" t="s">
        <v>31</v>
      </c>
      <c r="AD200" s="10" t="s">
        <v>31</v>
      </c>
      <c r="AE200" s="10" t="s">
        <v>31</v>
      </c>
      <c r="AF200" s="10" t="s">
        <v>31</v>
      </c>
      <c r="AG200" s="10">
        <v>0</v>
      </c>
      <c r="AH200" s="9" t="s">
        <v>41</v>
      </c>
      <c r="AI200" s="9" t="s">
        <v>35</v>
      </c>
    </row>
    <row r="201" spans="1:35" x14ac:dyDescent="0.25">
      <c r="A201" s="9" t="s">
        <v>941</v>
      </c>
      <c r="B201" s="1" t="s">
        <v>1008</v>
      </c>
      <c r="C201" s="1" t="s">
        <v>601</v>
      </c>
      <c r="D201" s="10">
        <v>3</v>
      </c>
      <c r="E201" s="10">
        <v>2020</v>
      </c>
      <c r="F201" s="9" t="s">
        <v>28</v>
      </c>
      <c r="G201" s="9" t="s">
        <v>29</v>
      </c>
      <c r="H201" s="1">
        <v>27.48</v>
      </c>
      <c r="I201" s="1">
        <v>8.9700000000000006</v>
      </c>
      <c r="J201" s="9" t="s">
        <v>30</v>
      </c>
      <c r="K201" s="1">
        <v>0.41</v>
      </c>
      <c r="L201" s="10">
        <v>507</v>
      </c>
      <c r="M201" s="3">
        <v>0.2</v>
      </c>
      <c r="N201" s="11">
        <v>1.821343873517787E-3</v>
      </c>
      <c r="O201" t="s">
        <v>924</v>
      </c>
      <c r="P201" s="11">
        <v>0.20273255405408211</v>
      </c>
      <c r="Q201" s="11">
        <v>1.984126984126984E-3</v>
      </c>
      <c r="R201" s="11">
        <v>0.20019091533809361</v>
      </c>
      <c r="S201" s="11">
        <v>1.8210539780163231E-3</v>
      </c>
      <c r="T201" s="9" t="s">
        <v>40</v>
      </c>
      <c r="U201" s="9" t="s">
        <v>50</v>
      </c>
      <c r="V201" s="9" t="s">
        <v>33</v>
      </c>
      <c r="W201" s="9" t="s">
        <v>925</v>
      </c>
      <c r="X201" s="1">
        <v>13.89</v>
      </c>
      <c r="Y201" s="1">
        <v>15</v>
      </c>
      <c r="Z201" s="3">
        <f>X201/Y201</f>
        <v>0.92600000000000005</v>
      </c>
      <c r="AA201" s="11">
        <v>0.2152682973780409</v>
      </c>
      <c r="AB201" s="11">
        <v>4.6618912832775999E-2</v>
      </c>
      <c r="AC201" s="10" t="s">
        <v>31</v>
      </c>
      <c r="AD201" s="10" t="s">
        <v>31</v>
      </c>
      <c r="AE201" s="10" t="s">
        <v>31</v>
      </c>
      <c r="AF201" s="10" t="s">
        <v>31</v>
      </c>
      <c r="AG201" s="10">
        <v>0</v>
      </c>
      <c r="AH201" s="9" t="s">
        <v>41</v>
      </c>
      <c r="AI201" s="9" t="s">
        <v>35</v>
      </c>
    </row>
    <row r="202" spans="1:35" x14ac:dyDescent="0.25">
      <c r="A202" s="9" t="s">
        <v>942</v>
      </c>
      <c r="B202" s="1" t="s">
        <v>735</v>
      </c>
      <c r="C202" s="1" t="s">
        <v>602</v>
      </c>
      <c r="D202" s="10">
        <v>3</v>
      </c>
      <c r="E202" s="10">
        <v>2020</v>
      </c>
      <c r="F202" s="9" t="s">
        <v>28</v>
      </c>
      <c r="G202" s="9" t="s">
        <v>54</v>
      </c>
      <c r="H202" s="1">
        <v>14.54</v>
      </c>
      <c r="I202" s="1">
        <v>4.47</v>
      </c>
      <c r="J202" s="9" t="s">
        <v>30</v>
      </c>
      <c r="K202" s="1">
        <v>0.87739999999999996</v>
      </c>
      <c r="L202" s="10">
        <v>302</v>
      </c>
      <c r="M202" s="3">
        <v>0.08</v>
      </c>
      <c r="N202" s="11">
        <v>3.2798702990033219E-3</v>
      </c>
      <c r="O202" t="s">
        <v>934</v>
      </c>
      <c r="P202" s="11">
        <v>8.0171325037589738E-2</v>
      </c>
      <c r="Q202" s="11">
        <v>3.3444816053511709E-3</v>
      </c>
      <c r="R202" s="11">
        <v>8.0133474331359894E-2</v>
      </c>
      <c r="S202" s="11">
        <v>3.2797291914401119E-3</v>
      </c>
      <c r="T202" s="9" t="s">
        <v>40</v>
      </c>
      <c r="U202" s="9" t="s">
        <v>50</v>
      </c>
      <c r="V202" s="9" t="s">
        <v>33</v>
      </c>
      <c r="W202" s="9" t="s">
        <v>908</v>
      </c>
      <c r="X202" s="1">
        <v>14.37</v>
      </c>
      <c r="Y202" s="1">
        <v>15</v>
      </c>
      <c r="Z202" s="3">
        <f>X202/Y202</f>
        <v>0.95799999999999996</v>
      </c>
      <c r="AA202" s="11">
        <v>8.3483372702689601E-2</v>
      </c>
      <c r="AB202" s="11">
        <v>6.0021408076872403E-2</v>
      </c>
      <c r="AC202" s="10" t="s">
        <v>31</v>
      </c>
      <c r="AD202" s="10" t="s">
        <v>31</v>
      </c>
      <c r="AE202" s="10" t="s">
        <v>31</v>
      </c>
      <c r="AF202" s="10" t="s">
        <v>31</v>
      </c>
      <c r="AG202" s="10">
        <v>0</v>
      </c>
      <c r="AH202" s="9" t="s">
        <v>41</v>
      </c>
      <c r="AI202" s="9" t="s">
        <v>35</v>
      </c>
    </row>
    <row r="203" spans="1:35" x14ac:dyDescent="0.25">
      <c r="A203" s="9" t="s">
        <v>942</v>
      </c>
      <c r="B203" s="1" t="s">
        <v>734</v>
      </c>
      <c r="C203" s="1" t="s">
        <v>603</v>
      </c>
      <c r="D203" s="10">
        <v>3</v>
      </c>
      <c r="E203" s="10">
        <v>2020</v>
      </c>
      <c r="F203" s="9" t="s">
        <v>38</v>
      </c>
      <c r="G203" s="9" t="s">
        <v>54</v>
      </c>
      <c r="H203" s="1">
        <v>14.54</v>
      </c>
      <c r="I203" s="1">
        <v>4.55</v>
      </c>
      <c r="J203" s="9" t="s">
        <v>30</v>
      </c>
      <c r="K203" s="1">
        <v>0.80400000000000005</v>
      </c>
      <c r="L203" s="10">
        <v>352</v>
      </c>
      <c r="M203" s="3">
        <v>0.31</v>
      </c>
      <c r="N203" s="11">
        <v>2.327735641025641E-3</v>
      </c>
      <c r="O203" t="s">
        <v>933</v>
      </c>
      <c r="P203" s="11">
        <v>0.32054540930194608</v>
      </c>
      <c r="Q203" s="11">
        <v>2.8653295128939832E-3</v>
      </c>
      <c r="R203" s="11">
        <v>0.3104026364016807</v>
      </c>
      <c r="S203" s="11">
        <v>2.3264492591197569E-3</v>
      </c>
      <c r="T203" s="9" t="s">
        <v>40</v>
      </c>
      <c r="U203" s="9" t="s">
        <v>50</v>
      </c>
      <c r="V203" s="9" t="s">
        <v>33</v>
      </c>
      <c r="W203" s="9" t="s">
        <v>908</v>
      </c>
      <c r="X203" s="1">
        <v>11.05</v>
      </c>
      <c r="Y203" s="1">
        <v>15</v>
      </c>
      <c r="Z203" s="3">
        <f>X203/Y203</f>
        <v>0.73666666666666669</v>
      </c>
      <c r="AA203" s="11">
        <v>0.40474442547967021</v>
      </c>
      <c r="AB203" s="11">
        <v>6.137984046658277E-2</v>
      </c>
      <c r="AC203" s="10" t="s">
        <v>31</v>
      </c>
      <c r="AD203" s="10" t="s">
        <v>31</v>
      </c>
      <c r="AE203" s="10" t="s">
        <v>31</v>
      </c>
      <c r="AF203" s="10" t="s">
        <v>31</v>
      </c>
      <c r="AG203" s="10">
        <v>0</v>
      </c>
      <c r="AH203" s="9" t="s">
        <v>41</v>
      </c>
      <c r="AI203" s="9" t="s">
        <v>35</v>
      </c>
    </row>
    <row r="204" spans="1:35" x14ac:dyDescent="0.25">
      <c r="A204" s="9" t="s">
        <v>940</v>
      </c>
      <c r="B204" s="1" t="s">
        <v>496</v>
      </c>
      <c r="C204" s="1" t="s">
        <v>604</v>
      </c>
      <c r="D204" s="10">
        <v>3</v>
      </c>
      <c r="E204" s="10">
        <v>2020</v>
      </c>
      <c r="F204" s="9" t="s">
        <v>38</v>
      </c>
      <c r="G204" s="9" t="s">
        <v>29</v>
      </c>
      <c r="H204" s="1">
        <v>79.400000000000006</v>
      </c>
      <c r="I204" s="1">
        <v>0.6</v>
      </c>
      <c r="J204" s="9" t="s">
        <v>30</v>
      </c>
      <c r="K204" s="1">
        <v>0.53100000000000003</v>
      </c>
      <c r="L204" s="10">
        <v>358</v>
      </c>
      <c r="M204" s="3">
        <v>0.189</v>
      </c>
      <c r="N204" s="11">
        <v>2.6045770023557422E-3</v>
      </c>
      <c r="O204" t="s">
        <v>919</v>
      </c>
      <c r="P204" s="11">
        <v>0.1912999212876845</v>
      </c>
      <c r="Q204" s="11">
        <v>2.8169014084507039E-3</v>
      </c>
      <c r="R204" s="11">
        <v>0.18925753618824609</v>
      </c>
      <c r="S204" s="11">
        <v>2.6040507810793042E-3</v>
      </c>
      <c r="T204" s="9" t="s">
        <v>40</v>
      </c>
      <c r="U204" s="9" t="s">
        <v>50</v>
      </c>
      <c r="V204" s="9" t="s">
        <v>33</v>
      </c>
      <c r="W204" s="9" t="s">
        <v>926</v>
      </c>
      <c r="X204" s="1" t="s">
        <v>31</v>
      </c>
      <c r="Y204" s="1" t="s">
        <v>31</v>
      </c>
      <c r="Z204" s="3" t="s">
        <v>31</v>
      </c>
      <c r="AA204" s="11" t="s">
        <v>31</v>
      </c>
      <c r="AB204" s="11" t="s">
        <v>31</v>
      </c>
      <c r="AC204" s="10">
        <v>4</v>
      </c>
      <c r="AD204" s="10">
        <v>4</v>
      </c>
      <c r="AE204" s="10">
        <v>4</v>
      </c>
      <c r="AF204" s="10">
        <v>4</v>
      </c>
      <c r="AG204" s="10">
        <v>1</v>
      </c>
      <c r="AH204" s="9" t="s">
        <v>41</v>
      </c>
      <c r="AI204" s="9" t="s">
        <v>35</v>
      </c>
    </row>
  </sheetData>
  <sortState xmlns:xlrd2="http://schemas.microsoft.com/office/spreadsheetml/2017/richdata2" ref="A2:AI190">
    <sortCondition ref="E2"/>
  </sortState>
  <phoneticPr fontId="2" type="noConversion"/>
  <pageMargins left="0.7" right="0.7" top="0.78740157499999996" bottom="0.78740157499999996"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1DEF-E0E9-4F90-AC5F-089FED0C64F7}">
  <dimension ref="A1:AF142"/>
  <sheetViews>
    <sheetView topLeftCell="P1" workbookViewId="0">
      <selection activeCell="AD1" sqref="AD1:AD1048576"/>
    </sheetView>
  </sheetViews>
  <sheetFormatPr baseColWidth="10" defaultRowHeight="15" x14ac:dyDescent="0.25"/>
  <cols>
    <col min="1" max="1" width="11.42578125" style="9"/>
    <col min="2" max="2" width="11.42578125" style="10"/>
    <col min="3" max="3" width="11.42578125" style="1"/>
    <col min="4" max="5" width="11.42578125" style="10"/>
    <col min="6" max="7" width="11.42578125" style="9"/>
    <col min="8" max="9" width="11.42578125" style="1"/>
    <col min="10" max="10" width="11.42578125" style="9"/>
    <col min="11" max="11" width="11.42578125" style="1"/>
    <col min="12" max="12" width="11.42578125" style="10"/>
    <col min="13" max="13" width="11.42578125" style="3"/>
    <col min="14" max="14" width="11.42578125" style="11"/>
    <col min="16" max="19" width="11.42578125" style="11"/>
    <col min="20" max="24" width="11.42578125" style="9"/>
    <col min="25" max="26" width="11.42578125" style="1"/>
    <col min="27" max="27" width="11.42578125" style="3"/>
    <col min="28" max="29" width="11.42578125" style="11"/>
    <col min="30" max="30" width="11.42578125" style="10"/>
    <col min="31" max="32" width="11.42578125" style="9"/>
  </cols>
  <sheetData>
    <row r="1" spans="1:32" x14ac:dyDescent="0.25">
      <c r="A1" s="9" t="s">
        <v>0</v>
      </c>
      <c r="B1" s="10" t="s">
        <v>1</v>
      </c>
      <c r="C1" s="1" t="s">
        <v>2</v>
      </c>
      <c r="D1" s="10" t="s">
        <v>3</v>
      </c>
      <c r="E1" s="10" t="s">
        <v>4</v>
      </c>
      <c r="F1" s="9" t="s">
        <v>5</v>
      </c>
      <c r="G1" s="9" t="s">
        <v>6</v>
      </c>
      <c r="H1" s="1" t="s">
        <v>7</v>
      </c>
      <c r="I1" s="1" t="s">
        <v>8</v>
      </c>
      <c r="J1" s="9" t="s">
        <v>9</v>
      </c>
      <c r="K1" s="1" t="s">
        <v>273</v>
      </c>
      <c r="L1" s="10" t="s">
        <v>849</v>
      </c>
      <c r="M1" s="3" t="s">
        <v>10</v>
      </c>
      <c r="N1" s="11" t="s">
        <v>317</v>
      </c>
      <c r="O1" t="s">
        <v>11</v>
      </c>
      <c r="P1" s="11" t="s">
        <v>318</v>
      </c>
      <c r="Q1" s="11" t="s">
        <v>319</v>
      </c>
      <c r="R1" s="11" t="s">
        <v>320</v>
      </c>
      <c r="S1" s="11" t="s">
        <v>321</v>
      </c>
      <c r="T1" s="9" t="s">
        <v>12</v>
      </c>
      <c r="U1" s="9" t="s">
        <v>13</v>
      </c>
      <c r="V1" s="9" t="s">
        <v>14</v>
      </c>
      <c r="W1" s="9" t="s">
        <v>866</v>
      </c>
      <c r="X1" s="9" t="s">
        <v>15</v>
      </c>
      <c r="Y1" s="1" t="s">
        <v>16</v>
      </c>
      <c r="Z1" s="1" t="s">
        <v>17</v>
      </c>
      <c r="AA1" s="3" t="s">
        <v>18</v>
      </c>
      <c r="AB1" s="11" t="s">
        <v>322</v>
      </c>
      <c r="AC1" s="11" t="s">
        <v>501</v>
      </c>
      <c r="AD1" s="10" t="s">
        <v>23</v>
      </c>
      <c r="AE1" s="9" t="s">
        <v>24</v>
      </c>
      <c r="AF1" s="9" t="s">
        <v>25</v>
      </c>
    </row>
    <row r="2" spans="1:32" x14ac:dyDescent="0.25">
      <c r="A2" s="9" t="s">
        <v>502</v>
      </c>
      <c r="B2" s="10" t="s">
        <v>26</v>
      </c>
      <c r="C2" s="1" t="s">
        <v>605</v>
      </c>
      <c r="D2" s="10">
        <v>2</v>
      </c>
      <c r="E2" s="10">
        <v>1987</v>
      </c>
      <c r="F2" s="9" t="s">
        <v>28</v>
      </c>
      <c r="G2" s="9" t="s">
        <v>29</v>
      </c>
      <c r="H2" s="1">
        <v>38.4</v>
      </c>
      <c r="I2" s="1">
        <v>14.1</v>
      </c>
      <c r="J2" s="9" t="s">
        <v>30</v>
      </c>
      <c r="K2" s="1">
        <v>0.34</v>
      </c>
      <c r="L2" s="10">
        <v>41</v>
      </c>
      <c r="M2" s="3">
        <v>0.12</v>
      </c>
      <c r="N2" s="11">
        <v>2.4285184000000001E-2</v>
      </c>
      <c r="O2">
        <v>20</v>
      </c>
      <c r="P2" s="11">
        <v>0.1205810284084441</v>
      </c>
      <c r="Q2" s="11">
        <v>2.6315789473684209E-2</v>
      </c>
      <c r="R2">
        <v>0.12160743110574</v>
      </c>
      <c r="S2">
        <v>2.4266049030178229E-2</v>
      </c>
      <c r="T2" s="9" t="s">
        <v>32</v>
      </c>
      <c r="U2" s="9" t="s">
        <v>31</v>
      </c>
      <c r="V2" s="9" t="s">
        <v>276</v>
      </c>
      <c r="W2" s="9" t="s">
        <v>30</v>
      </c>
      <c r="X2" s="9" t="s">
        <v>277</v>
      </c>
      <c r="Y2" s="1">
        <v>13.3</v>
      </c>
      <c r="Z2" s="1">
        <v>15</v>
      </c>
      <c r="AA2" s="3">
        <f>Y2/Z2</f>
        <v>0.88666666666666671</v>
      </c>
      <c r="AB2" s="11">
        <v>0.13507409766053299</v>
      </c>
      <c r="AC2" s="11">
        <v>0.17824251217698639</v>
      </c>
      <c r="AD2" s="10">
        <v>1</v>
      </c>
      <c r="AE2" s="9" t="s">
        <v>34</v>
      </c>
      <c r="AF2" s="9" t="s">
        <v>35</v>
      </c>
    </row>
    <row r="3" spans="1:32" x14ac:dyDescent="0.25">
      <c r="A3" s="9" t="s">
        <v>503</v>
      </c>
      <c r="B3" s="10" t="s">
        <v>48</v>
      </c>
      <c r="C3" s="1" t="s">
        <v>606</v>
      </c>
      <c r="D3" s="10">
        <v>2</v>
      </c>
      <c r="E3" s="10">
        <v>1993</v>
      </c>
      <c r="F3" s="9" t="s">
        <v>38</v>
      </c>
      <c r="G3" s="9" t="s">
        <v>29</v>
      </c>
      <c r="H3" s="1">
        <v>38</v>
      </c>
      <c r="I3" s="1">
        <v>16</v>
      </c>
      <c r="J3" s="9" t="s">
        <v>39</v>
      </c>
      <c r="K3" s="1">
        <v>0</v>
      </c>
      <c r="L3" s="10">
        <v>30</v>
      </c>
      <c r="M3" s="3">
        <v>0.43</v>
      </c>
      <c r="N3" s="11">
        <v>2.2909931379310348E-2</v>
      </c>
      <c r="O3">
        <v>132</v>
      </c>
      <c r="P3" s="11">
        <v>0.45989668121267852</v>
      </c>
      <c r="Q3" s="11">
        <v>3.7037037037037042E-2</v>
      </c>
      <c r="R3">
        <v>0.43668940203762968</v>
      </c>
      <c r="S3">
        <v>2.2585183443199298E-2</v>
      </c>
      <c r="T3" s="9" t="s">
        <v>40</v>
      </c>
      <c r="U3" s="9" t="s">
        <v>46</v>
      </c>
      <c r="V3" s="9" t="s">
        <v>276</v>
      </c>
      <c r="W3" s="9" t="s">
        <v>30</v>
      </c>
      <c r="X3" s="9" t="s">
        <v>278</v>
      </c>
      <c r="Y3" s="1">
        <v>15</v>
      </c>
      <c r="Z3" s="1">
        <v>15</v>
      </c>
      <c r="AA3" s="3">
        <f>Y3/Z3</f>
        <v>1</v>
      </c>
      <c r="AB3" s="11">
        <v>0.43</v>
      </c>
      <c r="AC3" s="11">
        <v>0.17061862232978639</v>
      </c>
      <c r="AD3" s="10">
        <v>1</v>
      </c>
      <c r="AE3" s="9" t="s">
        <v>41</v>
      </c>
      <c r="AF3" s="9" t="s">
        <v>35</v>
      </c>
    </row>
    <row r="4" spans="1:32" x14ac:dyDescent="0.25">
      <c r="A4" s="9" t="s">
        <v>503</v>
      </c>
      <c r="B4" s="10" t="s">
        <v>52</v>
      </c>
      <c r="C4" s="1" t="s">
        <v>607</v>
      </c>
      <c r="D4" s="10">
        <v>2</v>
      </c>
      <c r="E4" s="10">
        <v>1993</v>
      </c>
      <c r="F4" s="9" t="s">
        <v>38</v>
      </c>
      <c r="G4" s="9" t="s">
        <v>29</v>
      </c>
      <c r="H4" s="1">
        <v>38</v>
      </c>
      <c r="I4" s="1">
        <v>16</v>
      </c>
      <c r="J4" s="9" t="s">
        <v>43</v>
      </c>
      <c r="K4" s="1">
        <v>1</v>
      </c>
      <c r="L4" s="10">
        <v>37</v>
      </c>
      <c r="M4" s="3">
        <v>0.33</v>
      </c>
      <c r="N4" s="11">
        <v>2.2057200277777779E-2</v>
      </c>
      <c r="O4">
        <v>132</v>
      </c>
      <c r="P4" s="11">
        <v>0.34282825441539388</v>
      </c>
      <c r="Q4" s="11">
        <v>2.9411764705882349E-2</v>
      </c>
      <c r="R4">
        <v>0.33445370867935148</v>
      </c>
      <c r="S4">
        <v>2.1910942576397731E-2</v>
      </c>
      <c r="T4" s="9" t="s">
        <v>40</v>
      </c>
      <c r="U4" s="9" t="s">
        <v>46</v>
      </c>
      <c r="V4" s="9" t="s">
        <v>276</v>
      </c>
      <c r="W4" s="9" t="s">
        <v>30</v>
      </c>
      <c r="X4" s="9" t="s">
        <v>278</v>
      </c>
      <c r="Y4" s="1">
        <v>15</v>
      </c>
      <c r="Z4" s="1">
        <v>15</v>
      </c>
      <c r="AA4" s="3">
        <f t="shared" ref="AA4:AA67" si="0">Y4/Z4</f>
        <v>1</v>
      </c>
      <c r="AB4" s="11">
        <v>0.33</v>
      </c>
      <c r="AC4" s="11">
        <v>0.15956190021430561</v>
      </c>
      <c r="AD4" s="10">
        <v>1</v>
      </c>
      <c r="AE4" s="9" t="s">
        <v>41</v>
      </c>
      <c r="AF4" s="9" t="s">
        <v>35</v>
      </c>
    </row>
    <row r="5" spans="1:32" x14ac:dyDescent="0.25">
      <c r="A5" s="9" t="s">
        <v>504</v>
      </c>
      <c r="B5" s="10" t="s">
        <v>56</v>
      </c>
      <c r="C5" s="1" t="s">
        <v>608</v>
      </c>
      <c r="D5" s="10">
        <v>2</v>
      </c>
      <c r="E5" s="10">
        <v>1993</v>
      </c>
      <c r="F5" s="9" t="s">
        <v>38</v>
      </c>
      <c r="G5" s="9" t="s">
        <v>29</v>
      </c>
      <c r="H5" s="1">
        <v>43.8</v>
      </c>
      <c r="I5" s="1">
        <v>21.5</v>
      </c>
      <c r="J5" s="9" t="s">
        <v>30</v>
      </c>
      <c r="K5" s="1">
        <v>0.59</v>
      </c>
      <c r="L5" s="10">
        <v>29</v>
      </c>
      <c r="M5" s="3">
        <v>0.1</v>
      </c>
      <c r="N5" s="11">
        <v>3.5003571428571433E-2</v>
      </c>
      <c r="O5">
        <v>415</v>
      </c>
      <c r="P5" s="11">
        <v>0.10033534773107559</v>
      </c>
      <c r="Q5" s="11">
        <v>3.8461538461538457E-2</v>
      </c>
      <c r="R5">
        <v>0.10199743647485771</v>
      </c>
      <c r="S5">
        <v>3.4975045651421129E-2</v>
      </c>
      <c r="T5" s="9" t="s">
        <v>40</v>
      </c>
      <c r="U5" s="9" t="s">
        <v>50</v>
      </c>
      <c r="V5" s="9" t="s">
        <v>276</v>
      </c>
      <c r="W5" s="9" t="s">
        <v>867</v>
      </c>
      <c r="X5" s="9" t="s">
        <v>279</v>
      </c>
      <c r="Y5" s="1" t="s">
        <v>31</v>
      </c>
      <c r="Z5" s="1" t="s">
        <v>31</v>
      </c>
      <c r="AA5" s="3" t="s">
        <v>31</v>
      </c>
      <c r="AB5" s="11" t="s">
        <v>31</v>
      </c>
      <c r="AC5" s="11" t="s">
        <v>31</v>
      </c>
      <c r="AD5" s="10">
        <v>0</v>
      </c>
      <c r="AE5" s="9" t="s">
        <v>41</v>
      </c>
      <c r="AF5" s="9" t="s">
        <v>35</v>
      </c>
    </row>
    <row r="6" spans="1:32" x14ac:dyDescent="0.25">
      <c r="A6" s="9" t="s">
        <v>505</v>
      </c>
      <c r="B6" s="10" t="s">
        <v>1047</v>
      </c>
      <c r="C6" s="1" t="s">
        <v>609</v>
      </c>
      <c r="D6" s="10">
        <v>2</v>
      </c>
      <c r="E6" s="10">
        <v>1994</v>
      </c>
      <c r="F6" s="9" t="s">
        <v>38</v>
      </c>
      <c r="G6" s="9" t="s">
        <v>54</v>
      </c>
      <c r="H6" s="1">
        <v>12.1</v>
      </c>
      <c r="I6" s="1">
        <v>3</v>
      </c>
      <c r="J6" s="9" t="s">
        <v>43</v>
      </c>
      <c r="K6" s="1">
        <v>1</v>
      </c>
      <c r="L6" s="10">
        <v>46</v>
      </c>
      <c r="M6" s="3">
        <v>0.33</v>
      </c>
      <c r="N6" s="11">
        <v>1.764576022222222E-2</v>
      </c>
      <c r="O6">
        <v>1793</v>
      </c>
      <c r="P6" s="11">
        <v>0.34282825441539388</v>
      </c>
      <c r="Q6" s="11">
        <v>2.3255813953488368E-2</v>
      </c>
      <c r="R6">
        <v>0.33349997674782061</v>
      </c>
      <c r="S6">
        <v>1.7553909254745158E-2</v>
      </c>
      <c r="T6" s="9" t="s">
        <v>40</v>
      </c>
      <c r="U6" s="9" t="s">
        <v>50</v>
      </c>
      <c r="V6" s="9" t="s">
        <v>276</v>
      </c>
      <c r="W6" s="9" t="s">
        <v>867</v>
      </c>
      <c r="X6" s="9" t="s">
        <v>356</v>
      </c>
      <c r="Y6" s="1">
        <v>13.5</v>
      </c>
      <c r="Z6" s="1">
        <v>15</v>
      </c>
      <c r="AA6" s="3">
        <f t="shared" si="0"/>
        <v>0.9</v>
      </c>
      <c r="AB6" s="11">
        <v>0.36207137166083941</v>
      </c>
      <c r="AC6" s="11">
        <v>0.15225187323212661</v>
      </c>
      <c r="AD6" s="10">
        <v>0</v>
      </c>
      <c r="AE6" s="9" t="s">
        <v>34</v>
      </c>
      <c r="AF6" s="9" t="s">
        <v>35</v>
      </c>
    </row>
    <row r="7" spans="1:32" x14ac:dyDescent="0.25">
      <c r="A7" s="9" t="s">
        <v>860</v>
      </c>
      <c r="B7" s="10" t="s">
        <v>1048</v>
      </c>
      <c r="C7" s="1" t="s">
        <v>610</v>
      </c>
      <c r="D7" s="10">
        <v>2</v>
      </c>
      <c r="E7" s="10">
        <v>1994</v>
      </c>
      <c r="F7" s="9" t="s">
        <v>28</v>
      </c>
      <c r="G7" s="9" t="s">
        <v>29</v>
      </c>
      <c r="H7" s="1">
        <v>35.6</v>
      </c>
      <c r="I7" s="1" t="s">
        <v>31</v>
      </c>
      <c r="J7" s="9" t="s">
        <v>30</v>
      </c>
      <c r="K7" s="1">
        <v>0.38</v>
      </c>
      <c r="L7" s="10">
        <v>26</v>
      </c>
      <c r="M7" s="3">
        <v>0.38</v>
      </c>
      <c r="N7" s="11">
        <v>2.92820544E-2</v>
      </c>
      <c r="O7">
        <v>693</v>
      </c>
      <c r="P7" s="11">
        <v>0.40005965005605648</v>
      </c>
      <c r="Q7" s="11">
        <v>4.3478260869565223E-2</v>
      </c>
      <c r="R7">
        <v>0.3873533262439105</v>
      </c>
      <c r="S7">
        <v>2.889710331663714E-2</v>
      </c>
      <c r="T7" s="9" t="s">
        <v>40</v>
      </c>
      <c r="U7" s="9" t="s">
        <v>46</v>
      </c>
      <c r="V7" s="9" t="s">
        <v>276</v>
      </c>
      <c r="W7" s="9" t="s">
        <v>867</v>
      </c>
      <c r="X7" s="9" t="s">
        <v>288</v>
      </c>
      <c r="Y7" s="1" t="s">
        <v>31</v>
      </c>
      <c r="Z7" s="1" t="s">
        <v>31</v>
      </c>
      <c r="AA7" s="3" t="s">
        <v>31</v>
      </c>
      <c r="AB7" s="11" t="s">
        <v>31</v>
      </c>
      <c r="AC7" s="11" t="s">
        <v>31</v>
      </c>
      <c r="AD7" s="10">
        <v>0</v>
      </c>
      <c r="AE7" s="9" t="s">
        <v>34</v>
      </c>
      <c r="AF7" s="9" t="s">
        <v>35</v>
      </c>
    </row>
    <row r="8" spans="1:32" x14ac:dyDescent="0.25">
      <c r="A8" s="9" t="s">
        <v>860</v>
      </c>
      <c r="B8" s="10" t="s">
        <v>1049</v>
      </c>
      <c r="C8" s="1" t="s">
        <v>611</v>
      </c>
      <c r="D8" s="10">
        <v>2</v>
      </c>
      <c r="E8" s="10">
        <v>1994</v>
      </c>
      <c r="F8" s="9" t="s">
        <v>28</v>
      </c>
      <c r="G8" s="9" t="s">
        <v>29</v>
      </c>
      <c r="H8" s="1">
        <v>31.1</v>
      </c>
      <c r="I8" s="1" t="s">
        <v>31</v>
      </c>
      <c r="J8" s="9" t="s">
        <v>30</v>
      </c>
      <c r="K8" s="1">
        <v>0.77</v>
      </c>
      <c r="L8" s="10">
        <v>48</v>
      </c>
      <c r="M8" s="3">
        <v>0.24</v>
      </c>
      <c r="N8" s="11">
        <v>1.889612255319149E-2</v>
      </c>
      <c r="O8">
        <v>693</v>
      </c>
      <c r="P8" s="11">
        <v>0.24477411265935289</v>
      </c>
      <c r="Q8" s="11">
        <v>2.222222222222222E-2</v>
      </c>
      <c r="R8">
        <v>0.24257667400627281</v>
      </c>
      <c r="S8">
        <v>1.884629074922051E-2</v>
      </c>
      <c r="T8" s="9" t="s">
        <v>40</v>
      </c>
      <c r="U8" s="9" t="s">
        <v>46</v>
      </c>
      <c r="V8" s="9" t="s">
        <v>276</v>
      </c>
      <c r="W8" s="9" t="s">
        <v>867</v>
      </c>
      <c r="X8" s="9" t="s">
        <v>288</v>
      </c>
      <c r="Y8" s="1" t="s">
        <v>31</v>
      </c>
      <c r="Z8" s="1" t="s">
        <v>31</v>
      </c>
      <c r="AA8" s="3" t="s">
        <v>31</v>
      </c>
      <c r="AB8" s="11" t="s">
        <v>31</v>
      </c>
      <c r="AC8" s="11" t="s">
        <v>31</v>
      </c>
      <c r="AD8" s="10">
        <v>0</v>
      </c>
      <c r="AE8" s="9" t="s">
        <v>34</v>
      </c>
      <c r="AF8" s="9" t="s">
        <v>35</v>
      </c>
    </row>
    <row r="9" spans="1:32" x14ac:dyDescent="0.25">
      <c r="A9" s="9" t="s">
        <v>860</v>
      </c>
      <c r="B9" s="10" t="s">
        <v>1050</v>
      </c>
      <c r="C9" s="1" t="s">
        <v>612</v>
      </c>
      <c r="D9" s="10">
        <v>2</v>
      </c>
      <c r="E9" s="10">
        <v>1994</v>
      </c>
      <c r="F9" s="9" t="s">
        <v>38</v>
      </c>
      <c r="G9" s="9" t="s">
        <v>29</v>
      </c>
      <c r="H9" s="1">
        <v>31.6</v>
      </c>
      <c r="I9" s="1" t="s">
        <v>31</v>
      </c>
      <c r="J9" s="9" t="s">
        <v>30</v>
      </c>
      <c r="K9" s="1">
        <v>0.55000000000000004</v>
      </c>
      <c r="L9" s="10">
        <v>34</v>
      </c>
      <c r="M9" s="3">
        <v>0.69</v>
      </c>
      <c r="N9" s="11">
        <v>8.3173093939393952E-3</v>
      </c>
      <c r="O9">
        <v>693</v>
      </c>
      <c r="P9" s="11">
        <v>0.84795575521896349</v>
      </c>
      <c r="Q9" s="11">
        <v>3.2258064516129031E-2</v>
      </c>
      <c r="R9">
        <v>0.69585712145620149</v>
      </c>
      <c r="S9">
        <v>8.0615747089162419E-3</v>
      </c>
      <c r="T9" s="9" t="s">
        <v>40</v>
      </c>
      <c r="U9" s="9" t="s">
        <v>46</v>
      </c>
      <c r="V9" s="9" t="s">
        <v>276</v>
      </c>
      <c r="W9" s="9" t="s">
        <v>867</v>
      </c>
      <c r="X9" s="9" t="s">
        <v>288</v>
      </c>
      <c r="Y9" s="1" t="s">
        <v>31</v>
      </c>
      <c r="Z9" s="1" t="s">
        <v>31</v>
      </c>
      <c r="AA9" s="3" t="s">
        <v>31</v>
      </c>
      <c r="AB9" s="11" t="s">
        <v>31</v>
      </c>
      <c r="AC9" s="11" t="s">
        <v>31</v>
      </c>
      <c r="AD9" s="10">
        <v>0</v>
      </c>
      <c r="AE9" s="9" t="s">
        <v>34</v>
      </c>
      <c r="AF9" s="9" t="s">
        <v>35</v>
      </c>
    </row>
    <row r="10" spans="1:32" x14ac:dyDescent="0.25">
      <c r="A10" s="9" t="s">
        <v>861</v>
      </c>
      <c r="B10" s="10" t="s">
        <v>1037</v>
      </c>
      <c r="C10" s="1" t="s">
        <v>613</v>
      </c>
      <c r="D10" s="10">
        <v>2</v>
      </c>
      <c r="E10" s="10">
        <v>1994</v>
      </c>
      <c r="F10" s="9" t="s">
        <v>38</v>
      </c>
      <c r="G10" s="9" t="s">
        <v>29</v>
      </c>
      <c r="H10" s="1">
        <v>31.7</v>
      </c>
      <c r="I10" s="1">
        <v>6.9</v>
      </c>
      <c r="J10" s="9" t="s">
        <v>30</v>
      </c>
      <c r="K10" s="1">
        <v>0.64</v>
      </c>
      <c r="L10" s="10">
        <v>67</v>
      </c>
      <c r="M10" s="3">
        <v>0.3</v>
      </c>
      <c r="N10" s="11">
        <v>1.2546969696969701E-2</v>
      </c>
      <c r="O10">
        <v>999</v>
      </c>
      <c r="P10" s="11">
        <v>0.30951960420311181</v>
      </c>
      <c r="Q10" s="11">
        <v>1.5625E-2</v>
      </c>
      <c r="R10">
        <v>0.30216801072331151</v>
      </c>
      <c r="S10">
        <v>1.251099518402418E-2</v>
      </c>
      <c r="T10" s="9" t="s">
        <v>32</v>
      </c>
      <c r="U10" s="9" t="s">
        <v>46</v>
      </c>
      <c r="V10" s="9" t="s">
        <v>276</v>
      </c>
      <c r="W10" s="9" t="s">
        <v>30</v>
      </c>
      <c r="X10" s="9" t="s">
        <v>358</v>
      </c>
      <c r="Y10" s="1">
        <v>6.6</v>
      </c>
      <c r="Z10" s="1">
        <v>15</v>
      </c>
      <c r="AA10" s="3">
        <f t="shared" si="0"/>
        <v>0.44</v>
      </c>
      <c r="AB10" s="11">
        <v>0.58148271233660354</v>
      </c>
      <c r="AC10" s="11">
        <v>0.16680767506606459</v>
      </c>
      <c r="AD10" s="10">
        <v>0</v>
      </c>
      <c r="AE10" s="9" t="s">
        <v>34</v>
      </c>
      <c r="AF10" s="9" t="s">
        <v>35</v>
      </c>
    </row>
    <row r="11" spans="1:32" x14ac:dyDescent="0.25">
      <c r="A11" s="9" t="s">
        <v>55</v>
      </c>
      <c r="B11" s="10" t="s">
        <v>60</v>
      </c>
      <c r="C11" s="1" t="s">
        <v>614</v>
      </c>
      <c r="D11" s="10">
        <v>2</v>
      </c>
      <c r="E11" s="10">
        <v>1994</v>
      </c>
      <c r="F11" s="9" t="s">
        <v>38</v>
      </c>
      <c r="G11" s="9" t="s">
        <v>29</v>
      </c>
      <c r="H11" s="1">
        <v>25</v>
      </c>
      <c r="I11" s="1" t="s">
        <v>31</v>
      </c>
      <c r="J11" s="9" t="s">
        <v>39</v>
      </c>
      <c r="K11" s="1">
        <v>0</v>
      </c>
      <c r="L11" s="10">
        <v>40</v>
      </c>
      <c r="M11" s="3">
        <v>0.439</v>
      </c>
      <c r="N11" s="11">
        <v>1.671024061130769E-2</v>
      </c>
      <c r="O11">
        <v>834</v>
      </c>
      <c r="P11" s="11">
        <v>0.4709914006823358</v>
      </c>
      <c r="Q11" s="11">
        <v>2.7027027027027029E-2</v>
      </c>
      <c r="R11">
        <v>0.44389403962128149</v>
      </c>
      <c r="S11">
        <v>1.6531837968938611E-2</v>
      </c>
      <c r="T11" s="9" t="s">
        <v>40</v>
      </c>
      <c r="U11" s="9" t="s">
        <v>50</v>
      </c>
      <c r="V11" s="9" t="s">
        <v>276</v>
      </c>
      <c r="W11" s="9" t="s">
        <v>30</v>
      </c>
      <c r="X11" s="9" t="s">
        <v>357</v>
      </c>
      <c r="Y11" s="1" t="s">
        <v>31</v>
      </c>
      <c r="Z11" s="1" t="s">
        <v>31</v>
      </c>
      <c r="AA11" s="3" t="s">
        <v>31</v>
      </c>
      <c r="AB11" s="11" t="s">
        <v>31</v>
      </c>
      <c r="AC11" s="11" t="s">
        <v>31</v>
      </c>
      <c r="AD11" s="10">
        <v>0</v>
      </c>
      <c r="AE11" s="9" t="s">
        <v>41</v>
      </c>
      <c r="AF11" s="9" t="s">
        <v>35</v>
      </c>
    </row>
    <row r="12" spans="1:32" x14ac:dyDescent="0.25">
      <c r="A12" s="9" t="s">
        <v>58</v>
      </c>
      <c r="B12" s="10" t="s">
        <v>67</v>
      </c>
      <c r="C12" s="1" t="s">
        <v>615</v>
      </c>
      <c r="D12" s="10">
        <v>2</v>
      </c>
      <c r="E12" s="10">
        <v>1995</v>
      </c>
      <c r="F12" s="9" t="s">
        <v>38</v>
      </c>
      <c r="G12" s="9" t="s">
        <v>29</v>
      </c>
      <c r="H12" s="1">
        <v>22.5</v>
      </c>
      <c r="I12" s="1">
        <v>5</v>
      </c>
      <c r="J12" s="9" t="s">
        <v>43</v>
      </c>
      <c r="K12" s="1">
        <v>1</v>
      </c>
      <c r="L12" s="10">
        <v>40</v>
      </c>
      <c r="M12" s="3">
        <v>0.21</v>
      </c>
      <c r="N12" s="11">
        <v>2.3429354102564099E-2</v>
      </c>
      <c r="O12">
        <v>114</v>
      </c>
      <c r="P12" s="11">
        <v>0.21317134656485981</v>
      </c>
      <c r="Q12" s="11">
        <v>2.7027027027027029E-2</v>
      </c>
      <c r="R12">
        <v>0.2127989653500712</v>
      </c>
      <c r="S12">
        <v>2.3371379153233531E-2</v>
      </c>
      <c r="T12" s="9" t="s">
        <v>40</v>
      </c>
      <c r="U12" s="9" t="s">
        <v>50</v>
      </c>
      <c r="V12" s="9" t="s">
        <v>276</v>
      </c>
      <c r="W12" s="9" t="s">
        <v>30</v>
      </c>
      <c r="X12" s="9" t="s">
        <v>278</v>
      </c>
      <c r="Y12" s="1">
        <v>8.5</v>
      </c>
      <c r="Z12" s="1">
        <v>15</v>
      </c>
      <c r="AA12" s="3">
        <f t="shared" si="0"/>
        <v>0.56666666666666665</v>
      </c>
      <c r="AB12" s="11">
        <v>0.35443347873347458</v>
      </c>
      <c r="AC12" s="11">
        <v>0.24485901243687619</v>
      </c>
      <c r="AD12" s="10">
        <v>0</v>
      </c>
      <c r="AE12" s="9" t="s">
        <v>41</v>
      </c>
      <c r="AF12" s="9" t="s">
        <v>35</v>
      </c>
    </row>
    <row r="13" spans="1:32" x14ac:dyDescent="0.25">
      <c r="A13" s="9" t="s">
        <v>508</v>
      </c>
      <c r="B13" s="10" t="s">
        <v>1038</v>
      </c>
      <c r="C13" s="1" t="s">
        <v>616</v>
      </c>
      <c r="D13" s="10">
        <v>3</v>
      </c>
      <c r="E13" s="10">
        <v>1995</v>
      </c>
      <c r="F13" s="9" t="s">
        <v>28</v>
      </c>
      <c r="G13" s="9" t="s">
        <v>29</v>
      </c>
      <c r="H13" s="1">
        <v>29.75</v>
      </c>
      <c r="I13" s="1">
        <v>6.87</v>
      </c>
      <c r="J13" s="9" t="s">
        <v>30</v>
      </c>
      <c r="K13" s="1">
        <v>0.63</v>
      </c>
      <c r="L13" s="10">
        <v>68</v>
      </c>
      <c r="M13" s="3">
        <v>0.36</v>
      </c>
      <c r="N13" s="11">
        <v>1.130740537313433E-2</v>
      </c>
      <c r="O13">
        <v>215</v>
      </c>
      <c r="P13" s="11">
        <v>0.37688590118818999</v>
      </c>
      <c r="Q13" s="11">
        <v>1.5384615384615391E-2</v>
      </c>
      <c r="R13">
        <v>0.36244601675270122</v>
      </c>
      <c r="S13">
        <v>1.126153863879645E-2</v>
      </c>
      <c r="T13" s="9" t="s">
        <v>40</v>
      </c>
      <c r="U13" s="9" t="s">
        <v>50</v>
      </c>
      <c r="V13" s="9" t="s">
        <v>276</v>
      </c>
      <c r="W13" s="9" t="s">
        <v>867</v>
      </c>
      <c r="X13" s="9" t="s">
        <v>316</v>
      </c>
      <c r="Y13" s="1" t="s">
        <v>31</v>
      </c>
      <c r="Z13" s="1" t="s">
        <v>31</v>
      </c>
      <c r="AA13" s="3" t="s">
        <v>31</v>
      </c>
      <c r="AB13" s="11" t="s">
        <v>31</v>
      </c>
      <c r="AC13" s="11" t="s">
        <v>31</v>
      </c>
      <c r="AD13" s="10">
        <v>0</v>
      </c>
      <c r="AE13" s="9" t="s">
        <v>41</v>
      </c>
      <c r="AF13" s="9" t="s">
        <v>35</v>
      </c>
    </row>
    <row r="14" spans="1:32" x14ac:dyDescent="0.25">
      <c r="A14" s="9" t="s">
        <v>508</v>
      </c>
      <c r="B14" s="10" t="s">
        <v>72</v>
      </c>
      <c r="C14" s="1" t="s">
        <v>617</v>
      </c>
      <c r="D14" s="10">
        <v>3</v>
      </c>
      <c r="E14" s="10">
        <v>1995</v>
      </c>
      <c r="F14" s="9" t="s">
        <v>38</v>
      </c>
      <c r="G14" s="9" t="s">
        <v>29</v>
      </c>
      <c r="H14" s="1">
        <v>27.66</v>
      </c>
      <c r="I14" s="1">
        <v>7.31</v>
      </c>
      <c r="J14" s="9" t="s">
        <v>30</v>
      </c>
      <c r="K14" s="1">
        <v>0.63</v>
      </c>
      <c r="L14" s="10">
        <v>68</v>
      </c>
      <c r="M14" s="3">
        <v>0.24</v>
      </c>
      <c r="N14" s="11">
        <v>1.325548895522388E-2</v>
      </c>
      <c r="O14">
        <v>215</v>
      </c>
      <c r="P14" s="11">
        <v>0.24477411265935289</v>
      </c>
      <c r="Q14" s="11">
        <v>1.5384615384615391E-2</v>
      </c>
      <c r="R14">
        <v>0.24177014994141169</v>
      </c>
      <c r="S14">
        <v>1.323150924856805E-2</v>
      </c>
      <c r="T14" s="9" t="s">
        <v>40</v>
      </c>
      <c r="U14" s="9" t="s">
        <v>50</v>
      </c>
      <c r="V14" s="9" t="s">
        <v>276</v>
      </c>
      <c r="W14" s="9" t="s">
        <v>867</v>
      </c>
      <c r="X14" s="9" t="s">
        <v>872</v>
      </c>
      <c r="Y14" s="1" t="s">
        <v>31</v>
      </c>
      <c r="Z14" s="1" t="s">
        <v>31</v>
      </c>
      <c r="AA14" s="3" t="s">
        <v>31</v>
      </c>
      <c r="AB14" s="11" t="s">
        <v>31</v>
      </c>
      <c r="AC14" s="11" t="s">
        <v>31</v>
      </c>
      <c r="AD14" s="10">
        <v>0</v>
      </c>
      <c r="AE14" s="9" t="s">
        <v>41</v>
      </c>
      <c r="AF14" s="9" t="s">
        <v>35</v>
      </c>
    </row>
    <row r="15" spans="1:32" x14ac:dyDescent="0.25">
      <c r="A15" s="9" t="s">
        <v>856</v>
      </c>
      <c r="B15" s="10" t="s">
        <v>1039</v>
      </c>
      <c r="C15" s="1" t="s">
        <v>618</v>
      </c>
      <c r="D15" s="10">
        <v>2</v>
      </c>
      <c r="E15" s="10">
        <v>1997</v>
      </c>
      <c r="F15" s="9" t="s">
        <v>28</v>
      </c>
      <c r="G15" s="9" t="s">
        <v>29</v>
      </c>
      <c r="H15" s="1" t="s">
        <v>31</v>
      </c>
      <c r="I15" s="1" t="s">
        <v>31</v>
      </c>
      <c r="J15" s="9" t="s">
        <v>31</v>
      </c>
      <c r="K15" s="1" t="s">
        <v>31</v>
      </c>
      <c r="L15" s="10">
        <v>22</v>
      </c>
      <c r="M15" s="3">
        <v>0.56799999999999995</v>
      </c>
      <c r="N15" s="11">
        <v>2.1849440256E-2</v>
      </c>
      <c r="O15">
        <v>6</v>
      </c>
      <c r="P15" s="11">
        <v>0.64456530633312137</v>
      </c>
      <c r="Q15" s="11">
        <v>5.2631578947368418E-2</v>
      </c>
      <c r="R15">
        <v>0.57837917481682</v>
      </c>
      <c r="S15">
        <v>2.108858776756466E-2</v>
      </c>
      <c r="T15" s="9" t="s">
        <v>40</v>
      </c>
      <c r="U15" s="9" t="s">
        <v>50</v>
      </c>
      <c r="V15" s="9" t="s">
        <v>276</v>
      </c>
      <c r="W15" s="9" t="s">
        <v>30</v>
      </c>
      <c r="X15" s="9" t="s">
        <v>278</v>
      </c>
      <c r="Y15" s="1" t="s">
        <v>31</v>
      </c>
      <c r="Z15" s="1" t="s">
        <v>31</v>
      </c>
      <c r="AA15" s="3" t="s">
        <v>31</v>
      </c>
      <c r="AB15" s="11" t="s">
        <v>31</v>
      </c>
      <c r="AC15" s="11" t="s">
        <v>31</v>
      </c>
      <c r="AD15" s="10">
        <v>3</v>
      </c>
      <c r="AE15" s="9" t="s">
        <v>34</v>
      </c>
      <c r="AF15" s="9" t="s">
        <v>35</v>
      </c>
    </row>
    <row r="16" spans="1:32" x14ac:dyDescent="0.25">
      <c r="A16" s="9" t="s">
        <v>510</v>
      </c>
      <c r="B16" s="10" t="s">
        <v>88</v>
      </c>
      <c r="C16" s="1" t="s">
        <v>619</v>
      </c>
      <c r="D16" s="10">
        <v>2</v>
      </c>
      <c r="E16" s="10">
        <v>1997</v>
      </c>
      <c r="F16" s="9" t="s">
        <v>28</v>
      </c>
      <c r="G16" s="9" t="s">
        <v>29</v>
      </c>
      <c r="H16" s="1">
        <v>70.2</v>
      </c>
      <c r="I16" s="1">
        <v>7.1</v>
      </c>
      <c r="J16" s="9" t="s">
        <v>30</v>
      </c>
      <c r="K16" s="1">
        <v>0.38</v>
      </c>
      <c r="L16" s="10">
        <v>60</v>
      </c>
      <c r="M16" s="3">
        <v>0.36499999999999999</v>
      </c>
      <c r="N16" s="11">
        <v>1.273387967161017E-2</v>
      </c>
      <c r="O16">
        <v>21</v>
      </c>
      <c r="P16" s="11">
        <v>0.38264235436318422</v>
      </c>
      <c r="Q16" s="11">
        <v>1.754385964912281E-2</v>
      </c>
      <c r="R16">
        <v>0.36782164720622368</v>
      </c>
      <c r="S16">
        <v>1.2673196673310081E-2</v>
      </c>
      <c r="T16" s="9" t="s">
        <v>40</v>
      </c>
      <c r="U16" s="9" t="s">
        <v>50</v>
      </c>
      <c r="V16" s="9" t="s">
        <v>276</v>
      </c>
      <c r="W16" s="9" t="s">
        <v>30</v>
      </c>
      <c r="X16" s="9" t="s">
        <v>278</v>
      </c>
      <c r="Y16" s="1">
        <v>11.6</v>
      </c>
      <c r="Z16" s="1">
        <v>15</v>
      </c>
      <c r="AA16" s="3">
        <f t="shared" si="0"/>
        <v>0.77333333333333332</v>
      </c>
      <c r="AB16" s="11">
        <v>0.45217234974362341</v>
      </c>
      <c r="AC16" s="11">
        <v>0.1389972038783342</v>
      </c>
      <c r="AD16" s="10">
        <v>3</v>
      </c>
      <c r="AE16" s="9" t="s">
        <v>34</v>
      </c>
      <c r="AF16" s="9" t="s">
        <v>35</v>
      </c>
    </row>
    <row r="17" spans="1:32" x14ac:dyDescent="0.25">
      <c r="A17" s="9" t="s">
        <v>511</v>
      </c>
      <c r="B17" s="10" t="s">
        <v>91</v>
      </c>
      <c r="C17" s="1" t="s">
        <v>620</v>
      </c>
      <c r="D17" s="10">
        <v>2</v>
      </c>
      <c r="E17" s="10">
        <v>1997</v>
      </c>
      <c r="F17" s="9" t="s">
        <v>38</v>
      </c>
      <c r="G17" s="9" t="s">
        <v>29</v>
      </c>
      <c r="H17" s="1">
        <v>24.8</v>
      </c>
      <c r="I17" s="1">
        <v>4.5</v>
      </c>
      <c r="J17" s="9" t="s">
        <v>30</v>
      </c>
      <c r="K17" s="1">
        <v>0.53</v>
      </c>
      <c r="L17" s="10">
        <v>62</v>
      </c>
      <c r="M17" s="3">
        <v>0.27</v>
      </c>
      <c r="N17" s="11">
        <v>1.409040016393443E-2</v>
      </c>
      <c r="O17">
        <v>4</v>
      </c>
      <c r="P17" s="11">
        <v>0.27686382265510012</v>
      </c>
      <c r="Q17" s="11">
        <v>1.6949152542372881E-2</v>
      </c>
      <c r="R17">
        <v>0.27216080428614658</v>
      </c>
      <c r="S17">
        <v>1.405481280057448E-2</v>
      </c>
      <c r="T17" s="9" t="s">
        <v>40</v>
      </c>
      <c r="U17" s="9" t="s">
        <v>50</v>
      </c>
      <c r="V17" s="9" t="s">
        <v>276</v>
      </c>
      <c r="W17" s="9" t="s">
        <v>867</v>
      </c>
      <c r="X17" s="9" t="s">
        <v>359</v>
      </c>
      <c r="Y17" s="1" t="s">
        <v>31</v>
      </c>
      <c r="Z17" s="1" t="s">
        <v>31</v>
      </c>
      <c r="AA17" s="3" t="s">
        <v>31</v>
      </c>
      <c r="AB17" s="11" t="s">
        <v>31</v>
      </c>
      <c r="AC17" s="11" t="s">
        <v>31</v>
      </c>
      <c r="AD17" s="10">
        <v>0</v>
      </c>
      <c r="AE17" s="9" t="s">
        <v>41</v>
      </c>
      <c r="AF17" s="9" t="s">
        <v>35</v>
      </c>
    </row>
    <row r="18" spans="1:32" x14ac:dyDescent="0.25">
      <c r="A18" s="9" t="s">
        <v>511</v>
      </c>
      <c r="B18" s="10" t="s">
        <v>91</v>
      </c>
      <c r="C18" s="1" t="s">
        <v>621</v>
      </c>
      <c r="D18" s="10">
        <v>3</v>
      </c>
      <c r="E18" s="10">
        <v>1997</v>
      </c>
      <c r="F18" s="9" t="s">
        <v>38</v>
      </c>
      <c r="G18" s="9" t="s">
        <v>29</v>
      </c>
      <c r="H18" s="1">
        <v>24.8</v>
      </c>
      <c r="I18" s="1">
        <v>4.5</v>
      </c>
      <c r="J18" s="9" t="s">
        <v>30</v>
      </c>
      <c r="K18" s="1">
        <v>0.53</v>
      </c>
      <c r="L18" s="10">
        <v>62</v>
      </c>
      <c r="M18" s="3">
        <v>0.11</v>
      </c>
      <c r="N18" s="11">
        <v>1.5999121475409842E-2</v>
      </c>
      <c r="O18">
        <v>4</v>
      </c>
      <c r="P18" s="11">
        <v>0.1104469157900972</v>
      </c>
      <c r="Q18" s="11">
        <v>1.6949152542372881E-2</v>
      </c>
      <c r="R18">
        <v>0.11094034688087739</v>
      </c>
      <c r="S18">
        <v>1.5992392784230369E-2</v>
      </c>
      <c r="T18" s="9" t="s">
        <v>40</v>
      </c>
      <c r="U18" s="9" t="s">
        <v>50</v>
      </c>
      <c r="V18" s="9" t="s">
        <v>276</v>
      </c>
      <c r="W18" s="9" t="s">
        <v>868</v>
      </c>
      <c r="X18" s="9" t="s">
        <v>873</v>
      </c>
      <c r="Y18" s="1" t="s">
        <v>31</v>
      </c>
      <c r="Z18" s="1" t="s">
        <v>31</v>
      </c>
      <c r="AA18" s="3" t="s">
        <v>31</v>
      </c>
      <c r="AB18" s="11" t="s">
        <v>31</v>
      </c>
      <c r="AC18" s="11" t="s">
        <v>31</v>
      </c>
      <c r="AD18" s="10">
        <v>0</v>
      </c>
      <c r="AE18" s="9" t="s">
        <v>41</v>
      </c>
      <c r="AF18" s="9" t="s">
        <v>35</v>
      </c>
    </row>
    <row r="19" spans="1:32" x14ac:dyDescent="0.25">
      <c r="A19" s="9" t="s">
        <v>512</v>
      </c>
      <c r="B19" s="10" t="s">
        <v>95</v>
      </c>
      <c r="C19" s="1" t="s">
        <v>622</v>
      </c>
      <c r="D19" s="10">
        <v>2</v>
      </c>
      <c r="E19" s="10">
        <v>1998</v>
      </c>
      <c r="F19" s="9" t="s">
        <v>38</v>
      </c>
      <c r="G19" s="9" t="s">
        <v>29</v>
      </c>
      <c r="H19" s="1">
        <v>27</v>
      </c>
      <c r="I19" s="1">
        <v>10</v>
      </c>
      <c r="J19" s="9" t="s">
        <v>30</v>
      </c>
      <c r="K19" s="1">
        <v>0.53</v>
      </c>
      <c r="L19" s="10">
        <v>90</v>
      </c>
      <c r="M19" s="3">
        <v>0.16</v>
      </c>
      <c r="N19" s="11">
        <v>1.066803775280899E-2</v>
      </c>
      <c r="O19">
        <v>152</v>
      </c>
      <c r="P19" s="11">
        <v>0.16138669613152551</v>
      </c>
      <c r="Q19" s="11">
        <v>1.149425287356322E-2</v>
      </c>
      <c r="R19">
        <v>0.1609084149807978</v>
      </c>
      <c r="S19">
        <v>1.066165544586159E-2</v>
      </c>
      <c r="T19" s="9" t="s">
        <v>40</v>
      </c>
      <c r="U19" s="9" t="s">
        <v>50</v>
      </c>
      <c r="V19" s="9" t="s">
        <v>276</v>
      </c>
      <c r="W19" s="9" t="s">
        <v>30</v>
      </c>
      <c r="X19" s="9" t="s">
        <v>278</v>
      </c>
      <c r="Y19" s="1">
        <v>13</v>
      </c>
      <c r="Z19" s="1">
        <v>15</v>
      </c>
      <c r="AA19" s="3">
        <f t="shared" si="0"/>
        <v>0.8666666666666667</v>
      </c>
      <c r="AB19" s="11">
        <v>0.18383729999993151</v>
      </c>
      <c r="AC19" s="11">
        <v>0.1198870955742677</v>
      </c>
      <c r="AD19" s="10">
        <v>1</v>
      </c>
      <c r="AE19" s="9" t="s">
        <v>41</v>
      </c>
      <c r="AF19" s="9" t="s">
        <v>35</v>
      </c>
    </row>
    <row r="20" spans="1:32" x14ac:dyDescent="0.25">
      <c r="A20" s="9" t="s">
        <v>513</v>
      </c>
      <c r="B20" s="10" t="s">
        <v>97</v>
      </c>
      <c r="C20" s="1" t="s">
        <v>623</v>
      </c>
      <c r="D20" s="10">
        <v>2</v>
      </c>
      <c r="E20" s="10">
        <v>1999</v>
      </c>
      <c r="F20" s="9" t="s">
        <v>38</v>
      </c>
      <c r="G20" s="9" t="s">
        <v>29</v>
      </c>
      <c r="H20" s="1">
        <v>25</v>
      </c>
      <c r="I20" s="1">
        <v>5.3</v>
      </c>
      <c r="J20" s="9" t="s">
        <v>39</v>
      </c>
      <c r="K20" s="1">
        <v>0</v>
      </c>
      <c r="L20" s="10">
        <v>40</v>
      </c>
      <c r="M20" s="3">
        <v>0.4</v>
      </c>
      <c r="N20" s="11">
        <v>1.8092307692307689E-2</v>
      </c>
      <c r="O20">
        <v>4069</v>
      </c>
      <c r="P20" s="11">
        <v>0.42364893019360178</v>
      </c>
      <c r="Q20" s="11">
        <v>2.7027027027027029E-2</v>
      </c>
      <c r="R20">
        <v>0.40464975908000661</v>
      </c>
      <c r="S20">
        <v>1.7931497436933879E-2</v>
      </c>
      <c r="T20" s="9" t="s">
        <v>40</v>
      </c>
      <c r="U20" s="9" t="s">
        <v>46</v>
      </c>
      <c r="V20" s="9" t="s">
        <v>276</v>
      </c>
      <c r="W20" s="9" t="s">
        <v>30</v>
      </c>
      <c r="X20" s="9" t="s">
        <v>874</v>
      </c>
      <c r="Y20" s="1" t="s">
        <v>31</v>
      </c>
      <c r="Z20" s="1" t="s">
        <v>31</v>
      </c>
      <c r="AA20" s="3" t="s">
        <v>31</v>
      </c>
      <c r="AB20" s="11" t="s">
        <v>31</v>
      </c>
      <c r="AC20" s="11" t="s">
        <v>31</v>
      </c>
      <c r="AD20" s="10">
        <v>0</v>
      </c>
      <c r="AE20" s="9" t="s">
        <v>41</v>
      </c>
      <c r="AF20" s="9" t="s">
        <v>35</v>
      </c>
    </row>
    <row r="21" spans="1:32" x14ac:dyDescent="0.25">
      <c r="A21" s="9" t="s">
        <v>513</v>
      </c>
      <c r="B21" s="10" t="s">
        <v>100</v>
      </c>
      <c r="C21" s="1" t="s">
        <v>624</v>
      </c>
      <c r="D21" s="10">
        <v>2</v>
      </c>
      <c r="E21" s="10">
        <v>1999</v>
      </c>
      <c r="F21" s="9" t="s">
        <v>38</v>
      </c>
      <c r="G21" s="9" t="s">
        <v>29</v>
      </c>
      <c r="H21" s="1">
        <v>27</v>
      </c>
      <c r="I21" s="1">
        <v>5.7</v>
      </c>
      <c r="J21" s="9" t="s">
        <v>43</v>
      </c>
      <c r="K21" s="1">
        <v>1</v>
      </c>
      <c r="L21" s="10">
        <v>40</v>
      </c>
      <c r="M21" s="3">
        <v>0</v>
      </c>
      <c r="N21" s="11">
        <v>2.564102564102564E-2</v>
      </c>
      <c r="O21">
        <v>4069</v>
      </c>
      <c r="P21" s="11">
        <v>0</v>
      </c>
      <c r="Q21" s="11">
        <v>2.7027027027027029E-2</v>
      </c>
      <c r="R21">
        <v>0</v>
      </c>
      <c r="S21">
        <v>2.564102564102564E-2</v>
      </c>
      <c r="T21" s="9" t="s">
        <v>40</v>
      </c>
      <c r="U21" s="9" t="s">
        <v>46</v>
      </c>
      <c r="V21" s="9" t="s">
        <v>276</v>
      </c>
      <c r="W21" s="9" t="s">
        <v>30</v>
      </c>
      <c r="X21" s="9" t="s">
        <v>874</v>
      </c>
      <c r="Y21" s="1" t="s">
        <v>31</v>
      </c>
      <c r="Z21" s="1" t="s">
        <v>31</v>
      </c>
      <c r="AA21" s="3" t="s">
        <v>31</v>
      </c>
      <c r="AB21" s="11" t="s">
        <v>31</v>
      </c>
      <c r="AC21" s="11" t="s">
        <v>31</v>
      </c>
      <c r="AD21" s="10">
        <v>0</v>
      </c>
      <c r="AE21" s="9" t="s">
        <v>41</v>
      </c>
      <c r="AF21" s="9" t="s">
        <v>63</v>
      </c>
    </row>
    <row r="22" spans="1:32" x14ac:dyDescent="0.25">
      <c r="A22" s="9" t="s">
        <v>850</v>
      </c>
      <c r="B22" s="10" t="s">
        <v>1040</v>
      </c>
      <c r="C22" s="1" t="s">
        <v>625</v>
      </c>
      <c r="D22" s="10">
        <v>2</v>
      </c>
      <c r="E22" s="10">
        <v>1999</v>
      </c>
      <c r="F22" s="9" t="s">
        <v>28</v>
      </c>
      <c r="G22" s="9" t="s">
        <v>29</v>
      </c>
      <c r="H22" s="1">
        <v>43</v>
      </c>
      <c r="I22" s="1">
        <v>10</v>
      </c>
      <c r="J22" s="9" t="s">
        <v>43</v>
      </c>
      <c r="K22" s="1">
        <v>1</v>
      </c>
      <c r="L22" s="10">
        <v>37</v>
      </c>
      <c r="M22" s="3">
        <v>0</v>
      </c>
      <c r="N22" s="11">
        <v>2.777777777777778E-2</v>
      </c>
      <c r="O22" t="s">
        <v>63</v>
      </c>
      <c r="P22" s="11">
        <v>0</v>
      </c>
      <c r="Q22" s="11">
        <v>2.9411764705882349E-2</v>
      </c>
      <c r="R22">
        <v>0</v>
      </c>
      <c r="S22">
        <v>2.777777777777778E-2</v>
      </c>
      <c r="T22" s="9" t="s">
        <v>40</v>
      </c>
      <c r="U22" s="9" t="s">
        <v>50</v>
      </c>
      <c r="V22" s="9" t="s">
        <v>276</v>
      </c>
      <c r="W22" s="9" t="s">
        <v>30</v>
      </c>
      <c r="X22" s="9" t="s">
        <v>278</v>
      </c>
      <c r="Y22" s="1">
        <v>14</v>
      </c>
      <c r="Z22" s="1">
        <v>15</v>
      </c>
      <c r="AA22" s="3">
        <f t="shared" si="0"/>
        <v>0.93333333333333335</v>
      </c>
      <c r="AB22" s="11">
        <v>0</v>
      </c>
      <c r="AC22" s="11" t="s">
        <v>31</v>
      </c>
      <c r="AD22" s="10">
        <v>0</v>
      </c>
      <c r="AE22" s="9" t="s">
        <v>34</v>
      </c>
      <c r="AF22" s="9" t="s">
        <v>63</v>
      </c>
    </row>
    <row r="23" spans="1:32" x14ac:dyDescent="0.25">
      <c r="A23" s="9" t="s">
        <v>850</v>
      </c>
      <c r="B23" s="10" t="s">
        <v>1041</v>
      </c>
      <c r="C23" s="1" t="s">
        <v>626</v>
      </c>
      <c r="D23" s="10">
        <v>2</v>
      </c>
      <c r="E23" s="10">
        <v>1999</v>
      </c>
      <c r="F23" s="9" t="s">
        <v>38</v>
      </c>
      <c r="G23" s="9" t="s">
        <v>29</v>
      </c>
      <c r="H23" s="1">
        <v>42</v>
      </c>
      <c r="I23" s="1">
        <v>10</v>
      </c>
      <c r="J23" s="9" t="s">
        <v>43</v>
      </c>
      <c r="K23" s="1">
        <v>1</v>
      </c>
      <c r="L23" s="10">
        <v>33</v>
      </c>
      <c r="M23" s="3">
        <v>0</v>
      </c>
      <c r="N23" s="11">
        <v>3.125E-2</v>
      </c>
      <c r="O23" t="s">
        <v>63</v>
      </c>
      <c r="P23" s="11">
        <v>0</v>
      </c>
      <c r="Q23" s="11">
        <v>3.3333333333333333E-2</v>
      </c>
      <c r="R23">
        <v>0</v>
      </c>
      <c r="S23">
        <v>3.125E-2</v>
      </c>
      <c r="T23" s="9" t="s">
        <v>40</v>
      </c>
      <c r="U23" s="9" t="s">
        <v>50</v>
      </c>
      <c r="V23" s="9" t="s">
        <v>276</v>
      </c>
      <c r="W23" s="9" t="s">
        <v>30</v>
      </c>
      <c r="X23" s="9" t="s">
        <v>278</v>
      </c>
      <c r="Y23" s="1">
        <v>12</v>
      </c>
      <c r="Z23" s="1">
        <v>15</v>
      </c>
      <c r="AA23" s="3">
        <f t="shared" si="0"/>
        <v>0.8</v>
      </c>
      <c r="AB23" s="11">
        <v>0</v>
      </c>
      <c r="AC23" s="11" t="s">
        <v>31</v>
      </c>
      <c r="AD23" s="10">
        <v>0</v>
      </c>
      <c r="AE23" s="9" t="s">
        <v>34</v>
      </c>
      <c r="AF23" s="9" t="s">
        <v>63</v>
      </c>
    </row>
    <row r="24" spans="1:32" x14ac:dyDescent="0.25">
      <c r="A24" s="9" t="s">
        <v>862</v>
      </c>
      <c r="B24" s="10" t="s">
        <v>1042</v>
      </c>
      <c r="C24" s="1" t="s">
        <v>627</v>
      </c>
      <c r="D24" s="10">
        <v>2</v>
      </c>
      <c r="E24" s="10">
        <v>1999</v>
      </c>
      <c r="F24" s="9" t="s">
        <v>28</v>
      </c>
      <c r="G24" s="9" t="s">
        <v>29</v>
      </c>
      <c r="H24" s="1">
        <v>21.6</v>
      </c>
      <c r="I24" s="1">
        <v>3.1</v>
      </c>
      <c r="J24" s="9" t="s">
        <v>39</v>
      </c>
      <c r="K24" s="1">
        <v>0</v>
      </c>
      <c r="L24" s="10">
        <v>11</v>
      </c>
      <c r="M24" s="3">
        <v>0</v>
      </c>
      <c r="N24" s="11">
        <v>0.1</v>
      </c>
      <c r="O24" t="s">
        <v>63</v>
      </c>
      <c r="P24" s="11">
        <v>0</v>
      </c>
      <c r="Q24" s="11">
        <v>0.125</v>
      </c>
      <c r="R24">
        <v>0</v>
      </c>
      <c r="S24">
        <v>0.1</v>
      </c>
      <c r="T24" s="9" t="s">
        <v>40</v>
      </c>
      <c r="U24" s="9" t="s">
        <v>50</v>
      </c>
      <c r="V24" s="9" t="s">
        <v>276</v>
      </c>
      <c r="W24" s="9" t="s">
        <v>30</v>
      </c>
      <c r="X24" s="9" t="s">
        <v>284</v>
      </c>
      <c r="Y24" s="1">
        <v>9.4</v>
      </c>
      <c r="Z24" s="1">
        <v>15</v>
      </c>
      <c r="AA24" s="3">
        <f t="shared" si="0"/>
        <v>0.62666666666666671</v>
      </c>
      <c r="AB24" s="11">
        <v>0</v>
      </c>
      <c r="AC24" s="11" t="s">
        <v>31</v>
      </c>
      <c r="AD24" s="10">
        <v>0</v>
      </c>
      <c r="AE24" s="9" t="s">
        <v>34</v>
      </c>
      <c r="AF24" s="9" t="s">
        <v>63</v>
      </c>
    </row>
    <row r="25" spans="1:32" x14ac:dyDescent="0.25">
      <c r="A25" s="9" t="s">
        <v>862</v>
      </c>
      <c r="B25" s="10" t="s">
        <v>1043</v>
      </c>
      <c r="C25" s="1" t="s">
        <v>628</v>
      </c>
      <c r="D25" s="10">
        <v>2</v>
      </c>
      <c r="E25" s="10">
        <v>1999</v>
      </c>
      <c r="F25" s="9" t="s">
        <v>38</v>
      </c>
      <c r="G25" s="9" t="s">
        <v>29</v>
      </c>
      <c r="H25" s="1">
        <v>21.5</v>
      </c>
      <c r="I25" s="1">
        <v>1.4</v>
      </c>
      <c r="J25" s="9" t="s">
        <v>39</v>
      </c>
      <c r="K25" s="1">
        <v>0</v>
      </c>
      <c r="L25" s="10">
        <v>13</v>
      </c>
      <c r="M25" s="3">
        <v>0</v>
      </c>
      <c r="N25" s="11">
        <v>8.3333333333333329E-2</v>
      </c>
      <c r="O25" t="s">
        <v>63</v>
      </c>
      <c r="P25" s="11">
        <v>0</v>
      </c>
      <c r="Q25" s="11">
        <v>0.1</v>
      </c>
      <c r="R25">
        <v>0</v>
      </c>
      <c r="S25">
        <v>8.3333333333333329E-2</v>
      </c>
      <c r="T25" s="9" t="s">
        <v>40</v>
      </c>
      <c r="U25" s="9" t="s">
        <v>50</v>
      </c>
      <c r="V25" s="9" t="s">
        <v>276</v>
      </c>
      <c r="W25" s="9" t="s">
        <v>30</v>
      </c>
      <c r="X25" s="9" t="s">
        <v>284</v>
      </c>
      <c r="Y25" s="1">
        <v>9.4</v>
      </c>
      <c r="Z25" s="1">
        <v>15</v>
      </c>
      <c r="AA25" s="3">
        <f t="shared" si="0"/>
        <v>0.62666666666666671</v>
      </c>
      <c r="AB25" s="11">
        <v>0</v>
      </c>
      <c r="AC25" s="11" t="s">
        <v>31</v>
      </c>
      <c r="AD25" s="10">
        <v>0</v>
      </c>
      <c r="AE25" s="9" t="s">
        <v>34</v>
      </c>
      <c r="AF25" s="9" t="s">
        <v>63</v>
      </c>
    </row>
    <row r="26" spans="1:32" x14ac:dyDescent="0.25">
      <c r="A26" s="9" t="s">
        <v>862</v>
      </c>
      <c r="B26" s="10" t="s">
        <v>1044</v>
      </c>
      <c r="C26" s="1" t="s">
        <v>629</v>
      </c>
      <c r="D26" s="10">
        <v>2</v>
      </c>
      <c r="E26" s="10">
        <v>1999</v>
      </c>
      <c r="F26" s="9" t="s">
        <v>28</v>
      </c>
      <c r="G26" s="9" t="s">
        <v>29</v>
      </c>
      <c r="H26" s="1">
        <v>21.8</v>
      </c>
      <c r="I26" s="1">
        <v>3.2</v>
      </c>
      <c r="J26" s="9" t="s">
        <v>43</v>
      </c>
      <c r="K26" s="1">
        <v>1</v>
      </c>
      <c r="L26" s="10">
        <v>10</v>
      </c>
      <c r="M26" s="3">
        <v>0</v>
      </c>
      <c r="N26" s="11">
        <v>0.1111111111111111</v>
      </c>
      <c r="O26" t="s">
        <v>63</v>
      </c>
      <c r="P26" s="11">
        <v>0</v>
      </c>
      <c r="Q26" s="11">
        <v>0.1428571428571429</v>
      </c>
      <c r="R26">
        <v>0</v>
      </c>
      <c r="S26">
        <v>0.1111111111111111</v>
      </c>
      <c r="T26" s="9" t="s">
        <v>40</v>
      </c>
      <c r="U26" s="9" t="s">
        <v>50</v>
      </c>
      <c r="V26" s="9" t="s">
        <v>276</v>
      </c>
      <c r="W26" s="9" t="s">
        <v>30</v>
      </c>
      <c r="X26" s="9" t="s">
        <v>284</v>
      </c>
      <c r="Y26" s="1">
        <v>11.4</v>
      </c>
      <c r="Z26" s="1">
        <v>15</v>
      </c>
      <c r="AA26" s="3">
        <f t="shared" si="0"/>
        <v>0.76</v>
      </c>
      <c r="AB26" s="11">
        <v>0</v>
      </c>
      <c r="AC26" s="11" t="s">
        <v>31</v>
      </c>
      <c r="AD26" s="10">
        <v>0</v>
      </c>
      <c r="AE26" s="9" t="s">
        <v>34</v>
      </c>
      <c r="AF26" s="9" t="s">
        <v>63</v>
      </c>
    </row>
    <row r="27" spans="1:32" x14ac:dyDescent="0.25">
      <c r="A27" s="9" t="s">
        <v>862</v>
      </c>
      <c r="B27" s="10" t="s">
        <v>1045</v>
      </c>
      <c r="C27" s="1" t="s">
        <v>630</v>
      </c>
      <c r="D27" s="10">
        <v>2</v>
      </c>
      <c r="E27" s="10">
        <v>1999</v>
      </c>
      <c r="F27" s="9" t="s">
        <v>28</v>
      </c>
      <c r="G27" s="9" t="s">
        <v>29</v>
      </c>
      <c r="H27" s="1">
        <v>21.8</v>
      </c>
      <c r="I27" s="1">
        <v>4.2</v>
      </c>
      <c r="J27" s="9" t="s">
        <v>43</v>
      </c>
      <c r="K27" s="1">
        <v>1</v>
      </c>
      <c r="L27" s="10">
        <v>10</v>
      </c>
      <c r="M27" s="3">
        <v>0</v>
      </c>
      <c r="N27" s="11">
        <v>0.1111111111111111</v>
      </c>
      <c r="O27" t="s">
        <v>63</v>
      </c>
      <c r="P27" s="11">
        <v>0</v>
      </c>
      <c r="Q27" s="11">
        <v>0.1428571428571429</v>
      </c>
      <c r="R27">
        <v>0</v>
      </c>
      <c r="S27">
        <v>0.1111111111111111</v>
      </c>
      <c r="T27" s="9" t="s">
        <v>40</v>
      </c>
      <c r="U27" s="9" t="s">
        <v>50</v>
      </c>
      <c r="V27" s="9" t="s">
        <v>276</v>
      </c>
      <c r="W27" s="9" t="s">
        <v>30</v>
      </c>
      <c r="X27" s="9" t="s">
        <v>284</v>
      </c>
      <c r="Y27" s="1">
        <v>18.600000000000001</v>
      </c>
      <c r="Z27" s="1">
        <v>15</v>
      </c>
      <c r="AA27" s="3">
        <f t="shared" si="0"/>
        <v>1.24</v>
      </c>
      <c r="AB27" s="11">
        <v>0</v>
      </c>
      <c r="AC27" s="11" t="s">
        <v>31</v>
      </c>
      <c r="AD27" s="10">
        <v>0</v>
      </c>
      <c r="AE27" s="9" t="s">
        <v>34</v>
      </c>
      <c r="AF27" s="9" t="s">
        <v>63</v>
      </c>
    </row>
    <row r="28" spans="1:32" x14ac:dyDescent="0.25">
      <c r="A28" s="9" t="s">
        <v>862</v>
      </c>
      <c r="B28" s="10" t="s">
        <v>1052</v>
      </c>
      <c r="C28" s="1" t="s">
        <v>631</v>
      </c>
      <c r="D28" s="10">
        <v>2</v>
      </c>
      <c r="E28" s="10">
        <v>1999</v>
      </c>
      <c r="F28" s="9" t="s">
        <v>38</v>
      </c>
      <c r="G28" s="9" t="s">
        <v>29</v>
      </c>
      <c r="H28" s="1">
        <v>21.5</v>
      </c>
      <c r="I28" s="1">
        <v>1.3</v>
      </c>
      <c r="J28" s="9" t="s">
        <v>43</v>
      </c>
      <c r="K28" s="1">
        <v>1</v>
      </c>
      <c r="L28" s="10">
        <v>25</v>
      </c>
      <c r="M28" s="3">
        <v>0</v>
      </c>
      <c r="N28" s="11">
        <v>4.1666666666666657E-2</v>
      </c>
      <c r="O28" t="s">
        <v>63</v>
      </c>
      <c r="P28" s="11">
        <v>0</v>
      </c>
      <c r="Q28" s="11">
        <v>4.5454545454545463E-2</v>
      </c>
      <c r="R28">
        <v>0</v>
      </c>
      <c r="S28">
        <v>4.1666666666666657E-2</v>
      </c>
      <c r="T28" s="9" t="s">
        <v>40</v>
      </c>
      <c r="U28" s="9" t="s">
        <v>50</v>
      </c>
      <c r="V28" s="9" t="s">
        <v>276</v>
      </c>
      <c r="W28" s="9" t="s">
        <v>30</v>
      </c>
      <c r="X28" s="9" t="s">
        <v>284</v>
      </c>
      <c r="Y28" s="1">
        <v>8.9</v>
      </c>
      <c r="Z28" s="1">
        <v>15</v>
      </c>
      <c r="AA28" s="3">
        <f t="shared" si="0"/>
        <v>0.59333333333333338</v>
      </c>
      <c r="AB28" s="11">
        <v>0</v>
      </c>
      <c r="AC28" s="11" t="s">
        <v>31</v>
      </c>
      <c r="AD28" s="10">
        <v>0</v>
      </c>
      <c r="AE28" s="9" t="s">
        <v>34</v>
      </c>
      <c r="AF28" s="9" t="s">
        <v>63</v>
      </c>
    </row>
    <row r="29" spans="1:32" x14ac:dyDescent="0.25">
      <c r="A29" s="9" t="s">
        <v>862</v>
      </c>
      <c r="B29" s="10" t="s">
        <v>1053</v>
      </c>
      <c r="C29" s="1" t="s">
        <v>632</v>
      </c>
      <c r="D29" s="10">
        <v>2</v>
      </c>
      <c r="E29" s="10">
        <v>1999</v>
      </c>
      <c r="F29" s="9" t="s">
        <v>28</v>
      </c>
      <c r="G29" s="9" t="s">
        <v>29</v>
      </c>
      <c r="H29" s="1">
        <v>21.63</v>
      </c>
      <c r="I29" s="1">
        <v>2.34</v>
      </c>
      <c r="J29" s="9" t="s">
        <v>43</v>
      </c>
      <c r="K29" s="1">
        <v>1</v>
      </c>
      <c r="L29" s="10">
        <v>45</v>
      </c>
      <c r="M29" s="3">
        <v>0.31</v>
      </c>
      <c r="N29" s="11">
        <v>1.8568982045454541E-2</v>
      </c>
      <c r="O29">
        <v>630</v>
      </c>
      <c r="P29" s="11">
        <v>0.32054540930194608</v>
      </c>
      <c r="Q29" s="11">
        <v>2.3809523809523812E-2</v>
      </c>
      <c r="R29">
        <v>0.31341886668416358</v>
      </c>
      <c r="S29">
        <v>1.848151439106931E-2</v>
      </c>
      <c r="T29" s="9" t="s">
        <v>40</v>
      </c>
      <c r="U29" s="9" t="s">
        <v>50</v>
      </c>
      <c r="V29" s="9" t="s">
        <v>276</v>
      </c>
      <c r="W29" s="9" t="s">
        <v>30</v>
      </c>
      <c r="X29" s="9" t="s">
        <v>284</v>
      </c>
      <c r="Y29" s="1" t="s">
        <v>31</v>
      </c>
      <c r="Z29" s="1" t="s">
        <v>31</v>
      </c>
      <c r="AA29" s="3" t="s">
        <v>31</v>
      </c>
      <c r="AB29" s="11" t="s">
        <v>31</v>
      </c>
      <c r="AC29" s="11" t="s">
        <v>31</v>
      </c>
      <c r="AD29" s="10">
        <v>0</v>
      </c>
      <c r="AE29" s="9" t="s">
        <v>34</v>
      </c>
      <c r="AF29" s="9" t="s">
        <v>35</v>
      </c>
    </row>
    <row r="30" spans="1:32" x14ac:dyDescent="0.25">
      <c r="A30" s="9" t="s">
        <v>862</v>
      </c>
      <c r="B30" s="10" t="s">
        <v>1054</v>
      </c>
      <c r="C30" s="1" t="s">
        <v>633</v>
      </c>
      <c r="D30" s="10">
        <v>2</v>
      </c>
      <c r="E30" s="10">
        <v>1999</v>
      </c>
      <c r="F30" s="9" t="s">
        <v>28</v>
      </c>
      <c r="G30" s="9" t="s">
        <v>29</v>
      </c>
      <c r="H30" s="1">
        <v>21.55</v>
      </c>
      <c r="I30" s="1">
        <v>2.2200000000000002</v>
      </c>
      <c r="J30" s="9" t="s">
        <v>39</v>
      </c>
      <c r="K30" s="1">
        <v>0</v>
      </c>
      <c r="L30" s="10">
        <v>24</v>
      </c>
      <c r="M30" s="3">
        <v>0.53</v>
      </c>
      <c r="N30" s="11">
        <v>2.2482817826086951E-2</v>
      </c>
      <c r="O30">
        <v>630</v>
      </c>
      <c r="P30" s="11">
        <v>0.59014515984118854</v>
      </c>
      <c r="Q30" s="11">
        <v>4.7619047619047623E-2</v>
      </c>
      <c r="R30">
        <v>0.53932640115708419</v>
      </c>
      <c r="S30">
        <v>2.1863528215329699E-2</v>
      </c>
      <c r="T30" s="9" t="s">
        <v>40</v>
      </c>
      <c r="U30" s="9" t="s">
        <v>50</v>
      </c>
      <c r="V30" s="9" t="s">
        <v>276</v>
      </c>
      <c r="W30" s="9" t="s">
        <v>30</v>
      </c>
      <c r="X30" s="9" t="s">
        <v>284</v>
      </c>
      <c r="Y30" s="1" t="s">
        <v>31</v>
      </c>
      <c r="Z30" s="1" t="s">
        <v>31</v>
      </c>
      <c r="AA30" s="3" t="s">
        <v>31</v>
      </c>
      <c r="AB30" s="11" t="s">
        <v>31</v>
      </c>
      <c r="AC30" s="11" t="s">
        <v>31</v>
      </c>
      <c r="AD30" s="10">
        <v>0</v>
      </c>
      <c r="AE30" s="9" t="s">
        <v>34</v>
      </c>
      <c r="AF30" s="9" t="s">
        <v>35</v>
      </c>
    </row>
    <row r="31" spans="1:32" x14ac:dyDescent="0.25">
      <c r="A31" s="9" t="s">
        <v>943</v>
      </c>
      <c r="B31" s="10" t="s">
        <v>113</v>
      </c>
      <c r="C31" s="1" t="s">
        <v>634</v>
      </c>
      <c r="D31" s="10">
        <v>2</v>
      </c>
      <c r="E31" s="10">
        <v>2000</v>
      </c>
      <c r="F31" s="9" t="s">
        <v>38</v>
      </c>
      <c r="G31" s="9" t="s">
        <v>54</v>
      </c>
      <c r="H31" s="1">
        <v>7.75</v>
      </c>
      <c r="I31" s="1" t="s">
        <v>31</v>
      </c>
      <c r="J31" s="9" t="s">
        <v>30</v>
      </c>
      <c r="K31" s="1">
        <v>0.73</v>
      </c>
      <c r="L31" s="10">
        <v>11</v>
      </c>
      <c r="M31" s="3">
        <v>-3.6999999999999998E-2</v>
      </c>
      <c r="N31" s="11">
        <v>9.9726387416100001E-2</v>
      </c>
      <c r="O31" t="s">
        <v>63</v>
      </c>
      <c r="P31" s="11">
        <v>-3.7016898215700873E-2</v>
      </c>
      <c r="Q31" s="11">
        <v>0.125</v>
      </c>
      <c r="R31">
        <v>-3.9724668911170553E-2</v>
      </c>
      <c r="S31">
        <v>9.9684639159945257E-2</v>
      </c>
      <c r="T31" s="9" t="s">
        <v>40</v>
      </c>
      <c r="U31" s="9" t="s">
        <v>31</v>
      </c>
      <c r="V31" s="9" t="s">
        <v>276</v>
      </c>
      <c r="W31" s="9" t="s">
        <v>30</v>
      </c>
      <c r="X31" s="9" t="s">
        <v>286</v>
      </c>
      <c r="Y31" s="1" t="s">
        <v>31</v>
      </c>
      <c r="Z31" s="1" t="s">
        <v>31</v>
      </c>
      <c r="AA31" s="3" t="s">
        <v>31</v>
      </c>
      <c r="AB31" s="11" t="s">
        <v>31</v>
      </c>
      <c r="AC31" s="11" t="s">
        <v>31</v>
      </c>
      <c r="AD31" s="10">
        <v>0</v>
      </c>
      <c r="AE31" s="9" t="s">
        <v>34</v>
      </c>
      <c r="AF31" s="9" t="s">
        <v>63</v>
      </c>
    </row>
    <row r="32" spans="1:32" x14ac:dyDescent="0.25">
      <c r="A32" s="9" t="s">
        <v>943</v>
      </c>
      <c r="B32" s="10" t="s">
        <v>116</v>
      </c>
      <c r="C32" s="1" t="s">
        <v>635</v>
      </c>
      <c r="D32" s="10">
        <v>2</v>
      </c>
      <c r="E32" s="10">
        <v>2000</v>
      </c>
      <c r="F32" s="9" t="s">
        <v>38</v>
      </c>
      <c r="G32" s="9" t="s">
        <v>54</v>
      </c>
      <c r="H32" s="1">
        <v>7.75</v>
      </c>
      <c r="I32" s="1" t="s">
        <v>31</v>
      </c>
      <c r="J32" s="9" t="s">
        <v>30</v>
      </c>
      <c r="K32" s="1">
        <v>0.38</v>
      </c>
      <c r="L32" s="10">
        <v>8</v>
      </c>
      <c r="M32" s="3">
        <v>0.57099999999999995</v>
      </c>
      <c r="N32" s="11">
        <v>6.4888676240142856E-2</v>
      </c>
      <c r="O32" t="s">
        <v>63</v>
      </c>
      <c r="P32" s="11">
        <v>0.64900535966380202</v>
      </c>
      <c r="Q32" s="11">
        <v>0.2</v>
      </c>
      <c r="R32">
        <v>0.61185451588498296</v>
      </c>
      <c r="S32">
        <v>5.5916852322872579E-2</v>
      </c>
      <c r="T32" s="9" t="s">
        <v>40</v>
      </c>
      <c r="U32" s="9" t="s">
        <v>31</v>
      </c>
      <c r="V32" s="9" t="s">
        <v>276</v>
      </c>
      <c r="W32" s="9" t="s">
        <v>30</v>
      </c>
      <c r="X32" s="9" t="s">
        <v>286</v>
      </c>
      <c r="Y32" s="1" t="s">
        <v>31</v>
      </c>
      <c r="Z32" s="1" t="s">
        <v>31</v>
      </c>
      <c r="AA32" s="3" t="s">
        <v>31</v>
      </c>
      <c r="AB32" s="11" t="s">
        <v>31</v>
      </c>
      <c r="AC32" s="11" t="s">
        <v>31</v>
      </c>
      <c r="AD32" s="10">
        <v>0</v>
      </c>
      <c r="AE32" s="9" t="s">
        <v>34</v>
      </c>
      <c r="AF32" s="9" t="s">
        <v>63</v>
      </c>
    </row>
    <row r="33" spans="1:32" x14ac:dyDescent="0.25">
      <c r="A33" s="9" t="s">
        <v>517</v>
      </c>
      <c r="B33" s="10" t="s">
        <v>137</v>
      </c>
      <c r="C33" s="1" t="s">
        <v>636</v>
      </c>
      <c r="D33" s="10">
        <v>2</v>
      </c>
      <c r="E33" s="10">
        <v>2000</v>
      </c>
      <c r="F33" s="9" t="s">
        <v>38</v>
      </c>
      <c r="G33" s="9" t="s">
        <v>29</v>
      </c>
      <c r="H33" s="1">
        <v>23.2</v>
      </c>
      <c r="I33" s="1">
        <v>5.0999999999999996</v>
      </c>
      <c r="J33" s="9" t="s">
        <v>39</v>
      </c>
      <c r="K33" s="1">
        <v>0</v>
      </c>
      <c r="L33" s="10">
        <v>36</v>
      </c>
      <c r="M33" s="3">
        <v>0.12</v>
      </c>
      <c r="N33" s="11">
        <v>2.7754496E-2</v>
      </c>
      <c r="O33">
        <v>4934</v>
      </c>
      <c r="P33" s="11">
        <v>0.1205810284084441</v>
      </c>
      <c r="Q33" s="11">
        <v>3.03030303030303E-2</v>
      </c>
      <c r="R33">
        <v>0.1218601957242859</v>
      </c>
      <c r="S33">
        <v>2.7729163004084411E-2</v>
      </c>
      <c r="T33" s="9" t="s">
        <v>40</v>
      </c>
      <c r="U33" s="9" t="s">
        <v>50</v>
      </c>
      <c r="V33" s="9" t="s">
        <v>276</v>
      </c>
      <c r="W33" s="9" t="s">
        <v>867</v>
      </c>
      <c r="X33" s="9" t="s">
        <v>875</v>
      </c>
      <c r="Y33" s="1" t="s">
        <v>31</v>
      </c>
      <c r="Z33" s="1" t="s">
        <v>31</v>
      </c>
      <c r="AA33" s="3" t="s">
        <v>31</v>
      </c>
      <c r="AB33" s="11" t="s">
        <v>31</v>
      </c>
      <c r="AC33" s="11" t="s">
        <v>31</v>
      </c>
      <c r="AD33" s="10">
        <v>2</v>
      </c>
      <c r="AE33" s="9" t="s">
        <v>41</v>
      </c>
      <c r="AF33" s="9" t="s">
        <v>35</v>
      </c>
    </row>
    <row r="34" spans="1:32" x14ac:dyDescent="0.25">
      <c r="A34" s="9" t="s">
        <v>94</v>
      </c>
      <c r="B34" s="10" t="s">
        <v>140</v>
      </c>
      <c r="C34" s="1" t="s">
        <v>637</v>
      </c>
      <c r="D34" s="10">
        <v>2</v>
      </c>
      <c r="E34" s="10">
        <v>2000</v>
      </c>
      <c r="F34" s="9" t="s">
        <v>38</v>
      </c>
      <c r="G34" s="9" t="s">
        <v>29</v>
      </c>
      <c r="H34" s="1">
        <v>24.97</v>
      </c>
      <c r="I34" s="1">
        <v>4.47</v>
      </c>
      <c r="J34" s="9" t="s">
        <v>43</v>
      </c>
      <c r="K34" s="1">
        <v>1</v>
      </c>
      <c r="L34" s="10">
        <v>68</v>
      </c>
      <c r="M34" s="3">
        <v>0.32900000000000001</v>
      </c>
      <c r="N34" s="11">
        <v>1.1869165881805969E-2</v>
      </c>
      <c r="O34">
        <v>1106</v>
      </c>
      <c r="P34" s="11">
        <v>0.34170646087078171</v>
      </c>
      <c r="Q34" s="11">
        <v>1.5384615384615391E-2</v>
      </c>
      <c r="R34">
        <v>0.33129199926012581</v>
      </c>
      <c r="S34">
        <v>1.1828914153844201E-2</v>
      </c>
      <c r="T34" s="9" t="s">
        <v>40</v>
      </c>
      <c r="U34" s="9" t="s">
        <v>50</v>
      </c>
      <c r="V34" s="9" t="s">
        <v>276</v>
      </c>
      <c r="W34" s="9" t="s">
        <v>30</v>
      </c>
      <c r="X34" s="9" t="s">
        <v>357</v>
      </c>
      <c r="Y34" s="1">
        <v>11.25</v>
      </c>
      <c r="Z34" s="1">
        <v>15</v>
      </c>
      <c r="AA34" s="3">
        <f t="shared" si="0"/>
        <v>0.75</v>
      </c>
      <c r="AB34" s="11">
        <v>0.42129125836142062</v>
      </c>
      <c r="AC34" s="11">
        <v>0.13728843647140829</v>
      </c>
      <c r="AD34" s="10">
        <v>0</v>
      </c>
      <c r="AE34" s="9" t="s">
        <v>41</v>
      </c>
      <c r="AF34" s="9" t="s">
        <v>35</v>
      </c>
    </row>
    <row r="35" spans="1:32" x14ac:dyDescent="0.25">
      <c r="A35" s="9" t="s">
        <v>851</v>
      </c>
      <c r="B35" s="10" t="s">
        <v>1055</v>
      </c>
      <c r="C35" s="1" t="s">
        <v>638</v>
      </c>
      <c r="D35" s="10">
        <v>2</v>
      </c>
      <c r="E35" s="10">
        <v>2001</v>
      </c>
      <c r="F35" s="9" t="s">
        <v>38</v>
      </c>
      <c r="G35" s="9" t="s">
        <v>29</v>
      </c>
      <c r="H35" s="1">
        <v>74.849999999999994</v>
      </c>
      <c r="I35" s="1">
        <v>4.95</v>
      </c>
      <c r="J35" s="9" t="s">
        <v>30</v>
      </c>
      <c r="K35" s="1">
        <v>0.38</v>
      </c>
      <c r="L35" s="10">
        <v>319</v>
      </c>
      <c r="M35" s="3">
        <v>-6.0999999999999999E-2</v>
      </c>
      <c r="N35" s="11">
        <v>3.1212951127075469E-3</v>
      </c>
      <c r="O35">
        <v>482</v>
      </c>
      <c r="P35" s="11">
        <v>-6.1075829702860088E-2</v>
      </c>
      <c r="Q35" s="11">
        <v>3.164556962025316E-3</v>
      </c>
      <c r="R35">
        <v>-6.1096538964485463E-2</v>
      </c>
      <c r="S35">
        <v>3.1212212564542701E-3</v>
      </c>
      <c r="T35" s="9" t="s">
        <v>40</v>
      </c>
      <c r="U35" s="9" t="s">
        <v>50</v>
      </c>
      <c r="V35" s="9" t="s">
        <v>276</v>
      </c>
      <c r="W35" s="9" t="s">
        <v>867</v>
      </c>
      <c r="X35" s="9" t="s">
        <v>362</v>
      </c>
      <c r="Y35" s="1">
        <v>9.4</v>
      </c>
      <c r="Z35" s="1" t="s">
        <v>31</v>
      </c>
      <c r="AA35" s="3" t="s">
        <v>31</v>
      </c>
      <c r="AB35" s="11" t="s">
        <v>31</v>
      </c>
      <c r="AC35" s="11" t="s">
        <v>31</v>
      </c>
      <c r="AD35" s="10">
        <v>5</v>
      </c>
      <c r="AE35" s="9" t="s">
        <v>34</v>
      </c>
      <c r="AF35" s="9" t="s">
        <v>35</v>
      </c>
    </row>
    <row r="36" spans="1:32" x14ac:dyDescent="0.25">
      <c r="A36" s="9" t="s">
        <v>518</v>
      </c>
      <c r="B36" s="10" t="s">
        <v>154</v>
      </c>
      <c r="C36" s="1" t="s">
        <v>639</v>
      </c>
      <c r="D36" s="10">
        <v>2</v>
      </c>
      <c r="E36" s="10">
        <v>2002</v>
      </c>
      <c r="F36" s="9" t="s">
        <v>28</v>
      </c>
      <c r="G36" s="9" t="s">
        <v>29</v>
      </c>
      <c r="H36" s="1">
        <v>18.8</v>
      </c>
      <c r="I36" s="1">
        <v>10</v>
      </c>
      <c r="J36" s="9" t="s">
        <v>30</v>
      </c>
      <c r="K36" s="1">
        <v>0.87</v>
      </c>
      <c r="L36" s="10">
        <v>67</v>
      </c>
      <c r="M36" s="3">
        <v>0.08</v>
      </c>
      <c r="N36" s="11">
        <v>1.4958196363636361E-2</v>
      </c>
      <c r="O36">
        <v>179</v>
      </c>
      <c r="P36" s="11">
        <v>8.0171325037589738E-2</v>
      </c>
      <c r="Q36" s="11">
        <v>1.5625E-2</v>
      </c>
      <c r="R36">
        <v>8.0633190846162869E-2</v>
      </c>
      <c r="S36">
        <v>1.4955134080604849E-2</v>
      </c>
      <c r="T36" s="9" t="s">
        <v>40</v>
      </c>
      <c r="U36" s="9" t="s">
        <v>50</v>
      </c>
      <c r="V36" s="9" t="s">
        <v>276</v>
      </c>
      <c r="W36" s="9" t="s">
        <v>31</v>
      </c>
      <c r="X36" s="9" t="s">
        <v>289</v>
      </c>
      <c r="Y36" s="1">
        <v>15.8</v>
      </c>
      <c r="Z36" s="1" t="s">
        <v>31</v>
      </c>
      <c r="AA36" s="3" t="s">
        <v>31</v>
      </c>
      <c r="AB36" s="11" t="s">
        <v>31</v>
      </c>
      <c r="AC36" s="11" t="s">
        <v>31</v>
      </c>
      <c r="AD36" s="10">
        <v>0</v>
      </c>
      <c r="AE36" s="9" t="s">
        <v>34</v>
      </c>
      <c r="AF36" s="9" t="s">
        <v>35</v>
      </c>
    </row>
    <row r="37" spans="1:32" x14ac:dyDescent="0.25">
      <c r="A37" s="9" t="s">
        <v>518</v>
      </c>
      <c r="B37" s="10" t="s">
        <v>146</v>
      </c>
      <c r="C37" s="1" t="s">
        <v>640</v>
      </c>
      <c r="D37" s="10">
        <v>2</v>
      </c>
      <c r="E37" s="10">
        <v>2002</v>
      </c>
      <c r="F37" s="9" t="s">
        <v>38</v>
      </c>
      <c r="G37" s="9" t="s">
        <v>29</v>
      </c>
      <c r="H37" s="1">
        <v>18.899999999999999</v>
      </c>
      <c r="I37" s="1">
        <v>10</v>
      </c>
      <c r="J37" s="9" t="s">
        <v>30</v>
      </c>
      <c r="K37" s="1">
        <v>0.92</v>
      </c>
      <c r="L37" s="10">
        <v>83</v>
      </c>
      <c r="M37" s="3">
        <v>-0.01</v>
      </c>
      <c r="N37" s="11">
        <v>1.2192683048780489E-2</v>
      </c>
      <c r="O37" s="4">
        <v>179</v>
      </c>
      <c r="P37" s="11">
        <v>-1.000033335333477E-2</v>
      </c>
      <c r="Q37" s="11">
        <v>1.2500000000000001E-2</v>
      </c>
      <c r="R37">
        <v>-1.006348361555846E-2</v>
      </c>
      <c r="S37">
        <v>1.2192651985992699E-2</v>
      </c>
      <c r="T37" s="9" t="s">
        <v>40</v>
      </c>
      <c r="U37" s="9" t="s">
        <v>50</v>
      </c>
      <c r="V37" s="9" t="s">
        <v>276</v>
      </c>
      <c r="W37" s="9" t="s">
        <v>31</v>
      </c>
      <c r="X37" s="9" t="s">
        <v>289</v>
      </c>
      <c r="Y37" s="1">
        <v>11.8</v>
      </c>
      <c r="Z37" s="1" t="s">
        <v>31</v>
      </c>
      <c r="AA37" s="3" t="s">
        <v>31</v>
      </c>
      <c r="AB37" s="11" t="s">
        <v>31</v>
      </c>
      <c r="AC37" s="11" t="s">
        <v>31</v>
      </c>
      <c r="AD37" s="10">
        <v>0</v>
      </c>
      <c r="AE37" s="9" t="s">
        <v>34</v>
      </c>
      <c r="AF37" s="9" t="s">
        <v>35</v>
      </c>
    </row>
    <row r="38" spans="1:32" x14ac:dyDescent="0.25">
      <c r="A38" s="9" t="s">
        <v>863</v>
      </c>
      <c r="B38" s="10" t="s">
        <v>158</v>
      </c>
      <c r="C38" s="1" t="s">
        <v>641</v>
      </c>
      <c r="D38" s="10">
        <v>2</v>
      </c>
      <c r="E38" s="10">
        <v>2002</v>
      </c>
      <c r="F38" s="9" t="s">
        <v>38</v>
      </c>
      <c r="G38" s="9" t="s">
        <v>29</v>
      </c>
      <c r="H38" s="1">
        <v>67.8</v>
      </c>
      <c r="I38" s="1" t="s">
        <v>31</v>
      </c>
      <c r="J38" s="9" t="s">
        <v>43</v>
      </c>
      <c r="K38" s="1">
        <v>1</v>
      </c>
      <c r="L38" s="10">
        <v>97</v>
      </c>
      <c r="M38" s="3">
        <v>0.30399999999999999</v>
      </c>
      <c r="N38" s="11">
        <v>8.580299135999999E-3</v>
      </c>
      <c r="O38">
        <v>172</v>
      </c>
      <c r="P38" s="11">
        <v>0.31392104107608942</v>
      </c>
      <c r="Q38" s="11">
        <v>1.063829787234043E-2</v>
      </c>
      <c r="R38">
        <v>0.3054839420739191</v>
      </c>
      <c r="S38">
        <v>8.5632065268741366E-3</v>
      </c>
      <c r="T38" s="9" t="s">
        <v>40</v>
      </c>
      <c r="U38" s="9" t="s">
        <v>46</v>
      </c>
      <c r="V38" s="9" t="s">
        <v>276</v>
      </c>
      <c r="W38" s="9" t="s">
        <v>867</v>
      </c>
      <c r="X38" s="9" t="s">
        <v>288</v>
      </c>
      <c r="Y38" s="1" t="s">
        <v>31</v>
      </c>
      <c r="Z38" s="1" t="s">
        <v>31</v>
      </c>
      <c r="AA38" s="3" t="s">
        <v>31</v>
      </c>
      <c r="AB38" s="11" t="s">
        <v>31</v>
      </c>
      <c r="AC38" s="11" t="s">
        <v>31</v>
      </c>
      <c r="AD38" s="10">
        <v>0</v>
      </c>
      <c r="AE38" s="9" t="s">
        <v>41</v>
      </c>
      <c r="AF38" s="9" t="s">
        <v>35</v>
      </c>
    </row>
    <row r="39" spans="1:32" x14ac:dyDescent="0.25">
      <c r="A39" s="9" t="s">
        <v>136</v>
      </c>
      <c r="B39" s="10" t="s">
        <v>170</v>
      </c>
      <c r="C39" s="1" t="s">
        <v>642</v>
      </c>
      <c r="D39" s="10">
        <v>2</v>
      </c>
      <c r="E39" s="10">
        <v>2003</v>
      </c>
      <c r="F39" s="9" t="s">
        <v>28</v>
      </c>
      <c r="G39" s="9" t="s">
        <v>54</v>
      </c>
      <c r="H39" s="1">
        <v>16.8</v>
      </c>
      <c r="I39" s="1">
        <v>1.4</v>
      </c>
      <c r="J39" s="9" t="s">
        <v>30</v>
      </c>
      <c r="K39" s="1">
        <v>0.67</v>
      </c>
      <c r="L39" s="10">
        <v>32</v>
      </c>
      <c r="M39" s="3">
        <v>-0.27900000000000003</v>
      </c>
      <c r="N39" s="11">
        <v>2.743152326712903E-2</v>
      </c>
      <c r="O39" t="s">
        <v>63</v>
      </c>
      <c r="P39" s="11">
        <v>-0.28659733214694683</v>
      </c>
      <c r="Q39" s="11">
        <v>3.4482758620689662E-2</v>
      </c>
      <c r="R39">
        <v>-0.28360370344984559</v>
      </c>
      <c r="S39">
        <v>2.7277646267418999E-2</v>
      </c>
      <c r="T39" s="9" t="s">
        <v>40</v>
      </c>
      <c r="U39" s="9" t="s">
        <v>50</v>
      </c>
      <c r="V39" s="9" t="s">
        <v>276</v>
      </c>
      <c r="W39" s="9" t="s">
        <v>30</v>
      </c>
      <c r="X39" s="9" t="s">
        <v>363</v>
      </c>
      <c r="Y39" s="1" t="s">
        <v>31</v>
      </c>
      <c r="Z39" s="1" t="s">
        <v>31</v>
      </c>
      <c r="AA39" s="3" t="s">
        <v>31</v>
      </c>
      <c r="AB39" s="11" t="s">
        <v>31</v>
      </c>
      <c r="AC39" s="11" t="s">
        <v>31</v>
      </c>
      <c r="AD39" s="10">
        <v>0</v>
      </c>
      <c r="AE39" s="9" t="s">
        <v>34</v>
      </c>
      <c r="AF39" s="9" t="s">
        <v>63</v>
      </c>
    </row>
    <row r="40" spans="1:32" x14ac:dyDescent="0.25">
      <c r="A40" s="9" t="s">
        <v>136</v>
      </c>
      <c r="B40" s="10" t="s">
        <v>166</v>
      </c>
      <c r="C40" s="1" t="s">
        <v>643</v>
      </c>
      <c r="D40" s="10">
        <v>2</v>
      </c>
      <c r="E40" s="10">
        <v>2003</v>
      </c>
      <c r="F40" s="9" t="s">
        <v>38</v>
      </c>
      <c r="G40" s="9" t="s">
        <v>54</v>
      </c>
      <c r="H40" s="1">
        <v>16.399999999999999</v>
      </c>
      <c r="I40" s="1">
        <v>1.7</v>
      </c>
      <c r="J40" s="9" t="s">
        <v>30</v>
      </c>
      <c r="K40" s="1">
        <v>0.6</v>
      </c>
      <c r="L40" s="10">
        <v>22</v>
      </c>
      <c r="M40" s="3">
        <v>-8.6999999999999994E-2</v>
      </c>
      <c r="N40" s="11">
        <v>4.6900918560047612E-2</v>
      </c>
      <c r="O40" t="s">
        <v>63</v>
      </c>
      <c r="P40" s="11">
        <v>-8.7220503263120447E-2</v>
      </c>
      <c r="Q40" s="11">
        <v>5.2631578947368418E-2</v>
      </c>
      <c r="R40">
        <v>-8.9428139101209614E-2</v>
      </c>
      <c r="S40">
        <v>4.6860436864457157E-2</v>
      </c>
      <c r="T40" s="9" t="s">
        <v>40</v>
      </c>
      <c r="U40" s="9" t="s">
        <v>50</v>
      </c>
      <c r="V40" s="9" t="s">
        <v>276</v>
      </c>
      <c r="W40" s="9" t="s">
        <v>30</v>
      </c>
      <c r="X40" s="9" t="s">
        <v>363</v>
      </c>
      <c r="Y40" s="1" t="s">
        <v>31</v>
      </c>
      <c r="Z40" s="1" t="s">
        <v>31</v>
      </c>
      <c r="AA40" s="3" t="s">
        <v>31</v>
      </c>
      <c r="AB40" s="11" t="s">
        <v>31</v>
      </c>
      <c r="AC40" s="11" t="s">
        <v>31</v>
      </c>
      <c r="AD40" s="10">
        <v>0</v>
      </c>
      <c r="AE40" s="9" t="s">
        <v>34</v>
      </c>
      <c r="AF40" s="9" t="s">
        <v>63</v>
      </c>
    </row>
    <row r="41" spans="1:32" x14ac:dyDescent="0.25">
      <c r="A41" s="9" t="s">
        <v>521</v>
      </c>
      <c r="B41" s="10" t="s">
        <v>190</v>
      </c>
      <c r="C41" s="1" t="s">
        <v>644</v>
      </c>
      <c r="D41" s="10">
        <v>2</v>
      </c>
      <c r="E41" s="10">
        <v>2003</v>
      </c>
      <c r="F41" s="9" t="s">
        <v>28</v>
      </c>
      <c r="G41" s="9" t="s">
        <v>29</v>
      </c>
      <c r="H41" s="1">
        <v>26.16</v>
      </c>
      <c r="I41" s="1">
        <v>8.8000000000000007</v>
      </c>
      <c r="J41" s="9" t="s">
        <v>30</v>
      </c>
      <c r="K41" s="1">
        <v>0.52</v>
      </c>
      <c r="L41" s="10">
        <v>25</v>
      </c>
      <c r="M41" s="3">
        <v>0.56999999999999995</v>
      </c>
      <c r="N41" s="11">
        <v>1.899000041666667E-2</v>
      </c>
      <c r="O41">
        <v>157</v>
      </c>
      <c r="P41" s="11">
        <v>0.64752284482737277</v>
      </c>
      <c r="Q41" s="11">
        <v>4.5454545454545463E-2</v>
      </c>
      <c r="R41">
        <v>0.57893583769421109</v>
      </c>
      <c r="S41">
        <v>1.841680463535712E-2</v>
      </c>
      <c r="T41" s="9" t="s">
        <v>40</v>
      </c>
      <c r="U41" s="9" t="s">
        <v>46</v>
      </c>
      <c r="V41" s="9" t="s">
        <v>276</v>
      </c>
      <c r="W41" s="9" t="s">
        <v>30</v>
      </c>
      <c r="X41" s="9" t="s">
        <v>291</v>
      </c>
      <c r="Y41" s="1" t="s">
        <v>31</v>
      </c>
      <c r="Z41" s="1" t="s">
        <v>31</v>
      </c>
      <c r="AA41" s="3" t="s">
        <v>31</v>
      </c>
      <c r="AB41" s="11" t="s">
        <v>31</v>
      </c>
      <c r="AC41" s="11" t="s">
        <v>31</v>
      </c>
      <c r="AD41" s="10">
        <v>0</v>
      </c>
      <c r="AE41" s="9" t="s">
        <v>41</v>
      </c>
      <c r="AF41" s="9" t="s">
        <v>35</v>
      </c>
    </row>
    <row r="42" spans="1:32" x14ac:dyDescent="0.25">
      <c r="A42" s="9" t="s">
        <v>522</v>
      </c>
      <c r="B42" s="10" t="s">
        <v>193</v>
      </c>
      <c r="C42" s="1" t="s">
        <v>645</v>
      </c>
      <c r="D42" s="10">
        <v>2</v>
      </c>
      <c r="E42" s="10">
        <v>2003</v>
      </c>
      <c r="F42" s="9" t="s">
        <v>38</v>
      </c>
      <c r="G42" s="9" t="s">
        <v>54</v>
      </c>
      <c r="H42" s="1">
        <v>14.6</v>
      </c>
      <c r="I42" s="1">
        <v>1.5</v>
      </c>
      <c r="J42" s="9" t="s">
        <v>39</v>
      </c>
      <c r="K42" s="1">
        <v>0</v>
      </c>
      <c r="L42" s="10">
        <v>24</v>
      </c>
      <c r="M42" s="3">
        <v>0.17</v>
      </c>
      <c r="N42" s="11">
        <v>4.1001530869565213E-2</v>
      </c>
      <c r="O42">
        <v>10</v>
      </c>
      <c r="P42" s="11">
        <v>0.1716666635005791</v>
      </c>
      <c r="Q42" s="11">
        <v>4.7619047619047623E-2</v>
      </c>
      <c r="R42">
        <v>0.17416239850844531</v>
      </c>
      <c r="S42">
        <v>4.0880651345146797E-2</v>
      </c>
      <c r="T42" s="9" t="s">
        <v>40</v>
      </c>
      <c r="U42" s="9" t="s">
        <v>50</v>
      </c>
      <c r="V42" s="9" t="s">
        <v>276</v>
      </c>
      <c r="W42" s="9" t="s">
        <v>867</v>
      </c>
      <c r="X42" s="9" t="s">
        <v>292</v>
      </c>
      <c r="Y42" s="1" t="s">
        <v>31</v>
      </c>
      <c r="Z42" s="1" t="s">
        <v>31</v>
      </c>
      <c r="AA42" s="3" t="s">
        <v>31</v>
      </c>
      <c r="AB42" s="11" t="s">
        <v>31</v>
      </c>
      <c r="AC42" s="11" t="s">
        <v>31</v>
      </c>
      <c r="AD42" s="10">
        <v>0</v>
      </c>
      <c r="AE42" s="9" t="s">
        <v>41</v>
      </c>
      <c r="AF42" s="9" t="s">
        <v>35</v>
      </c>
    </row>
    <row r="43" spans="1:32" x14ac:dyDescent="0.25">
      <c r="A43" s="9" t="s">
        <v>522</v>
      </c>
      <c r="B43" s="10" t="s">
        <v>198</v>
      </c>
      <c r="C43" s="1" t="s">
        <v>646</v>
      </c>
      <c r="D43" s="10">
        <v>2</v>
      </c>
      <c r="E43" s="10">
        <v>2003</v>
      </c>
      <c r="F43" s="9" t="s">
        <v>38</v>
      </c>
      <c r="G43" s="9" t="s">
        <v>54</v>
      </c>
      <c r="H43" s="1">
        <v>14.5</v>
      </c>
      <c r="I43" s="1">
        <v>1.6</v>
      </c>
      <c r="J43" s="9" t="s">
        <v>43</v>
      </c>
      <c r="K43" s="1">
        <v>1</v>
      </c>
      <c r="L43" s="10">
        <v>13</v>
      </c>
      <c r="M43" s="3">
        <v>0.19</v>
      </c>
      <c r="N43" s="11">
        <v>7.7425267499999992E-2</v>
      </c>
      <c r="O43">
        <v>10</v>
      </c>
      <c r="P43" s="11">
        <v>0.1923371692195453</v>
      </c>
      <c r="Q43" s="11">
        <v>0.1</v>
      </c>
      <c r="R43">
        <v>0.20032182474331031</v>
      </c>
      <c r="S43">
        <v>7.677938802821356E-2</v>
      </c>
      <c r="T43" s="9" t="s">
        <v>40</v>
      </c>
      <c r="U43" s="9" t="s">
        <v>50</v>
      </c>
      <c r="V43" s="9" t="s">
        <v>276</v>
      </c>
      <c r="W43" s="9" t="s">
        <v>867</v>
      </c>
      <c r="X43" s="9" t="s">
        <v>292</v>
      </c>
      <c r="Y43" s="1" t="s">
        <v>31</v>
      </c>
      <c r="Z43" s="1" t="s">
        <v>31</v>
      </c>
      <c r="AA43" s="3" t="s">
        <v>31</v>
      </c>
      <c r="AB43" s="11" t="s">
        <v>31</v>
      </c>
      <c r="AC43" s="11" t="s">
        <v>31</v>
      </c>
      <c r="AD43" s="10">
        <v>0</v>
      </c>
      <c r="AE43" s="9" t="s">
        <v>41</v>
      </c>
      <c r="AF43" s="9" t="s">
        <v>35</v>
      </c>
    </row>
    <row r="44" spans="1:32" x14ac:dyDescent="0.25">
      <c r="A44" s="9" t="s">
        <v>522</v>
      </c>
      <c r="B44" s="10" t="s">
        <v>193</v>
      </c>
      <c r="C44" s="1" t="s">
        <v>647</v>
      </c>
      <c r="D44" s="10">
        <v>3</v>
      </c>
      <c r="E44" s="10">
        <v>2003</v>
      </c>
      <c r="F44" s="9" t="s">
        <v>38</v>
      </c>
      <c r="G44" s="9" t="s">
        <v>54</v>
      </c>
      <c r="H44" s="1">
        <v>14.6</v>
      </c>
      <c r="I44" s="1">
        <v>1.5</v>
      </c>
      <c r="J44" s="9" t="s">
        <v>39</v>
      </c>
      <c r="K44" s="1">
        <v>0</v>
      </c>
      <c r="L44" s="10">
        <v>24</v>
      </c>
      <c r="M44" s="3">
        <v>0.19</v>
      </c>
      <c r="N44" s="11">
        <v>4.0395791739130431E-2</v>
      </c>
      <c r="O44">
        <v>10</v>
      </c>
      <c r="P44" s="11">
        <v>0.1923371692195453</v>
      </c>
      <c r="Q44" s="11">
        <v>4.7619047619047623E-2</v>
      </c>
      <c r="R44">
        <v>0.19461348193755071</v>
      </c>
      <c r="S44">
        <v>4.0247202436023463E-2</v>
      </c>
      <c r="T44" s="9" t="s">
        <v>40</v>
      </c>
      <c r="U44" s="9" t="s">
        <v>50</v>
      </c>
      <c r="V44" s="9" t="s">
        <v>276</v>
      </c>
      <c r="W44" s="9" t="s">
        <v>868</v>
      </c>
      <c r="X44" s="9" t="s">
        <v>877</v>
      </c>
      <c r="Y44" s="1" t="s">
        <v>31</v>
      </c>
      <c r="Z44" s="1" t="s">
        <v>31</v>
      </c>
      <c r="AA44" s="3" t="s">
        <v>31</v>
      </c>
      <c r="AB44" s="11" t="s">
        <v>31</v>
      </c>
      <c r="AC44" s="11" t="s">
        <v>31</v>
      </c>
      <c r="AD44" s="10">
        <v>0</v>
      </c>
      <c r="AE44" s="9" t="s">
        <v>41</v>
      </c>
      <c r="AF44" s="9" t="s">
        <v>35</v>
      </c>
    </row>
    <row r="45" spans="1:32" x14ac:dyDescent="0.25">
      <c r="A45" s="9" t="s">
        <v>522</v>
      </c>
      <c r="B45" s="10" t="s">
        <v>198</v>
      </c>
      <c r="C45" s="1" t="s">
        <v>648</v>
      </c>
      <c r="D45" s="10">
        <v>3</v>
      </c>
      <c r="E45" s="10">
        <v>2003</v>
      </c>
      <c r="F45" s="9" t="s">
        <v>38</v>
      </c>
      <c r="G45" s="9" t="s">
        <v>54</v>
      </c>
      <c r="H45" s="1">
        <v>14.5</v>
      </c>
      <c r="I45" s="1">
        <v>1.6</v>
      </c>
      <c r="J45" s="9" t="s">
        <v>43</v>
      </c>
      <c r="K45" s="1">
        <v>1</v>
      </c>
      <c r="L45" s="10">
        <v>13</v>
      </c>
      <c r="M45" s="3">
        <v>0.55000000000000004</v>
      </c>
      <c r="N45" s="11">
        <v>4.05421875E-2</v>
      </c>
      <c r="O45">
        <v>10</v>
      </c>
      <c r="P45" s="11">
        <v>0.61838131357446358</v>
      </c>
      <c r="Q45" s="11">
        <v>0.1</v>
      </c>
      <c r="R45">
        <v>0.57009991834577001</v>
      </c>
      <c r="S45">
        <v>3.7967184365131468E-2</v>
      </c>
      <c r="T45" s="9" t="s">
        <v>40</v>
      </c>
      <c r="U45" s="9" t="s">
        <v>50</v>
      </c>
      <c r="V45" s="9" t="s">
        <v>276</v>
      </c>
      <c r="W45" s="9" t="s">
        <v>868</v>
      </c>
      <c r="X45" s="9" t="s">
        <v>877</v>
      </c>
      <c r="Y45" s="1" t="s">
        <v>31</v>
      </c>
      <c r="Z45" s="1" t="s">
        <v>31</v>
      </c>
      <c r="AA45" s="3" t="s">
        <v>31</v>
      </c>
      <c r="AB45" s="11" t="s">
        <v>31</v>
      </c>
      <c r="AC45" s="11" t="s">
        <v>31</v>
      </c>
      <c r="AD45" s="10">
        <v>0</v>
      </c>
      <c r="AE45" s="9" t="s">
        <v>41</v>
      </c>
      <c r="AF45" s="9" t="s">
        <v>35</v>
      </c>
    </row>
    <row r="46" spans="1:32" x14ac:dyDescent="0.25">
      <c r="A46" s="9" t="s">
        <v>148</v>
      </c>
      <c r="B46" s="10" t="s">
        <v>204</v>
      </c>
      <c r="C46" s="1" t="s">
        <v>649</v>
      </c>
      <c r="D46" s="10">
        <v>2</v>
      </c>
      <c r="E46" s="10">
        <v>2004</v>
      </c>
      <c r="F46" s="9" t="s">
        <v>38</v>
      </c>
      <c r="G46" s="9" t="s">
        <v>54</v>
      </c>
      <c r="H46" s="1">
        <v>15.6</v>
      </c>
      <c r="I46" s="1" t="s">
        <v>31</v>
      </c>
      <c r="J46" s="9" t="s">
        <v>39</v>
      </c>
      <c r="K46" s="1">
        <v>0</v>
      </c>
      <c r="L46" s="10">
        <v>38</v>
      </c>
      <c r="M46" s="3">
        <v>0.19700000000000001</v>
      </c>
      <c r="N46" s="11">
        <v>2.4969949688675681E-2</v>
      </c>
      <c r="O46" t="s">
        <v>63</v>
      </c>
      <c r="P46" s="11">
        <v>0.1996094958056058</v>
      </c>
      <c r="Q46" s="11">
        <v>2.8571428571428571E-2</v>
      </c>
      <c r="R46">
        <v>0.1997971645105398</v>
      </c>
      <c r="S46">
        <v>2.4912316357807999E-2</v>
      </c>
      <c r="T46" s="9" t="s">
        <v>40</v>
      </c>
      <c r="U46" s="9" t="s">
        <v>31</v>
      </c>
      <c r="V46" s="9" t="s">
        <v>276</v>
      </c>
      <c r="W46" s="9" t="s">
        <v>30</v>
      </c>
      <c r="X46" s="9" t="s">
        <v>293</v>
      </c>
      <c r="Y46" s="1" t="s">
        <v>31</v>
      </c>
      <c r="Z46" s="1" t="s">
        <v>31</v>
      </c>
      <c r="AA46" s="3" t="s">
        <v>31</v>
      </c>
      <c r="AB46" s="11" t="s">
        <v>31</v>
      </c>
      <c r="AC46" s="11" t="s">
        <v>31</v>
      </c>
      <c r="AD46" s="10">
        <v>0</v>
      </c>
      <c r="AE46" s="9" t="s">
        <v>34</v>
      </c>
      <c r="AF46" s="9" t="s">
        <v>63</v>
      </c>
    </row>
    <row r="47" spans="1:32" x14ac:dyDescent="0.25">
      <c r="A47" s="9" t="s">
        <v>142</v>
      </c>
      <c r="B47" s="10" t="s">
        <v>214</v>
      </c>
      <c r="C47" s="1" t="s">
        <v>650</v>
      </c>
      <c r="D47" s="10">
        <v>2</v>
      </c>
      <c r="E47" s="10">
        <v>2004</v>
      </c>
      <c r="F47" s="9" t="s">
        <v>38</v>
      </c>
      <c r="G47" s="9" t="s">
        <v>54</v>
      </c>
      <c r="H47" s="1">
        <v>18</v>
      </c>
      <c r="I47" s="1">
        <v>0.9</v>
      </c>
      <c r="J47" s="9" t="s">
        <v>39</v>
      </c>
      <c r="K47" s="1">
        <v>0</v>
      </c>
      <c r="L47" s="10">
        <v>49</v>
      </c>
      <c r="M47" s="3">
        <v>0.33100000000000002</v>
      </c>
      <c r="N47" s="11">
        <v>1.6518366931687501E-2</v>
      </c>
      <c r="O47">
        <v>471</v>
      </c>
      <c r="P47" s="11">
        <v>0.34395087913344158</v>
      </c>
      <c r="Q47" s="11">
        <v>2.1739130434782612E-2</v>
      </c>
      <c r="R47">
        <v>0.33427412052319921</v>
      </c>
      <c r="S47">
        <v>1.643765147403986E-2</v>
      </c>
      <c r="T47" s="9" t="s">
        <v>40</v>
      </c>
      <c r="U47" s="9" t="s">
        <v>50</v>
      </c>
      <c r="V47" s="9" t="s">
        <v>276</v>
      </c>
      <c r="W47" s="9" t="s">
        <v>30</v>
      </c>
      <c r="X47" s="9" t="s">
        <v>278</v>
      </c>
      <c r="Y47" s="1">
        <v>18</v>
      </c>
      <c r="Z47" s="1">
        <v>15</v>
      </c>
      <c r="AA47" s="3">
        <f t="shared" si="0"/>
        <v>1.2</v>
      </c>
      <c r="AB47" s="11">
        <v>0.28056962059160651</v>
      </c>
      <c r="AC47" s="11">
        <v>0.1207128776285855</v>
      </c>
      <c r="AD47" s="10">
        <v>0</v>
      </c>
      <c r="AE47" s="9" t="s">
        <v>41</v>
      </c>
      <c r="AF47" s="9" t="s">
        <v>35</v>
      </c>
    </row>
    <row r="48" spans="1:32" x14ac:dyDescent="0.25">
      <c r="A48" s="9" t="s">
        <v>142</v>
      </c>
      <c r="B48" s="10" t="s">
        <v>216</v>
      </c>
      <c r="C48" s="1" t="s">
        <v>651</v>
      </c>
      <c r="D48" s="10">
        <v>2</v>
      </c>
      <c r="E48" s="10">
        <v>2004</v>
      </c>
      <c r="F48" s="9" t="s">
        <v>38</v>
      </c>
      <c r="G48" s="9" t="s">
        <v>54</v>
      </c>
      <c r="H48" s="1">
        <v>18</v>
      </c>
      <c r="I48" s="1">
        <v>0.9</v>
      </c>
      <c r="J48" s="9" t="s">
        <v>43</v>
      </c>
      <c r="K48" s="1">
        <v>1</v>
      </c>
      <c r="L48" s="10">
        <v>47</v>
      </c>
      <c r="M48" s="3">
        <v>0.55200000000000005</v>
      </c>
      <c r="N48" s="11">
        <v>1.050948973078261E-2</v>
      </c>
      <c r="O48">
        <v>471</v>
      </c>
      <c r="P48" s="11">
        <v>0.62125323416408951</v>
      </c>
      <c r="Q48" s="11">
        <v>2.2727272727272731E-2</v>
      </c>
      <c r="R48">
        <v>0.55641560610119034</v>
      </c>
      <c r="S48">
        <v>1.0362053706033729E-2</v>
      </c>
      <c r="T48" s="9" t="s">
        <v>40</v>
      </c>
      <c r="U48" s="9" t="s">
        <v>50</v>
      </c>
      <c r="V48" s="9" t="s">
        <v>276</v>
      </c>
      <c r="W48" s="9" t="s">
        <v>30</v>
      </c>
      <c r="X48" s="9" t="s">
        <v>278</v>
      </c>
      <c r="Y48" s="1">
        <v>19.5</v>
      </c>
      <c r="Z48" s="1">
        <v>15</v>
      </c>
      <c r="AA48" s="3">
        <f t="shared" si="0"/>
        <v>1.3</v>
      </c>
      <c r="AB48" s="11">
        <v>0.45377888243851189</v>
      </c>
      <c r="AC48" s="11">
        <v>0.1167027053049589</v>
      </c>
      <c r="AD48" s="10">
        <v>0</v>
      </c>
      <c r="AE48" s="9" t="s">
        <v>41</v>
      </c>
      <c r="AF48" s="9" t="s">
        <v>35</v>
      </c>
    </row>
    <row r="49" spans="1:32" x14ac:dyDescent="0.25">
      <c r="A49" s="9" t="s">
        <v>157</v>
      </c>
      <c r="B49" s="10" t="s">
        <v>221</v>
      </c>
      <c r="C49" s="1" t="s">
        <v>652</v>
      </c>
      <c r="D49" s="10">
        <v>2</v>
      </c>
      <c r="E49" s="10">
        <v>2004</v>
      </c>
      <c r="F49" s="9" t="s">
        <v>28</v>
      </c>
      <c r="G49" s="9" t="s">
        <v>29</v>
      </c>
      <c r="H49" s="1">
        <v>30.3</v>
      </c>
      <c r="I49" s="1">
        <v>9.1</v>
      </c>
      <c r="J49" s="9" t="s">
        <v>30</v>
      </c>
      <c r="K49" s="1">
        <v>0.87</v>
      </c>
      <c r="L49" s="10">
        <v>15</v>
      </c>
      <c r="M49" s="3">
        <v>0.3</v>
      </c>
      <c r="N49" s="11">
        <v>5.9150000000000001E-2</v>
      </c>
      <c r="O49" t="s">
        <v>63</v>
      </c>
      <c r="P49" s="11">
        <v>0.30951960420311181</v>
      </c>
      <c r="Q49" s="11">
        <v>8.3333333333333329E-2</v>
      </c>
      <c r="R49">
        <v>0.31240436369494651</v>
      </c>
      <c r="S49">
        <v>5.8166578661228437E-2</v>
      </c>
      <c r="T49" s="9" t="s">
        <v>40</v>
      </c>
      <c r="U49" s="9" t="s">
        <v>50</v>
      </c>
      <c r="V49" s="9" t="s">
        <v>276</v>
      </c>
      <c r="W49" s="9" t="s">
        <v>30</v>
      </c>
      <c r="X49" s="9" t="s">
        <v>365</v>
      </c>
      <c r="Y49" s="1" t="s">
        <v>31</v>
      </c>
      <c r="Z49" s="1" t="s">
        <v>31</v>
      </c>
      <c r="AA49" s="3" t="s">
        <v>31</v>
      </c>
      <c r="AB49" s="11" t="s">
        <v>31</v>
      </c>
      <c r="AC49" s="11" t="s">
        <v>31</v>
      </c>
      <c r="AD49" s="10">
        <v>0</v>
      </c>
      <c r="AE49" s="9" t="s">
        <v>34</v>
      </c>
      <c r="AF49" s="9" t="s">
        <v>63</v>
      </c>
    </row>
    <row r="50" spans="1:32" x14ac:dyDescent="0.25">
      <c r="A50" s="9" t="s">
        <v>157</v>
      </c>
      <c r="B50" s="10" t="s">
        <v>218</v>
      </c>
      <c r="C50" s="1" t="s">
        <v>653</v>
      </c>
      <c r="D50" s="10">
        <v>2</v>
      </c>
      <c r="E50" s="10">
        <v>2004</v>
      </c>
      <c r="F50" s="9" t="s">
        <v>38</v>
      </c>
      <c r="G50" s="9" t="s">
        <v>29</v>
      </c>
      <c r="H50" s="1">
        <v>43.62</v>
      </c>
      <c r="I50" s="1">
        <v>4.3099999999999996</v>
      </c>
      <c r="J50" s="9" t="s">
        <v>30</v>
      </c>
      <c r="K50" s="1">
        <v>0.47</v>
      </c>
      <c r="L50" s="10">
        <v>17</v>
      </c>
      <c r="M50" s="3">
        <v>0.19</v>
      </c>
      <c r="N50" s="11">
        <v>5.8068950624999997E-2</v>
      </c>
      <c r="O50" t="s">
        <v>63</v>
      </c>
      <c r="P50" s="11">
        <v>0.1923371692195453</v>
      </c>
      <c r="Q50" s="11">
        <v>7.1428571428571425E-2</v>
      </c>
      <c r="R50">
        <v>0.19712148534719759</v>
      </c>
      <c r="S50">
        <v>5.7737256071952223E-2</v>
      </c>
      <c r="T50" s="9" t="s">
        <v>40</v>
      </c>
      <c r="U50" s="9" t="s">
        <v>50</v>
      </c>
      <c r="V50" s="9" t="s">
        <v>276</v>
      </c>
      <c r="W50" s="9" t="s">
        <v>30</v>
      </c>
      <c r="X50" s="9" t="s">
        <v>365</v>
      </c>
      <c r="Y50" s="1" t="s">
        <v>31</v>
      </c>
      <c r="Z50" s="1" t="s">
        <v>31</v>
      </c>
      <c r="AA50" s="3" t="s">
        <v>31</v>
      </c>
      <c r="AB50" s="11" t="s">
        <v>31</v>
      </c>
      <c r="AC50" s="11" t="s">
        <v>31</v>
      </c>
      <c r="AD50" s="10">
        <v>0</v>
      </c>
      <c r="AE50" s="9" t="s">
        <v>34</v>
      </c>
      <c r="AF50" s="9" t="s">
        <v>63</v>
      </c>
    </row>
    <row r="51" spans="1:32" x14ac:dyDescent="0.25">
      <c r="A51" s="9" t="s">
        <v>524</v>
      </c>
      <c r="B51" s="10" t="s">
        <v>225</v>
      </c>
      <c r="C51" s="1" t="s">
        <v>654</v>
      </c>
      <c r="D51" s="10">
        <v>2</v>
      </c>
      <c r="E51" s="10">
        <v>2004</v>
      </c>
      <c r="F51" s="9" t="s">
        <v>28</v>
      </c>
      <c r="G51" s="9" t="s">
        <v>29</v>
      </c>
      <c r="H51" s="1">
        <v>42.23</v>
      </c>
      <c r="I51" s="1">
        <v>12.94</v>
      </c>
      <c r="J51" s="9" t="s">
        <v>30</v>
      </c>
      <c r="K51" s="1">
        <v>0.5</v>
      </c>
      <c r="L51" s="10">
        <v>201</v>
      </c>
      <c r="M51" s="3">
        <v>0.28000000000000003</v>
      </c>
      <c r="N51" s="11">
        <v>4.2467327999999999E-3</v>
      </c>
      <c r="O51">
        <v>72</v>
      </c>
      <c r="P51" s="11">
        <v>0.28768207245178101</v>
      </c>
      <c r="Q51" s="11">
        <v>5.0505050505050509E-3</v>
      </c>
      <c r="R51">
        <v>0.28065518072246393</v>
      </c>
      <c r="S51">
        <v>4.2433481570803948E-3</v>
      </c>
      <c r="T51" s="9" t="s">
        <v>40</v>
      </c>
      <c r="U51" s="9" t="s">
        <v>50</v>
      </c>
      <c r="V51" s="9" t="s">
        <v>276</v>
      </c>
      <c r="W51" s="9" t="s">
        <v>30</v>
      </c>
      <c r="X51" s="9" t="s">
        <v>278</v>
      </c>
      <c r="Y51" s="1" t="s">
        <v>31</v>
      </c>
      <c r="Z51" s="1" t="s">
        <v>31</v>
      </c>
      <c r="AA51" s="3" t="s">
        <v>31</v>
      </c>
      <c r="AB51" s="11" t="s">
        <v>31</v>
      </c>
      <c r="AC51" s="11" t="s">
        <v>31</v>
      </c>
      <c r="AD51" s="10">
        <v>4</v>
      </c>
      <c r="AE51" s="9" t="s">
        <v>34</v>
      </c>
      <c r="AF51" s="9" t="s">
        <v>35</v>
      </c>
    </row>
    <row r="52" spans="1:32" x14ac:dyDescent="0.25">
      <c r="A52" s="9" t="s">
        <v>525</v>
      </c>
      <c r="B52" s="10" t="s">
        <v>232</v>
      </c>
      <c r="C52" s="1" t="s">
        <v>655</v>
      </c>
      <c r="D52" s="10">
        <v>2</v>
      </c>
      <c r="E52" s="10">
        <v>2004</v>
      </c>
      <c r="F52" s="9" t="s">
        <v>28</v>
      </c>
      <c r="G52" s="9" t="s">
        <v>54</v>
      </c>
      <c r="H52" s="1">
        <v>15.4</v>
      </c>
      <c r="I52" s="1">
        <v>2.2400000000000002</v>
      </c>
      <c r="J52" s="9" t="s">
        <v>43</v>
      </c>
      <c r="K52" s="1">
        <v>1</v>
      </c>
      <c r="L52" s="10">
        <v>16</v>
      </c>
      <c r="M52" s="3">
        <v>-0.16600000000000001</v>
      </c>
      <c r="N52" s="11">
        <v>6.304315554239999E-2</v>
      </c>
      <c r="O52" t="s">
        <v>63</v>
      </c>
      <c r="P52" s="11">
        <v>-0.1675504822758454</v>
      </c>
      <c r="Q52" s="11">
        <v>7.6923076923076927E-2</v>
      </c>
      <c r="R52">
        <v>-0.1728178879900685</v>
      </c>
      <c r="S52">
        <v>6.2743995631723989E-2</v>
      </c>
      <c r="T52" s="9" t="s">
        <v>40</v>
      </c>
      <c r="U52" s="9" t="s">
        <v>50</v>
      </c>
      <c r="V52" s="9" t="s">
        <v>276</v>
      </c>
      <c r="W52" s="9" t="s">
        <v>30</v>
      </c>
      <c r="X52" s="9" t="s">
        <v>364</v>
      </c>
      <c r="Y52" s="1">
        <v>23.4</v>
      </c>
      <c r="Z52" s="1">
        <v>15</v>
      </c>
      <c r="AA52" s="3">
        <f t="shared" si="0"/>
        <v>1.5599999999999998</v>
      </c>
      <c r="AB52" s="11">
        <v>-0.107284586844076</v>
      </c>
      <c r="AC52" s="11">
        <v>0.1731431101629885</v>
      </c>
      <c r="AD52" s="10">
        <v>0</v>
      </c>
      <c r="AE52" s="9" t="s">
        <v>34</v>
      </c>
      <c r="AF52" s="9" t="s">
        <v>63</v>
      </c>
    </row>
    <row r="53" spans="1:32" x14ac:dyDescent="0.25">
      <c r="A53" s="9" t="s">
        <v>525</v>
      </c>
      <c r="B53" s="10" t="s">
        <v>228</v>
      </c>
      <c r="C53" s="1" t="s">
        <v>656</v>
      </c>
      <c r="D53" s="10">
        <v>2</v>
      </c>
      <c r="E53" s="10">
        <v>2004</v>
      </c>
      <c r="F53" s="9" t="s">
        <v>38</v>
      </c>
      <c r="G53" s="9" t="s">
        <v>54</v>
      </c>
      <c r="H53" s="1">
        <v>15.5</v>
      </c>
      <c r="I53" s="1">
        <v>1.6</v>
      </c>
      <c r="J53" s="9" t="s">
        <v>43</v>
      </c>
      <c r="K53" s="1">
        <v>1</v>
      </c>
      <c r="L53" s="10">
        <v>16</v>
      </c>
      <c r="M53" s="3">
        <v>0.20200000000000001</v>
      </c>
      <c r="N53" s="11">
        <v>6.1337131094399991E-2</v>
      </c>
      <c r="O53" t="s">
        <v>63</v>
      </c>
      <c r="P53" s="11">
        <v>0.204816758822672</v>
      </c>
      <c r="Q53" s="11">
        <v>7.6923076923076927E-2</v>
      </c>
      <c r="R53">
        <v>0.21015956625750801</v>
      </c>
      <c r="S53">
        <v>6.0907776075590177E-2</v>
      </c>
      <c r="T53" s="9" t="s">
        <v>40</v>
      </c>
      <c r="U53" s="9" t="s">
        <v>50</v>
      </c>
      <c r="V53" s="9" t="s">
        <v>276</v>
      </c>
      <c r="W53" s="9" t="s">
        <v>30</v>
      </c>
      <c r="X53" s="9" t="s">
        <v>364</v>
      </c>
      <c r="Y53" s="1">
        <v>21.1</v>
      </c>
      <c r="Z53" s="1">
        <v>15</v>
      </c>
      <c r="AA53" s="3">
        <f t="shared" si="0"/>
        <v>1.4066666666666667</v>
      </c>
      <c r="AB53" s="11">
        <v>0.1450733287810449</v>
      </c>
      <c r="AC53" s="11">
        <v>0.19185833650302031</v>
      </c>
      <c r="AD53" s="10">
        <v>0</v>
      </c>
      <c r="AE53" s="9" t="s">
        <v>34</v>
      </c>
      <c r="AF53" s="9" t="s">
        <v>63</v>
      </c>
    </row>
    <row r="54" spans="1:32" x14ac:dyDescent="0.25">
      <c r="A54" s="9" t="s">
        <v>864</v>
      </c>
      <c r="B54" s="10" t="s">
        <v>1056</v>
      </c>
      <c r="C54" s="1" t="s">
        <v>657</v>
      </c>
      <c r="D54" s="10">
        <v>2</v>
      </c>
      <c r="E54" s="10">
        <v>2005</v>
      </c>
      <c r="F54" s="9" t="s">
        <v>28</v>
      </c>
      <c r="G54" s="9" t="s">
        <v>29</v>
      </c>
      <c r="H54" s="1">
        <v>40.49</v>
      </c>
      <c r="I54" s="1">
        <v>11.67</v>
      </c>
      <c r="J54" s="9" t="s">
        <v>30</v>
      </c>
      <c r="K54" s="1">
        <v>0.6</v>
      </c>
      <c r="L54" s="10">
        <v>44</v>
      </c>
      <c r="M54" s="3">
        <v>0.156</v>
      </c>
      <c r="N54" s="11">
        <v>2.213768002083721E-2</v>
      </c>
      <c r="O54" t="s">
        <v>63</v>
      </c>
      <c r="P54" s="11">
        <v>0.15728427731818281</v>
      </c>
      <c r="Q54" s="11">
        <v>2.4390243902439029E-2</v>
      </c>
      <c r="R54">
        <v>0.15791152851422521</v>
      </c>
      <c r="S54">
        <v>2.2110458254790289E-2</v>
      </c>
      <c r="T54" s="9" t="s">
        <v>40</v>
      </c>
      <c r="U54" s="9" t="s">
        <v>50</v>
      </c>
      <c r="V54" s="9" t="s">
        <v>276</v>
      </c>
      <c r="W54" s="9" t="s">
        <v>867</v>
      </c>
      <c r="X54" s="9" t="s">
        <v>366</v>
      </c>
      <c r="Y54" s="1">
        <v>16.46</v>
      </c>
      <c r="Z54" s="1">
        <v>15</v>
      </c>
      <c r="AA54" s="3">
        <f t="shared" si="0"/>
        <v>1.0973333333333335</v>
      </c>
      <c r="AB54" s="11">
        <v>0.142456992439707</v>
      </c>
      <c r="AC54" s="11">
        <v>0.1397591200230125</v>
      </c>
      <c r="AD54" s="10">
        <v>0</v>
      </c>
      <c r="AE54" s="9" t="s">
        <v>34</v>
      </c>
      <c r="AF54" s="9" t="s">
        <v>63</v>
      </c>
    </row>
    <row r="55" spans="1:32" x14ac:dyDescent="0.25">
      <c r="A55" s="9" t="s">
        <v>864</v>
      </c>
      <c r="B55" s="10" t="s">
        <v>1057</v>
      </c>
      <c r="C55" s="1" t="s">
        <v>658</v>
      </c>
      <c r="D55" s="10">
        <v>2</v>
      </c>
      <c r="E55" s="10">
        <v>2005</v>
      </c>
      <c r="F55" s="9" t="s">
        <v>38</v>
      </c>
      <c r="G55" s="9" t="s">
        <v>29</v>
      </c>
      <c r="H55" s="1">
        <v>33.72</v>
      </c>
      <c r="I55" s="1">
        <v>12.37</v>
      </c>
      <c r="J55" s="9" t="s">
        <v>30</v>
      </c>
      <c r="K55" s="1">
        <v>0.57999999999999996</v>
      </c>
      <c r="L55" s="10">
        <v>43</v>
      </c>
      <c r="M55" s="3">
        <v>0.23799999999999999</v>
      </c>
      <c r="N55" s="11">
        <v>2.1188584350857138E-2</v>
      </c>
      <c r="O55" t="s">
        <v>63</v>
      </c>
      <c r="P55" s="11">
        <v>0.2426529487789475</v>
      </c>
      <c r="Q55" s="11">
        <v>2.5000000000000001E-2</v>
      </c>
      <c r="R55">
        <v>0.2408867244427646</v>
      </c>
      <c r="S55">
        <v>2.1126529445182191E-2</v>
      </c>
      <c r="T55" s="9" t="s">
        <v>40</v>
      </c>
      <c r="U55" s="9" t="s">
        <v>50</v>
      </c>
      <c r="V55" s="9" t="s">
        <v>276</v>
      </c>
      <c r="W55" s="9" t="s">
        <v>867</v>
      </c>
      <c r="X55" s="9" t="s">
        <v>366</v>
      </c>
      <c r="Y55" s="1">
        <v>17.55</v>
      </c>
      <c r="Z55" s="1">
        <v>15</v>
      </c>
      <c r="AA55" s="3">
        <f t="shared" si="0"/>
        <v>1.1700000000000002</v>
      </c>
      <c r="AB55" s="11">
        <v>0.20498938006079151</v>
      </c>
      <c r="AC55" s="11">
        <v>0.13267247105940991</v>
      </c>
      <c r="AD55" s="10">
        <v>0</v>
      </c>
      <c r="AE55" s="9" t="s">
        <v>34</v>
      </c>
      <c r="AF55" s="9" t="s">
        <v>63</v>
      </c>
    </row>
    <row r="56" spans="1:32" x14ac:dyDescent="0.25">
      <c r="A56" s="9" t="s">
        <v>176</v>
      </c>
      <c r="B56" s="10" t="s">
        <v>256</v>
      </c>
      <c r="C56" s="1" t="s">
        <v>659</v>
      </c>
      <c r="D56" s="10">
        <v>2</v>
      </c>
      <c r="E56" s="10">
        <v>2006</v>
      </c>
      <c r="F56" s="9" t="s">
        <v>28</v>
      </c>
      <c r="G56" s="9" t="s">
        <v>29</v>
      </c>
      <c r="H56" s="1">
        <v>20.79</v>
      </c>
      <c r="I56" s="1">
        <v>10.58</v>
      </c>
      <c r="J56" s="9" t="s">
        <v>43</v>
      </c>
      <c r="K56" s="1">
        <v>1</v>
      </c>
      <c r="L56" s="10">
        <v>24</v>
      </c>
      <c r="M56" s="3">
        <v>0.28000000000000003</v>
      </c>
      <c r="N56" s="11">
        <v>3.6928111304347817E-2</v>
      </c>
      <c r="O56" t="s">
        <v>63</v>
      </c>
      <c r="P56" s="11">
        <v>0.28768207245178101</v>
      </c>
      <c r="Q56" s="11">
        <v>4.7619047619047623E-2</v>
      </c>
      <c r="R56">
        <v>0.28646678242653217</v>
      </c>
      <c r="S56">
        <v>3.6635127686433407E-2</v>
      </c>
      <c r="T56" s="9" t="s">
        <v>40</v>
      </c>
      <c r="U56" s="9" t="s">
        <v>31</v>
      </c>
      <c r="V56" s="9" t="s">
        <v>276</v>
      </c>
      <c r="W56" s="9" t="s">
        <v>30</v>
      </c>
      <c r="X56" s="9" t="s">
        <v>367</v>
      </c>
      <c r="Y56" s="1">
        <v>20.98</v>
      </c>
      <c r="Z56" s="1">
        <v>15</v>
      </c>
      <c r="AA56" s="3">
        <f t="shared" si="0"/>
        <v>1.3986666666666667</v>
      </c>
      <c r="AB56" s="11">
        <v>0.20414058268238991</v>
      </c>
      <c r="AC56" s="11">
        <v>0.15516804856446809</v>
      </c>
      <c r="AD56" s="10">
        <v>0</v>
      </c>
      <c r="AE56" s="9" t="s">
        <v>41</v>
      </c>
      <c r="AF56" s="9" t="s">
        <v>63</v>
      </c>
    </row>
    <row r="57" spans="1:32" x14ac:dyDescent="0.25">
      <c r="A57" s="9" t="s">
        <v>176</v>
      </c>
      <c r="B57" s="10" t="s">
        <v>252</v>
      </c>
      <c r="C57" s="1" t="s">
        <v>660</v>
      </c>
      <c r="D57" s="10">
        <v>2</v>
      </c>
      <c r="E57" s="10">
        <v>2006</v>
      </c>
      <c r="F57" s="9" t="s">
        <v>38</v>
      </c>
      <c r="G57" s="9" t="s">
        <v>29</v>
      </c>
      <c r="H57" s="1">
        <v>21.41</v>
      </c>
      <c r="I57" s="1">
        <v>10.91</v>
      </c>
      <c r="J57" s="9" t="s">
        <v>43</v>
      </c>
      <c r="K57" s="1">
        <v>1</v>
      </c>
      <c r="L57" s="10">
        <v>23</v>
      </c>
      <c r="M57" s="3">
        <v>0.55000000000000004</v>
      </c>
      <c r="N57" s="11">
        <v>2.2113920454545459E-2</v>
      </c>
      <c r="O57" t="s">
        <v>63</v>
      </c>
      <c r="P57" s="11">
        <v>0.61838131357446358</v>
      </c>
      <c r="Q57" s="11">
        <v>0.05</v>
      </c>
      <c r="R57">
        <v>0.55984400814928836</v>
      </c>
      <c r="S57">
        <v>2.142658182711784E-2</v>
      </c>
      <c r="T57" s="9" t="s">
        <v>40</v>
      </c>
      <c r="U57" s="9" t="s">
        <v>31</v>
      </c>
      <c r="V57" s="9" t="s">
        <v>276</v>
      </c>
      <c r="W57" s="9" t="s">
        <v>30</v>
      </c>
      <c r="X57" s="9" t="s">
        <v>367</v>
      </c>
      <c r="Y57" s="1">
        <v>13.18</v>
      </c>
      <c r="Z57" s="1">
        <v>15</v>
      </c>
      <c r="AA57" s="3">
        <f t="shared" si="0"/>
        <v>0.8786666666666666</v>
      </c>
      <c r="AB57" s="11">
        <v>0.59973930547364718</v>
      </c>
      <c r="AC57" s="11">
        <v>0.18243586899573111</v>
      </c>
      <c r="AD57" s="10">
        <v>0</v>
      </c>
      <c r="AE57" s="9" t="s">
        <v>41</v>
      </c>
      <c r="AF57" s="9" t="s">
        <v>63</v>
      </c>
    </row>
    <row r="58" spans="1:32" x14ac:dyDescent="0.25">
      <c r="A58" s="9" t="s">
        <v>169</v>
      </c>
      <c r="B58" s="10" t="s">
        <v>280</v>
      </c>
      <c r="C58" s="1" t="s">
        <v>661</v>
      </c>
      <c r="D58" s="10">
        <v>2</v>
      </c>
      <c r="E58" s="10">
        <v>2006</v>
      </c>
      <c r="F58" s="9" t="s">
        <v>38</v>
      </c>
      <c r="G58" s="9" t="s">
        <v>29</v>
      </c>
      <c r="H58" s="1">
        <v>79.5</v>
      </c>
      <c r="I58" s="1">
        <v>0.5</v>
      </c>
      <c r="J58" s="9" t="s">
        <v>30</v>
      </c>
      <c r="K58" s="1">
        <v>0.61</v>
      </c>
      <c r="L58" s="10">
        <v>102</v>
      </c>
      <c r="M58" s="3">
        <v>-0.14199999999999999</v>
      </c>
      <c r="N58" s="11">
        <v>9.5057285831287135E-3</v>
      </c>
      <c r="O58" t="s">
        <v>63</v>
      </c>
      <c r="P58" s="11">
        <v>-0.1429661453639966</v>
      </c>
      <c r="Q58" s="11">
        <v>1.01010101010101E-2</v>
      </c>
      <c r="R58">
        <v>-0.142711346485908</v>
      </c>
      <c r="S58">
        <v>9.5017993925551551E-3</v>
      </c>
      <c r="T58" s="9" t="s">
        <v>40</v>
      </c>
      <c r="U58" s="9" t="s">
        <v>31</v>
      </c>
      <c r="V58" s="9" t="s">
        <v>276</v>
      </c>
      <c r="W58" s="9" t="s">
        <v>867</v>
      </c>
      <c r="X58" s="9" t="s">
        <v>288</v>
      </c>
      <c r="Y58" s="1" t="s">
        <v>31</v>
      </c>
      <c r="Z58" s="1" t="s">
        <v>31</v>
      </c>
      <c r="AA58" s="3" t="s">
        <v>31</v>
      </c>
      <c r="AB58" s="11" t="s">
        <v>31</v>
      </c>
      <c r="AC58" s="11" t="s">
        <v>31</v>
      </c>
      <c r="AD58" s="10">
        <v>0</v>
      </c>
      <c r="AE58" s="9" t="s">
        <v>34</v>
      </c>
      <c r="AF58" s="9" t="s">
        <v>63</v>
      </c>
    </row>
    <row r="59" spans="1:32" x14ac:dyDescent="0.25">
      <c r="A59" s="9" t="s">
        <v>529</v>
      </c>
      <c r="B59" s="10" t="s">
        <v>282</v>
      </c>
      <c r="C59" s="1" t="s">
        <v>662</v>
      </c>
      <c r="D59" s="10">
        <v>2</v>
      </c>
      <c r="E59" s="10">
        <v>2006</v>
      </c>
      <c r="F59" s="9" t="s">
        <v>28</v>
      </c>
      <c r="G59" s="9" t="s">
        <v>54</v>
      </c>
      <c r="H59" s="1">
        <v>10.16</v>
      </c>
      <c r="I59" s="1">
        <v>1.92</v>
      </c>
      <c r="J59" s="9" t="s">
        <v>43</v>
      </c>
      <c r="K59" s="1">
        <v>1</v>
      </c>
      <c r="L59" s="10">
        <v>38</v>
      </c>
      <c r="M59" s="3">
        <v>8.2000000000000003E-2</v>
      </c>
      <c r="N59" s="11">
        <v>2.6664789518270272E-2</v>
      </c>
      <c r="O59" t="s">
        <v>63</v>
      </c>
      <c r="P59" s="11">
        <v>8.2184534392968162E-2</v>
      </c>
      <c r="Q59" s="11">
        <v>2.8571428571428571E-2</v>
      </c>
      <c r="R59">
        <v>8.3205878177495946E-2</v>
      </c>
      <c r="S59">
        <v>2.6654094449274589E-2</v>
      </c>
      <c r="T59" s="9" t="s">
        <v>40</v>
      </c>
      <c r="U59" s="9" t="s">
        <v>46</v>
      </c>
      <c r="V59" s="9" t="s">
        <v>276</v>
      </c>
      <c r="W59" s="9" t="s">
        <v>30</v>
      </c>
      <c r="X59" s="9" t="s">
        <v>286</v>
      </c>
      <c r="Y59" s="1">
        <v>18.04</v>
      </c>
      <c r="Z59" s="1">
        <v>15</v>
      </c>
      <c r="AA59" s="3">
        <f t="shared" si="0"/>
        <v>1.2026666666666666</v>
      </c>
      <c r="AB59" s="11">
        <v>6.8252675291936599E-2</v>
      </c>
      <c r="AC59" s="11">
        <v>0.13854528451556841</v>
      </c>
      <c r="AD59" s="10">
        <v>0</v>
      </c>
      <c r="AE59" s="9" t="s">
        <v>41</v>
      </c>
      <c r="AF59" s="9" t="s">
        <v>63</v>
      </c>
    </row>
    <row r="60" spans="1:32" x14ac:dyDescent="0.25">
      <c r="A60" s="9" t="s">
        <v>529</v>
      </c>
      <c r="B60" s="10" t="s">
        <v>283</v>
      </c>
      <c r="C60" s="1" t="s">
        <v>663</v>
      </c>
      <c r="D60" s="10">
        <v>2</v>
      </c>
      <c r="E60" s="10">
        <v>2006</v>
      </c>
      <c r="F60" s="9" t="s">
        <v>28</v>
      </c>
      <c r="G60" s="9" t="s">
        <v>54</v>
      </c>
      <c r="H60" s="1">
        <v>10.08</v>
      </c>
      <c r="I60" s="1">
        <v>1.31</v>
      </c>
      <c r="J60" s="9" t="s">
        <v>43</v>
      </c>
      <c r="K60" s="1">
        <v>1</v>
      </c>
      <c r="L60" s="10">
        <v>12</v>
      </c>
      <c r="M60" s="3">
        <v>0.23200000000000001</v>
      </c>
      <c r="N60" s="11">
        <v>8.1386274816000012E-2</v>
      </c>
      <c r="O60" t="s">
        <v>63</v>
      </c>
      <c r="P60" s="11">
        <v>0.2363022054728964</v>
      </c>
      <c r="Q60" s="11">
        <v>0.1111111111111111</v>
      </c>
      <c r="R60">
        <v>0.24584643755187821</v>
      </c>
      <c r="S60">
        <v>8.0252009891228257E-2</v>
      </c>
      <c r="T60" s="9" t="s">
        <v>40</v>
      </c>
      <c r="U60" s="9" t="s">
        <v>46</v>
      </c>
      <c r="V60" s="9" t="s">
        <v>276</v>
      </c>
      <c r="W60" s="9" t="s">
        <v>30</v>
      </c>
      <c r="X60" s="9" t="s">
        <v>286</v>
      </c>
      <c r="Y60" s="1">
        <v>12.48</v>
      </c>
      <c r="Z60" s="1">
        <v>15</v>
      </c>
      <c r="AA60" s="3">
        <f t="shared" si="0"/>
        <v>0.83200000000000007</v>
      </c>
      <c r="AB60" s="11">
        <v>0.27556831147017352</v>
      </c>
      <c r="AC60" s="11">
        <v>0.35682599640593271</v>
      </c>
      <c r="AD60" s="10">
        <v>0</v>
      </c>
      <c r="AE60" s="9" t="s">
        <v>41</v>
      </c>
      <c r="AF60" s="9" t="s">
        <v>63</v>
      </c>
    </row>
    <row r="61" spans="1:32" x14ac:dyDescent="0.25">
      <c r="A61" s="9" t="s">
        <v>529</v>
      </c>
      <c r="B61" s="10" t="s">
        <v>281</v>
      </c>
      <c r="C61" s="1" t="s">
        <v>664</v>
      </c>
      <c r="D61" s="10">
        <v>2</v>
      </c>
      <c r="E61" s="10">
        <v>2006</v>
      </c>
      <c r="F61" s="9" t="s">
        <v>38</v>
      </c>
      <c r="G61" s="9" t="s">
        <v>54</v>
      </c>
      <c r="H61" s="1">
        <v>10.77</v>
      </c>
      <c r="I61" s="1">
        <v>1.48</v>
      </c>
      <c r="J61" s="9" t="s">
        <v>43</v>
      </c>
      <c r="K61" s="1">
        <v>1</v>
      </c>
      <c r="L61" s="10">
        <v>13</v>
      </c>
      <c r="M61" s="3">
        <v>-0.14499999999999999</v>
      </c>
      <c r="N61" s="11">
        <v>7.9866004218750009E-2</v>
      </c>
      <c r="O61" t="s">
        <v>63</v>
      </c>
      <c r="P61" s="11">
        <v>-0.1460292235257899</v>
      </c>
      <c r="Q61" s="11">
        <v>0.1</v>
      </c>
      <c r="R61">
        <v>-0.1530381985414653</v>
      </c>
      <c r="S61">
        <v>7.9475595692034245E-2</v>
      </c>
      <c r="T61" s="9" t="s">
        <v>40</v>
      </c>
      <c r="U61" s="9" t="s">
        <v>46</v>
      </c>
      <c r="V61" s="9" t="s">
        <v>276</v>
      </c>
      <c r="W61" s="9" t="s">
        <v>30</v>
      </c>
      <c r="X61" s="9" t="s">
        <v>286</v>
      </c>
      <c r="Y61" s="1">
        <v>12.34</v>
      </c>
      <c r="Z61" s="1">
        <v>15</v>
      </c>
      <c r="AA61" s="3">
        <f t="shared" si="0"/>
        <v>0.82266666666666666</v>
      </c>
      <c r="AB61" s="11">
        <v>-0.1753777750011675</v>
      </c>
      <c r="AC61" s="11">
        <v>0.3572374005011828</v>
      </c>
      <c r="AD61" s="10">
        <v>0</v>
      </c>
      <c r="AE61" s="9" t="s">
        <v>41</v>
      </c>
      <c r="AF61" s="9" t="s">
        <v>63</v>
      </c>
    </row>
    <row r="62" spans="1:32" x14ac:dyDescent="0.25">
      <c r="A62" s="9" t="s">
        <v>852</v>
      </c>
      <c r="B62" s="10" t="s">
        <v>1058</v>
      </c>
      <c r="C62" s="1" t="s">
        <v>665</v>
      </c>
      <c r="D62" s="10">
        <v>2</v>
      </c>
      <c r="E62" s="10">
        <v>2007</v>
      </c>
      <c r="F62" s="9" t="s">
        <v>28</v>
      </c>
      <c r="G62" s="9" t="s">
        <v>29</v>
      </c>
      <c r="H62" s="1">
        <v>29.2</v>
      </c>
      <c r="I62" s="1">
        <v>9.1999999999999993</v>
      </c>
      <c r="J62" s="9" t="s">
        <v>30</v>
      </c>
      <c r="K62" s="1">
        <v>0.45</v>
      </c>
      <c r="L62" s="10">
        <v>39</v>
      </c>
      <c r="M62" s="3">
        <v>-2.0796384291294101E-2</v>
      </c>
      <c r="N62" s="11">
        <v>2.6293031785475561E-2</v>
      </c>
      <c r="O62" s="4">
        <v>1100</v>
      </c>
      <c r="P62" s="11">
        <v>-2.079938314282094E-2</v>
      </c>
      <c r="Q62" s="11">
        <v>2.777777777777778E-2</v>
      </c>
      <c r="R62">
        <v>-2.1095428522549489E-2</v>
      </c>
      <c r="S62">
        <v>2.629237273239798E-2</v>
      </c>
      <c r="T62" s="9" t="s">
        <v>40</v>
      </c>
      <c r="U62" s="9" t="s">
        <v>31</v>
      </c>
      <c r="V62" s="9" t="s">
        <v>276</v>
      </c>
      <c r="W62" s="9" t="s">
        <v>30</v>
      </c>
      <c r="X62" s="9" t="s">
        <v>277</v>
      </c>
      <c r="Y62" s="1">
        <v>7.4</v>
      </c>
      <c r="Z62" s="1">
        <v>15</v>
      </c>
      <c r="AA62" s="3">
        <f t="shared" si="0"/>
        <v>0.49333333333333335</v>
      </c>
      <c r="AB62" s="11">
        <v>-4.2126522131625779E-2</v>
      </c>
      <c r="AC62" s="11">
        <v>0.33249830957003179</v>
      </c>
      <c r="AD62" s="10">
        <v>0</v>
      </c>
      <c r="AE62" s="9" t="s">
        <v>34</v>
      </c>
      <c r="AF62" s="9" t="s">
        <v>35</v>
      </c>
    </row>
    <row r="63" spans="1:32" x14ac:dyDescent="0.25">
      <c r="A63" s="9" t="s">
        <v>852</v>
      </c>
      <c r="B63" s="10" t="s">
        <v>1051</v>
      </c>
      <c r="C63" s="1" t="s">
        <v>666</v>
      </c>
      <c r="D63" s="10">
        <v>2</v>
      </c>
      <c r="E63" s="10">
        <v>2007</v>
      </c>
      <c r="F63" s="9" t="s">
        <v>38</v>
      </c>
      <c r="G63" s="9" t="s">
        <v>29</v>
      </c>
      <c r="H63" s="1" t="s">
        <v>31</v>
      </c>
      <c r="I63" s="1" t="s">
        <v>31</v>
      </c>
      <c r="J63" s="9" t="s">
        <v>31</v>
      </c>
      <c r="K63" s="1" t="s">
        <v>31</v>
      </c>
      <c r="L63" s="10">
        <v>16</v>
      </c>
      <c r="M63" s="3">
        <v>-0.43766025924379798</v>
      </c>
      <c r="N63" s="11">
        <v>4.3573137172364267E-2</v>
      </c>
      <c r="O63">
        <v>1100</v>
      </c>
      <c r="P63" s="11">
        <v>-0.46933303149292538</v>
      </c>
      <c r="Q63" s="11">
        <v>7.6923076923076927E-2</v>
      </c>
      <c r="R63">
        <v>-0.45209998854752909</v>
      </c>
      <c r="S63">
        <v>4.2199218087783701E-2</v>
      </c>
      <c r="T63" s="9" t="s">
        <v>40</v>
      </c>
      <c r="U63" s="9" t="s">
        <v>31</v>
      </c>
      <c r="V63" s="9" t="s">
        <v>276</v>
      </c>
      <c r="W63" s="9" t="s">
        <v>30</v>
      </c>
      <c r="X63" s="9" t="s">
        <v>277</v>
      </c>
      <c r="Y63" s="1">
        <v>11</v>
      </c>
      <c r="Z63" s="1">
        <v>15</v>
      </c>
      <c r="AA63" s="3">
        <f t="shared" si="0"/>
        <v>0.73333333333333328</v>
      </c>
      <c r="AB63" s="11">
        <v>-0.55301990905873011</v>
      </c>
      <c r="AC63" s="11">
        <v>0.26072178212578118</v>
      </c>
      <c r="AD63" s="10">
        <v>0</v>
      </c>
      <c r="AE63" s="9" t="s">
        <v>34</v>
      </c>
      <c r="AF63" s="9" t="s">
        <v>35</v>
      </c>
    </row>
    <row r="64" spans="1:32" x14ac:dyDescent="0.25">
      <c r="A64" s="9" t="s">
        <v>531</v>
      </c>
      <c r="B64" s="10" t="s">
        <v>294</v>
      </c>
      <c r="C64" s="1" t="s">
        <v>667</v>
      </c>
      <c r="D64" s="10">
        <v>2</v>
      </c>
      <c r="E64" s="10">
        <v>2007</v>
      </c>
      <c r="F64" s="9" t="s">
        <v>28</v>
      </c>
      <c r="G64" s="9" t="s">
        <v>54</v>
      </c>
      <c r="H64" s="1">
        <v>10.75</v>
      </c>
      <c r="I64" s="1">
        <v>2.33</v>
      </c>
      <c r="J64" s="9" t="s">
        <v>31</v>
      </c>
      <c r="K64" s="1" t="s">
        <v>31</v>
      </c>
      <c r="L64" s="10">
        <v>21</v>
      </c>
      <c r="M64" s="3">
        <v>0.3</v>
      </c>
      <c r="N64" s="11">
        <v>4.1404999999999997E-2</v>
      </c>
      <c r="O64" t="s">
        <v>63</v>
      </c>
      <c r="P64" s="11">
        <v>0.30951960420311181</v>
      </c>
      <c r="Q64" s="11">
        <v>5.5555555555555552E-2</v>
      </c>
      <c r="R64">
        <v>0.30803647454890942</v>
      </c>
      <c r="S64">
        <v>4.096152514090385E-2</v>
      </c>
      <c r="T64" s="9" t="s">
        <v>40</v>
      </c>
      <c r="U64" s="9" t="s">
        <v>31</v>
      </c>
      <c r="V64" s="9" t="s">
        <v>276</v>
      </c>
      <c r="W64" s="9" t="s">
        <v>867</v>
      </c>
      <c r="X64" s="9" t="s">
        <v>370</v>
      </c>
      <c r="Y64" s="1">
        <v>14</v>
      </c>
      <c r="Z64" s="1">
        <v>15</v>
      </c>
      <c r="AA64" s="3">
        <f t="shared" si="0"/>
        <v>0.93333333333333335</v>
      </c>
      <c r="AB64" s="11">
        <v>0.31930958700902368</v>
      </c>
      <c r="AC64" s="11">
        <v>0.22987384438805999</v>
      </c>
      <c r="AD64" s="10">
        <v>0</v>
      </c>
      <c r="AE64" s="9" t="s">
        <v>34</v>
      </c>
      <c r="AF64" s="9" t="s">
        <v>63</v>
      </c>
    </row>
    <row r="65" spans="1:32" x14ac:dyDescent="0.25">
      <c r="A65" s="9" t="s">
        <v>531</v>
      </c>
      <c r="B65" s="10" t="s">
        <v>290</v>
      </c>
      <c r="C65" s="1" t="s">
        <v>668</v>
      </c>
      <c r="D65" s="10">
        <v>2</v>
      </c>
      <c r="E65" s="10">
        <v>2007</v>
      </c>
      <c r="F65" s="9" t="s">
        <v>38</v>
      </c>
      <c r="G65" s="9" t="s">
        <v>54</v>
      </c>
      <c r="H65" s="1">
        <v>10.5</v>
      </c>
      <c r="I65" s="1">
        <v>1.92</v>
      </c>
      <c r="J65" s="9" t="s">
        <v>31</v>
      </c>
      <c r="K65" s="1" t="s">
        <v>31</v>
      </c>
      <c r="L65" s="10">
        <v>20</v>
      </c>
      <c r="M65" s="3">
        <v>-0.2</v>
      </c>
      <c r="N65" s="11">
        <v>4.8505263157894739E-2</v>
      </c>
      <c r="O65" t="s">
        <v>63</v>
      </c>
      <c r="P65" s="11">
        <v>-0.20273255405408211</v>
      </c>
      <c r="Q65" s="11">
        <v>5.8823529411764712E-2</v>
      </c>
      <c r="R65">
        <v>-0.20605190001628321</v>
      </c>
      <c r="S65">
        <v>4.8257255714888543E-2</v>
      </c>
      <c r="T65" s="9" t="s">
        <v>40</v>
      </c>
      <c r="U65" s="9" t="s">
        <v>31</v>
      </c>
      <c r="V65" s="9" t="s">
        <v>276</v>
      </c>
      <c r="W65" s="9" t="s">
        <v>867</v>
      </c>
      <c r="X65" s="9" t="s">
        <v>370</v>
      </c>
      <c r="Y65" s="1">
        <v>11</v>
      </c>
      <c r="Z65" s="1">
        <v>15</v>
      </c>
      <c r="AA65" s="3">
        <f t="shared" si="0"/>
        <v>0.73333333333333328</v>
      </c>
      <c r="AB65" s="11">
        <v>-0.26815659196446789</v>
      </c>
      <c r="AC65" s="11">
        <v>0.299348896568147</v>
      </c>
      <c r="AD65" s="10">
        <v>0</v>
      </c>
      <c r="AE65" s="9" t="s">
        <v>34</v>
      </c>
      <c r="AF65" s="9" t="s">
        <v>63</v>
      </c>
    </row>
    <row r="66" spans="1:32" x14ac:dyDescent="0.25">
      <c r="A66" s="9" t="s">
        <v>534</v>
      </c>
      <c r="B66" s="10" t="s">
        <v>475</v>
      </c>
      <c r="C66" s="1" t="s">
        <v>669</v>
      </c>
      <c r="D66" s="10">
        <v>2</v>
      </c>
      <c r="E66" s="10">
        <v>2007</v>
      </c>
      <c r="F66" s="9" t="s">
        <v>28</v>
      </c>
      <c r="G66" s="9" t="s">
        <v>29</v>
      </c>
      <c r="H66" s="1">
        <v>40.6</v>
      </c>
      <c r="I66" s="1">
        <v>10.4</v>
      </c>
      <c r="J66" s="9" t="s">
        <v>30</v>
      </c>
      <c r="K66" s="1">
        <v>0.9</v>
      </c>
      <c r="L66" s="10">
        <v>44</v>
      </c>
      <c r="M66" s="3">
        <v>0.26400000000000001</v>
      </c>
      <c r="N66" s="11">
        <v>2.0127105405023261E-2</v>
      </c>
      <c r="O66" t="s">
        <v>63</v>
      </c>
      <c r="P66" s="11">
        <v>0.27040322798896332</v>
      </c>
      <c r="Q66" s="11">
        <v>2.4390243902439029E-2</v>
      </c>
      <c r="R66">
        <v>0.26707627540925671</v>
      </c>
      <c r="S66">
        <v>2.005647575793796E-2</v>
      </c>
      <c r="T66" s="9" t="s">
        <v>40</v>
      </c>
      <c r="U66" s="9" t="s">
        <v>46</v>
      </c>
      <c r="V66" s="9" t="s">
        <v>276</v>
      </c>
      <c r="W66" s="9" t="s">
        <v>30</v>
      </c>
      <c r="X66" s="9" t="s">
        <v>296</v>
      </c>
      <c r="Y66" s="1">
        <v>13.7</v>
      </c>
      <c r="Z66" s="1">
        <v>15</v>
      </c>
      <c r="AA66" s="3">
        <f t="shared" si="0"/>
        <v>0.91333333333333333</v>
      </c>
      <c r="AB66" s="11">
        <v>0.28706932928879442</v>
      </c>
      <c r="AC66" s="11">
        <v>0.15962283444759079</v>
      </c>
      <c r="AD66" s="10">
        <v>0</v>
      </c>
      <c r="AE66" s="9" t="s">
        <v>34</v>
      </c>
      <c r="AF66" s="9" t="s">
        <v>63</v>
      </c>
    </row>
    <row r="67" spans="1:32" x14ac:dyDescent="0.25">
      <c r="A67" s="9" t="s">
        <v>534</v>
      </c>
      <c r="B67" s="10" t="s">
        <v>473</v>
      </c>
      <c r="C67" s="1" t="s">
        <v>670</v>
      </c>
      <c r="D67" s="10">
        <v>2</v>
      </c>
      <c r="E67" s="10">
        <v>2007</v>
      </c>
      <c r="F67" s="9" t="s">
        <v>38</v>
      </c>
      <c r="G67" s="9" t="s">
        <v>29</v>
      </c>
      <c r="H67" s="1">
        <v>40.799999999999997</v>
      </c>
      <c r="I67" s="1">
        <v>9.4</v>
      </c>
      <c r="J67" s="9" t="s">
        <v>30</v>
      </c>
      <c r="K67" s="1">
        <v>0.9</v>
      </c>
      <c r="L67" s="10">
        <v>44</v>
      </c>
      <c r="M67" s="3">
        <v>0.39800000000000002</v>
      </c>
      <c r="N67" s="11">
        <v>1.6471716912000001E-2</v>
      </c>
      <c r="O67" t="s">
        <v>63</v>
      </c>
      <c r="P67" s="11">
        <v>0.42127023874246738</v>
      </c>
      <c r="Q67" s="11">
        <v>2.4390243902439029E-2</v>
      </c>
      <c r="R67">
        <v>0.40217388860505499</v>
      </c>
      <c r="S67">
        <v>1.6341241752352478E-2</v>
      </c>
      <c r="T67" s="9" t="s">
        <v>40</v>
      </c>
      <c r="U67" s="9" t="s">
        <v>46</v>
      </c>
      <c r="V67" s="9" t="s">
        <v>276</v>
      </c>
      <c r="W67" s="9" t="s">
        <v>30</v>
      </c>
      <c r="X67" s="9" t="s">
        <v>296</v>
      </c>
      <c r="Y67" s="1">
        <v>14.8</v>
      </c>
      <c r="Z67" s="1">
        <v>15</v>
      </c>
      <c r="AA67" s="3">
        <f t="shared" si="0"/>
        <v>0.98666666666666669</v>
      </c>
      <c r="AB67" s="11">
        <v>0.40251187459320742</v>
      </c>
      <c r="AC67" s="11">
        <v>0.14254597994546561</v>
      </c>
      <c r="AD67" s="10">
        <v>0</v>
      </c>
      <c r="AE67" s="9" t="s">
        <v>34</v>
      </c>
      <c r="AF67" s="9" t="s">
        <v>63</v>
      </c>
    </row>
    <row r="68" spans="1:32" x14ac:dyDescent="0.25">
      <c r="A68" s="9" t="s">
        <v>536</v>
      </c>
      <c r="B68" s="10" t="s">
        <v>207</v>
      </c>
      <c r="C68" s="1" t="s">
        <v>671</v>
      </c>
      <c r="D68" s="10">
        <v>2</v>
      </c>
      <c r="E68" s="10">
        <v>2007</v>
      </c>
      <c r="F68" s="9" t="s">
        <v>28</v>
      </c>
      <c r="G68" s="9" t="s">
        <v>29</v>
      </c>
      <c r="H68" s="1">
        <v>40.9</v>
      </c>
      <c r="I68" s="1" t="s">
        <v>31</v>
      </c>
      <c r="J68" s="9" t="s">
        <v>39</v>
      </c>
      <c r="K68" s="1">
        <v>0</v>
      </c>
      <c r="L68" s="10">
        <v>68</v>
      </c>
      <c r="M68" s="3">
        <v>0.433</v>
      </c>
      <c r="N68" s="11">
        <v>9.8533451510597007E-3</v>
      </c>
      <c r="O68" t="s">
        <v>63</v>
      </c>
      <c r="P68" s="11">
        <v>0.46358306205020988</v>
      </c>
      <c r="Q68" s="11">
        <v>1.5384615384615391E-2</v>
      </c>
      <c r="R68">
        <v>0.43574066619837259</v>
      </c>
      <c r="S68">
        <v>9.7956825860999429E-3</v>
      </c>
      <c r="T68" s="9" t="s">
        <v>40</v>
      </c>
      <c r="U68" s="9" t="s">
        <v>46</v>
      </c>
      <c r="V68" s="9" t="s">
        <v>276</v>
      </c>
      <c r="W68" s="9" t="s">
        <v>867</v>
      </c>
      <c r="X68" s="9" t="s">
        <v>359</v>
      </c>
      <c r="Y68" s="1" t="s">
        <v>31</v>
      </c>
      <c r="Z68" s="1" t="s">
        <v>31</v>
      </c>
      <c r="AA68" s="3" t="s">
        <v>31</v>
      </c>
      <c r="AB68" s="11" t="s">
        <v>31</v>
      </c>
      <c r="AC68" s="11" t="s">
        <v>31</v>
      </c>
      <c r="AD68" s="10">
        <v>0</v>
      </c>
      <c r="AE68" s="9" t="s">
        <v>34</v>
      </c>
      <c r="AF68" s="9" t="s">
        <v>63</v>
      </c>
    </row>
    <row r="69" spans="1:32" x14ac:dyDescent="0.25">
      <c r="A69" s="9" t="s">
        <v>536</v>
      </c>
      <c r="B69" s="10" t="s">
        <v>478</v>
      </c>
      <c r="C69" s="1" t="s">
        <v>672</v>
      </c>
      <c r="D69" s="10">
        <v>2</v>
      </c>
      <c r="E69" s="10">
        <v>2007</v>
      </c>
      <c r="F69" s="9" t="s">
        <v>38</v>
      </c>
      <c r="G69" s="9" t="s">
        <v>29</v>
      </c>
      <c r="H69" s="1">
        <v>34.32</v>
      </c>
      <c r="I69" s="1" t="s">
        <v>31</v>
      </c>
      <c r="J69" s="9" t="s">
        <v>39</v>
      </c>
      <c r="K69" s="1">
        <v>0</v>
      </c>
      <c r="L69" s="10">
        <v>22</v>
      </c>
      <c r="M69" s="3">
        <v>0.53600000000000003</v>
      </c>
      <c r="N69" s="11">
        <v>2.4187951981714289E-2</v>
      </c>
      <c r="O69" t="s">
        <v>63</v>
      </c>
      <c r="P69" s="11">
        <v>0.5985261807406812</v>
      </c>
      <c r="Q69" s="11">
        <v>5.2631578947368418E-2</v>
      </c>
      <c r="R69">
        <v>0.54635091840472938</v>
      </c>
      <c r="S69">
        <v>2.3433485503045779E-2</v>
      </c>
      <c r="T69" s="9" t="s">
        <v>40</v>
      </c>
      <c r="U69" s="9" t="s">
        <v>46</v>
      </c>
      <c r="V69" s="9" t="s">
        <v>276</v>
      </c>
      <c r="W69" s="9" t="s">
        <v>867</v>
      </c>
      <c r="X69" s="9" t="s">
        <v>359</v>
      </c>
      <c r="Y69" s="1" t="s">
        <v>31</v>
      </c>
      <c r="Z69" s="1" t="s">
        <v>31</v>
      </c>
      <c r="AA69" s="3" t="s">
        <v>31</v>
      </c>
      <c r="AB69" s="11" t="s">
        <v>31</v>
      </c>
      <c r="AC69" s="11" t="s">
        <v>31</v>
      </c>
      <c r="AD69" s="10">
        <v>0</v>
      </c>
      <c r="AE69" s="9" t="s">
        <v>34</v>
      </c>
      <c r="AF69" s="9" t="s">
        <v>63</v>
      </c>
    </row>
    <row r="70" spans="1:32" x14ac:dyDescent="0.25">
      <c r="A70" s="9" t="s">
        <v>536</v>
      </c>
      <c r="B70" s="10" t="s">
        <v>479</v>
      </c>
      <c r="C70" s="1" t="s">
        <v>673</v>
      </c>
      <c r="D70" s="10">
        <v>2</v>
      </c>
      <c r="E70" s="10">
        <v>2007</v>
      </c>
      <c r="F70" s="9" t="s">
        <v>28</v>
      </c>
      <c r="G70" s="9" t="s">
        <v>29</v>
      </c>
      <c r="H70" s="1">
        <v>39.659999999999997</v>
      </c>
      <c r="I70" s="1" t="s">
        <v>31</v>
      </c>
      <c r="J70" s="9" t="s">
        <v>43</v>
      </c>
      <c r="K70" s="1">
        <v>1</v>
      </c>
      <c r="L70" s="10">
        <v>202</v>
      </c>
      <c r="M70" s="3">
        <v>0.28299999999999997</v>
      </c>
      <c r="N70" s="11">
        <v>4.2101305866716421E-3</v>
      </c>
      <c r="O70" t="s">
        <v>63</v>
      </c>
      <c r="P70" s="11">
        <v>0.29094026200800788</v>
      </c>
      <c r="Q70" s="11">
        <v>5.0251256281407036E-3</v>
      </c>
      <c r="R70">
        <v>0.28365763471232741</v>
      </c>
      <c r="S70">
        <v>4.2067202500491408E-3</v>
      </c>
      <c r="T70" s="9" t="s">
        <v>40</v>
      </c>
      <c r="U70" s="9" t="s">
        <v>46</v>
      </c>
      <c r="V70" s="9" t="s">
        <v>276</v>
      </c>
      <c r="W70" s="9" t="s">
        <v>867</v>
      </c>
      <c r="X70" s="9" t="s">
        <v>359</v>
      </c>
      <c r="Y70" s="1" t="s">
        <v>31</v>
      </c>
      <c r="Z70" s="1" t="s">
        <v>31</v>
      </c>
      <c r="AA70" s="3" t="s">
        <v>31</v>
      </c>
      <c r="AB70" s="11" t="s">
        <v>31</v>
      </c>
      <c r="AC70" s="11" t="s">
        <v>31</v>
      </c>
      <c r="AD70" s="10">
        <v>0</v>
      </c>
      <c r="AE70" s="9" t="s">
        <v>34</v>
      </c>
      <c r="AF70" s="9" t="s">
        <v>63</v>
      </c>
    </row>
    <row r="71" spans="1:32" x14ac:dyDescent="0.25">
      <c r="A71" s="9" t="s">
        <v>536</v>
      </c>
      <c r="B71" s="10" t="s">
        <v>404</v>
      </c>
      <c r="C71" s="1" t="s">
        <v>674</v>
      </c>
      <c r="D71" s="10">
        <v>2</v>
      </c>
      <c r="E71" s="10">
        <v>2007</v>
      </c>
      <c r="F71" s="9" t="s">
        <v>38</v>
      </c>
      <c r="G71" s="9" t="s">
        <v>29</v>
      </c>
      <c r="H71" s="1">
        <v>37.770000000000003</v>
      </c>
      <c r="I71" s="1" t="s">
        <v>31</v>
      </c>
      <c r="J71" s="9" t="s">
        <v>43</v>
      </c>
      <c r="K71" s="1">
        <v>1</v>
      </c>
      <c r="L71" s="10">
        <v>35</v>
      </c>
      <c r="M71" s="3">
        <v>0.376</v>
      </c>
      <c r="N71" s="11">
        <v>2.16833874522353E-2</v>
      </c>
      <c r="O71" t="s">
        <v>63</v>
      </c>
      <c r="P71" s="11">
        <v>0.39539282506193058</v>
      </c>
      <c r="Q71" s="11">
        <v>3.125E-2</v>
      </c>
      <c r="R71">
        <v>0.38119193777070348</v>
      </c>
      <c r="S71">
        <v>2.148528301996119E-2</v>
      </c>
      <c r="T71" s="9" t="s">
        <v>40</v>
      </c>
      <c r="U71" s="9" t="s">
        <v>46</v>
      </c>
      <c r="V71" s="9" t="s">
        <v>276</v>
      </c>
      <c r="W71" s="9" t="s">
        <v>867</v>
      </c>
      <c r="X71" s="9" t="s">
        <v>359</v>
      </c>
      <c r="Y71" s="1" t="s">
        <v>31</v>
      </c>
      <c r="Z71" s="1" t="s">
        <v>31</v>
      </c>
      <c r="AA71" s="3" t="s">
        <v>31</v>
      </c>
      <c r="AB71" s="11" t="s">
        <v>31</v>
      </c>
      <c r="AC71" s="11" t="s">
        <v>31</v>
      </c>
      <c r="AD71" s="10">
        <v>0</v>
      </c>
      <c r="AE71" s="9" t="s">
        <v>34</v>
      </c>
      <c r="AF71" s="9" t="s">
        <v>63</v>
      </c>
    </row>
    <row r="72" spans="1:32" x14ac:dyDescent="0.25">
      <c r="A72" s="9" t="s">
        <v>537</v>
      </c>
      <c r="B72" s="10" t="s">
        <v>480</v>
      </c>
      <c r="C72" s="1" t="s">
        <v>675</v>
      </c>
      <c r="D72" s="10">
        <v>2</v>
      </c>
      <c r="E72" s="10">
        <v>2007</v>
      </c>
      <c r="F72" s="9" t="s">
        <v>38</v>
      </c>
      <c r="G72" s="9" t="s">
        <v>54</v>
      </c>
      <c r="H72" s="1">
        <v>13.1</v>
      </c>
      <c r="I72" s="1">
        <v>3.1</v>
      </c>
      <c r="J72" s="9" t="s">
        <v>43</v>
      </c>
      <c r="K72" s="1">
        <v>1</v>
      </c>
      <c r="L72" s="10">
        <v>22</v>
      </c>
      <c r="M72" s="3">
        <v>0.38</v>
      </c>
      <c r="N72" s="11">
        <v>3.4859588571428582E-2</v>
      </c>
      <c r="O72">
        <v>489</v>
      </c>
      <c r="P72" s="11">
        <v>0.40005965005605648</v>
      </c>
      <c r="Q72" s="11">
        <v>5.2631578947368418E-2</v>
      </c>
      <c r="R72">
        <v>0.38897396362192138</v>
      </c>
      <c r="S72">
        <v>3.4299544118912367E-2</v>
      </c>
      <c r="T72" s="9" t="s">
        <v>40</v>
      </c>
      <c r="U72" s="9" t="s">
        <v>50</v>
      </c>
      <c r="V72" s="9" t="s">
        <v>276</v>
      </c>
      <c r="W72" s="9" t="s">
        <v>30</v>
      </c>
      <c r="X72" s="9" t="s">
        <v>369</v>
      </c>
      <c r="Y72" s="1">
        <v>14</v>
      </c>
      <c r="Z72" s="1">
        <v>15</v>
      </c>
      <c r="AA72" s="3">
        <f t="shared" ref="AA72:AA122" si="1">Y72/Z72</f>
        <v>0.93333333333333335</v>
      </c>
      <c r="AB72" s="11">
        <v>0.40286196729986118</v>
      </c>
      <c r="AC72" s="11">
        <v>0.21469007173181401</v>
      </c>
      <c r="AD72" s="10">
        <v>2</v>
      </c>
      <c r="AE72" s="9" t="s">
        <v>41</v>
      </c>
      <c r="AF72" s="9" t="s">
        <v>35</v>
      </c>
    </row>
    <row r="73" spans="1:32" x14ac:dyDescent="0.25">
      <c r="A73" s="9" t="s">
        <v>538</v>
      </c>
      <c r="B73" s="10" t="s">
        <v>481</v>
      </c>
      <c r="C73" s="1" t="s">
        <v>676</v>
      </c>
      <c r="D73" s="10">
        <v>2</v>
      </c>
      <c r="E73" s="10">
        <v>2008</v>
      </c>
      <c r="F73" s="9" t="s">
        <v>38</v>
      </c>
      <c r="G73" s="9" t="s">
        <v>29</v>
      </c>
      <c r="H73" s="1">
        <v>31.5</v>
      </c>
      <c r="I73" s="1">
        <v>11.1</v>
      </c>
      <c r="J73" s="9" t="s">
        <v>30</v>
      </c>
      <c r="K73" s="1">
        <v>0.56000000000000005</v>
      </c>
      <c r="L73" s="10">
        <v>27</v>
      </c>
      <c r="M73" s="3">
        <v>-0.29299999999999998</v>
      </c>
      <c r="N73" s="11">
        <v>3.2141232723115393E-2</v>
      </c>
      <c r="O73" t="s">
        <v>63</v>
      </c>
      <c r="P73" s="11">
        <v>-0.30184485643764231</v>
      </c>
      <c r="Q73" s="11">
        <v>4.1666666666666657E-2</v>
      </c>
      <c r="R73">
        <v>-0.29883129671523317</v>
      </c>
      <c r="S73">
        <v>3.1899008765650827E-2</v>
      </c>
      <c r="T73" s="9" t="s">
        <v>40</v>
      </c>
      <c r="U73" s="9" t="s">
        <v>31</v>
      </c>
      <c r="V73" s="9" t="s">
        <v>276</v>
      </c>
      <c r="W73" s="9" t="s">
        <v>30</v>
      </c>
      <c r="X73" s="9" t="s">
        <v>278</v>
      </c>
      <c r="Y73" s="1">
        <v>17.399999999999999</v>
      </c>
      <c r="Z73" s="1">
        <v>15</v>
      </c>
      <c r="AA73" s="3">
        <f t="shared" si="1"/>
        <v>1.1599999999999999</v>
      </c>
      <c r="AB73" s="11">
        <v>-0.2554177823114912</v>
      </c>
      <c r="AC73" s="11">
        <v>0.17045332279178119</v>
      </c>
      <c r="AD73" s="10">
        <v>3</v>
      </c>
      <c r="AE73" s="9" t="s">
        <v>41</v>
      </c>
      <c r="AF73" s="9" t="s">
        <v>63</v>
      </c>
    </row>
    <row r="74" spans="1:32" x14ac:dyDescent="0.25">
      <c r="A74" s="9" t="s">
        <v>865</v>
      </c>
      <c r="B74" s="10" t="s">
        <v>1059</v>
      </c>
      <c r="C74" s="1" t="s">
        <v>677</v>
      </c>
      <c r="D74" s="10">
        <v>2</v>
      </c>
      <c r="E74" s="10">
        <v>2008</v>
      </c>
      <c r="F74" s="9" t="s">
        <v>28</v>
      </c>
      <c r="G74" s="9" t="s">
        <v>29</v>
      </c>
      <c r="H74" s="1">
        <v>34.520000000000003</v>
      </c>
      <c r="I74" s="1">
        <v>10.34</v>
      </c>
      <c r="J74" s="9" t="s">
        <v>30</v>
      </c>
      <c r="K74" s="1">
        <v>0.68</v>
      </c>
      <c r="L74" s="10">
        <v>44</v>
      </c>
      <c r="M74" s="3">
        <v>0.15</v>
      </c>
      <c r="N74" s="11">
        <v>2.2221075581395348E-2</v>
      </c>
      <c r="O74" t="s">
        <v>63</v>
      </c>
      <c r="P74" s="11">
        <v>0.15114043593646681</v>
      </c>
      <c r="Q74" s="11">
        <v>2.4390243902439029E-2</v>
      </c>
      <c r="R74">
        <v>0.1518416667516731</v>
      </c>
      <c r="S74">
        <v>2.2195809084211291E-2</v>
      </c>
      <c r="T74" s="9" t="s">
        <v>40</v>
      </c>
      <c r="U74" s="9" t="s">
        <v>50</v>
      </c>
      <c r="V74" s="9" t="s">
        <v>276</v>
      </c>
      <c r="W74" s="9" t="s">
        <v>867</v>
      </c>
      <c r="X74" s="9" t="s">
        <v>373</v>
      </c>
      <c r="Y74" s="1" t="s">
        <v>31</v>
      </c>
      <c r="Z74" s="1" t="s">
        <v>31</v>
      </c>
      <c r="AA74" s="3" t="s">
        <v>31</v>
      </c>
      <c r="AB74" s="11" t="s">
        <v>31</v>
      </c>
      <c r="AC74" s="11" t="s">
        <v>31</v>
      </c>
      <c r="AD74" s="10">
        <v>0</v>
      </c>
      <c r="AE74" s="9" t="s">
        <v>34</v>
      </c>
      <c r="AF74" s="9" t="s">
        <v>63</v>
      </c>
    </row>
    <row r="75" spans="1:32" x14ac:dyDescent="0.25">
      <c r="A75" s="9" t="s">
        <v>865</v>
      </c>
      <c r="B75" s="10" t="s">
        <v>1060</v>
      </c>
      <c r="C75" s="1" t="s">
        <v>678</v>
      </c>
      <c r="D75" s="10">
        <v>2</v>
      </c>
      <c r="E75" s="10">
        <v>2008</v>
      </c>
      <c r="F75" s="9" t="s">
        <v>38</v>
      </c>
      <c r="G75" s="9" t="s">
        <v>29</v>
      </c>
      <c r="H75" s="1">
        <v>32.450000000000003</v>
      </c>
      <c r="I75" s="1">
        <v>12.88</v>
      </c>
      <c r="J75" s="9" t="s">
        <v>30</v>
      </c>
      <c r="K75" s="1">
        <v>0.51</v>
      </c>
      <c r="L75" s="10">
        <v>37</v>
      </c>
      <c r="M75" s="3">
        <v>-0.13</v>
      </c>
      <c r="N75" s="11">
        <v>2.6846822499999999E-2</v>
      </c>
      <c r="O75" t="s">
        <v>63</v>
      </c>
      <c r="P75" s="11">
        <v>-0.13073985002887839</v>
      </c>
      <c r="Q75" s="11">
        <v>2.9411764705882349E-2</v>
      </c>
      <c r="R75">
        <v>-0.1319484595071922</v>
      </c>
      <c r="S75">
        <v>2.681895360986283E-2</v>
      </c>
      <c r="T75" s="9" t="s">
        <v>40</v>
      </c>
      <c r="U75" s="9" t="s">
        <v>50</v>
      </c>
      <c r="V75" s="9" t="s">
        <v>276</v>
      </c>
      <c r="W75" s="9" t="s">
        <v>867</v>
      </c>
      <c r="X75" s="9" t="s">
        <v>373</v>
      </c>
      <c r="Y75" s="1" t="s">
        <v>31</v>
      </c>
      <c r="Z75" s="1" t="s">
        <v>31</v>
      </c>
      <c r="AA75" s="3" t="s">
        <v>31</v>
      </c>
      <c r="AB75" s="11" t="s">
        <v>31</v>
      </c>
      <c r="AC75" s="11" t="s">
        <v>31</v>
      </c>
      <c r="AD75" s="10">
        <v>0</v>
      </c>
      <c r="AE75" s="9" t="s">
        <v>34</v>
      </c>
      <c r="AF75" s="9" t="s">
        <v>63</v>
      </c>
    </row>
    <row r="76" spans="1:32" x14ac:dyDescent="0.25">
      <c r="A76" s="9" t="s">
        <v>203</v>
      </c>
      <c r="B76" s="10" t="s">
        <v>483</v>
      </c>
      <c r="C76" s="1" t="s">
        <v>679</v>
      </c>
      <c r="D76" s="10">
        <v>2</v>
      </c>
      <c r="E76" s="10">
        <v>2008</v>
      </c>
      <c r="F76" s="9" t="s">
        <v>28</v>
      </c>
      <c r="G76" s="9" t="s">
        <v>29</v>
      </c>
      <c r="H76" s="1">
        <v>59.75</v>
      </c>
      <c r="I76" s="1" t="s">
        <v>31</v>
      </c>
      <c r="J76" s="9" t="s">
        <v>30</v>
      </c>
      <c r="K76" s="1">
        <v>0.25</v>
      </c>
      <c r="L76" s="10">
        <v>31</v>
      </c>
      <c r="M76" s="3">
        <v>0.152</v>
      </c>
      <c r="N76" s="11">
        <v>3.18108598272E-2</v>
      </c>
      <c r="O76" t="s">
        <v>63</v>
      </c>
      <c r="P76" s="11">
        <v>0.1531871027319667</v>
      </c>
      <c r="Q76" s="11">
        <v>3.5714285714285712E-2</v>
      </c>
      <c r="R76">
        <v>0.15476899739167499</v>
      </c>
      <c r="S76">
        <v>3.1755562743430707E-2</v>
      </c>
      <c r="T76" s="9" t="s">
        <v>40</v>
      </c>
      <c r="U76" s="9" t="s">
        <v>31</v>
      </c>
      <c r="V76" s="9" t="s">
        <v>276</v>
      </c>
      <c r="W76" s="9" t="s">
        <v>867</v>
      </c>
      <c r="X76" s="9" t="s">
        <v>878</v>
      </c>
      <c r="Y76" s="1" t="s">
        <v>31</v>
      </c>
      <c r="Z76" s="1" t="s">
        <v>31</v>
      </c>
      <c r="AA76" s="3" t="s">
        <v>31</v>
      </c>
      <c r="AB76" s="11" t="s">
        <v>31</v>
      </c>
      <c r="AC76" s="11" t="s">
        <v>31</v>
      </c>
      <c r="AD76" s="10">
        <v>0</v>
      </c>
      <c r="AE76" s="9" t="s">
        <v>41</v>
      </c>
      <c r="AF76" s="9" t="s">
        <v>63</v>
      </c>
    </row>
    <row r="77" spans="1:32" x14ac:dyDescent="0.25">
      <c r="A77" s="9" t="s">
        <v>203</v>
      </c>
      <c r="B77" s="10" t="s">
        <v>482</v>
      </c>
      <c r="C77" s="1" t="s">
        <v>680</v>
      </c>
      <c r="D77" s="10">
        <v>2</v>
      </c>
      <c r="E77" s="10">
        <v>2008</v>
      </c>
      <c r="F77" s="9" t="s">
        <v>38</v>
      </c>
      <c r="G77" s="9" t="s">
        <v>29</v>
      </c>
      <c r="H77" s="1">
        <v>51.11</v>
      </c>
      <c r="I77" s="1" t="s">
        <v>31</v>
      </c>
      <c r="J77" s="9" t="s">
        <v>30</v>
      </c>
      <c r="K77" s="1">
        <v>0.43</v>
      </c>
      <c r="L77" s="10">
        <v>55</v>
      </c>
      <c r="M77" s="3">
        <v>0.13300000000000001</v>
      </c>
      <c r="N77" s="11">
        <v>1.7869164828166671E-2</v>
      </c>
      <c r="O77" t="s">
        <v>63</v>
      </c>
      <c r="P77" s="11">
        <v>0.13379264212373229</v>
      </c>
      <c r="Q77" s="11">
        <v>1.9230769230769228E-2</v>
      </c>
      <c r="R77">
        <v>0.13428602743927481</v>
      </c>
      <c r="S77">
        <v>1.7856661208867291E-2</v>
      </c>
      <c r="T77" s="9" t="s">
        <v>40</v>
      </c>
      <c r="U77" s="9" t="s">
        <v>31</v>
      </c>
      <c r="V77" s="9" t="s">
        <v>276</v>
      </c>
      <c r="W77" s="9" t="s">
        <v>867</v>
      </c>
      <c r="X77" s="9" t="s">
        <v>878</v>
      </c>
      <c r="Y77" s="1" t="s">
        <v>31</v>
      </c>
      <c r="Z77" s="1" t="s">
        <v>31</v>
      </c>
      <c r="AA77" s="3" t="s">
        <v>31</v>
      </c>
      <c r="AB77" s="11" t="s">
        <v>31</v>
      </c>
      <c r="AC77" s="11" t="s">
        <v>31</v>
      </c>
      <c r="AD77" s="10">
        <v>0</v>
      </c>
      <c r="AE77" s="9" t="s">
        <v>41</v>
      </c>
      <c r="AF77" s="9" t="s">
        <v>63</v>
      </c>
    </row>
    <row r="78" spans="1:32" x14ac:dyDescent="0.25">
      <c r="A78" s="9" t="s">
        <v>853</v>
      </c>
      <c r="B78" s="10" t="s">
        <v>1061</v>
      </c>
      <c r="C78" s="1" t="s">
        <v>681</v>
      </c>
      <c r="D78" s="10">
        <v>2</v>
      </c>
      <c r="E78" s="10">
        <v>2009</v>
      </c>
      <c r="F78" s="9" t="s">
        <v>28</v>
      </c>
      <c r="G78" s="9" t="s">
        <v>54</v>
      </c>
      <c r="H78" s="1">
        <v>14.5</v>
      </c>
      <c r="I78" s="1">
        <v>1.5</v>
      </c>
      <c r="J78" s="9" t="s">
        <v>30</v>
      </c>
      <c r="K78" s="1">
        <v>0.08</v>
      </c>
      <c r="L78" s="10">
        <v>12</v>
      </c>
      <c r="M78" s="3">
        <v>0.112</v>
      </c>
      <c r="N78" s="11">
        <v>8.8642668357818186E-2</v>
      </c>
      <c r="O78" t="s">
        <v>63</v>
      </c>
      <c r="P78" s="11">
        <v>0.1124718659091789</v>
      </c>
      <c r="Q78" s="11">
        <v>0.1111111111111111</v>
      </c>
      <c r="R78">
        <v>0.11908057439597421</v>
      </c>
      <c r="S78">
        <v>8.8349155563508364E-2</v>
      </c>
      <c r="T78" s="9" t="s">
        <v>40</v>
      </c>
      <c r="U78" s="9" t="s">
        <v>31</v>
      </c>
      <c r="V78" s="9" t="s">
        <v>276</v>
      </c>
      <c r="W78" s="9" t="s">
        <v>867</v>
      </c>
      <c r="X78" s="9" t="s">
        <v>356</v>
      </c>
      <c r="Y78" s="1" t="s">
        <v>31</v>
      </c>
      <c r="Z78" s="1" t="s">
        <v>31</v>
      </c>
      <c r="AA78" s="3" t="s">
        <v>31</v>
      </c>
      <c r="AB78" s="11" t="s">
        <v>31</v>
      </c>
      <c r="AC78" s="11" t="s">
        <v>31</v>
      </c>
      <c r="AD78" s="10">
        <v>0</v>
      </c>
      <c r="AE78" s="9" t="s">
        <v>34</v>
      </c>
      <c r="AF78" s="9" t="s">
        <v>63</v>
      </c>
    </row>
    <row r="79" spans="1:32" x14ac:dyDescent="0.25">
      <c r="A79" s="9" t="s">
        <v>853</v>
      </c>
      <c r="B79" s="10" t="s">
        <v>1062</v>
      </c>
      <c r="C79" s="1" t="s">
        <v>682</v>
      </c>
      <c r="D79" s="10">
        <v>2</v>
      </c>
      <c r="E79" s="10">
        <v>2009</v>
      </c>
      <c r="F79" s="9" t="s">
        <v>38</v>
      </c>
      <c r="G79" s="9" t="s">
        <v>54</v>
      </c>
      <c r="H79" s="1">
        <v>14.6</v>
      </c>
      <c r="I79" s="1">
        <v>3.2</v>
      </c>
      <c r="J79" s="9" t="s">
        <v>30</v>
      </c>
      <c r="K79" s="1">
        <v>0.11</v>
      </c>
      <c r="L79" s="10">
        <v>9</v>
      </c>
      <c r="M79" s="3">
        <v>0.42599999999999999</v>
      </c>
      <c r="N79" s="11">
        <v>8.3747692322000009E-2</v>
      </c>
      <c r="O79" t="s">
        <v>63</v>
      </c>
      <c r="P79" s="11">
        <v>0.45499960232733738</v>
      </c>
      <c r="Q79" s="11">
        <v>0.16666666666666671</v>
      </c>
      <c r="R79">
        <v>0.45875342799938579</v>
      </c>
      <c r="S79">
        <v>7.7922721073902149E-2</v>
      </c>
      <c r="T79" s="9" t="s">
        <v>40</v>
      </c>
      <c r="U79" s="9" t="s">
        <v>31</v>
      </c>
      <c r="V79" s="9" t="s">
        <v>276</v>
      </c>
      <c r="W79" s="9" t="s">
        <v>867</v>
      </c>
      <c r="X79" s="9" t="s">
        <v>356</v>
      </c>
      <c r="Y79" s="1" t="s">
        <v>31</v>
      </c>
      <c r="Z79" s="1" t="s">
        <v>31</v>
      </c>
      <c r="AA79" s="3" t="s">
        <v>31</v>
      </c>
      <c r="AB79" s="11" t="s">
        <v>31</v>
      </c>
      <c r="AC79" s="11" t="s">
        <v>31</v>
      </c>
      <c r="AD79" s="10">
        <v>0</v>
      </c>
      <c r="AE79" s="9" t="s">
        <v>34</v>
      </c>
      <c r="AF79" s="9" t="s">
        <v>63</v>
      </c>
    </row>
    <row r="80" spans="1:32" x14ac:dyDescent="0.25">
      <c r="A80" s="9" t="s">
        <v>540</v>
      </c>
      <c r="B80" s="10" t="s">
        <v>485</v>
      </c>
      <c r="C80" s="1" t="s">
        <v>683</v>
      </c>
      <c r="D80" s="10">
        <v>2</v>
      </c>
      <c r="E80" s="10">
        <v>2009</v>
      </c>
      <c r="F80" s="9" t="s">
        <v>38</v>
      </c>
      <c r="G80" s="9" t="s">
        <v>54</v>
      </c>
      <c r="H80" s="1">
        <v>12.08</v>
      </c>
      <c r="I80" s="1">
        <v>6.85</v>
      </c>
      <c r="J80" s="9" t="s">
        <v>31</v>
      </c>
      <c r="K80" s="1" t="s">
        <v>31</v>
      </c>
      <c r="L80" s="10">
        <v>11</v>
      </c>
      <c r="M80" s="3">
        <v>-0.65</v>
      </c>
      <c r="N80" s="11">
        <v>3.3350624999999988E-2</v>
      </c>
      <c r="O80">
        <v>279</v>
      </c>
      <c r="P80" s="11">
        <v>-0.7752987062055835</v>
      </c>
      <c r="Q80" s="11">
        <v>0.125</v>
      </c>
      <c r="R80">
        <v>-0.6739244302426366</v>
      </c>
      <c r="S80">
        <v>2.9792587197970521E-2</v>
      </c>
      <c r="T80" s="9" t="s">
        <v>40</v>
      </c>
      <c r="U80" s="9" t="s">
        <v>50</v>
      </c>
      <c r="V80" s="9" t="s">
        <v>276</v>
      </c>
      <c r="W80" s="9" t="s">
        <v>30</v>
      </c>
      <c r="X80" s="9" t="s">
        <v>879</v>
      </c>
      <c r="Y80" s="1" t="s">
        <v>31</v>
      </c>
      <c r="Z80" s="1" t="s">
        <v>31</v>
      </c>
      <c r="AA80" s="3" t="s">
        <v>31</v>
      </c>
      <c r="AB80" s="11" t="s">
        <v>31</v>
      </c>
      <c r="AC80" s="11" t="s">
        <v>31</v>
      </c>
      <c r="AD80" s="10">
        <v>0</v>
      </c>
      <c r="AE80" s="9" t="s">
        <v>34</v>
      </c>
      <c r="AF80" s="9" t="s">
        <v>35</v>
      </c>
    </row>
    <row r="81" spans="1:32" x14ac:dyDescent="0.25">
      <c r="A81" s="9" t="s">
        <v>540</v>
      </c>
      <c r="B81" s="10" t="s">
        <v>484</v>
      </c>
      <c r="C81" s="1" t="s">
        <v>684</v>
      </c>
      <c r="D81" s="10">
        <v>2</v>
      </c>
      <c r="E81" s="10">
        <v>2009</v>
      </c>
      <c r="F81" s="9" t="s">
        <v>38</v>
      </c>
      <c r="G81" s="9" t="s">
        <v>54</v>
      </c>
      <c r="H81" s="1">
        <v>9.25</v>
      </c>
      <c r="I81" s="1" t="s">
        <v>31</v>
      </c>
      <c r="J81" s="9" t="s">
        <v>31</v>
      </c>
      <c r="K81" s="1" t="s">
        <v>31</v>
      </c>
      <c r="L81" s="10">
        <v>5</v>
      </c>
      <c r="M81" s="3">
        <v>0.83999999999999897</v>
      </c>
      <c r="N81" s="11">
        <v>2.1667840000000261E-2</v>
      </c>
      <c r="O81">
        <v>279</v>
      </c>
      <c r="P81" s="11">
        <v>1.221173517684599</v>
      </c>
      <c r="Q81" s="11">
        <v>0.5</v>
      </c>
      <c r="R81">
        <v>0.8878788869643951</v>
      </c>
      <c r="S81">
        <v>1.1201161747532939E-2</v>
      </c>
      <c r="T81" s="9" t="s">
        <v>40</v>
      </c>
      <c r="U81" s="9" t="s">
        <v>50</v>
      </c>
      <c r="V81" s="9" t="s">
        <v>276</v>
      </c>
      <c r="W81" s="9" t="s">
        <v>30</v>
      </c>
      <c r="X81" s="9" t="s">
        <v>879</v>
      </c>
      <c r="Y81" s="1" t="s">
        <v>31</v>
      </c>
      <c r="Z81" s="1" t="s">
        <v>31</v>
      </c>
      <c r="AA81" s="3" t="s">
        <v>31</v>
      </c>
      <c r="AB81" s="11" t="s">
        <v>31</v>
      </c>
      <c r="AC81" s="11" t="s">
        <v>31</v>
      </c>
      <c r="AD81" s="10">
        <v>0</v>
      </c>
      <c r="AE81" s="9" t="s">
        <v>34</v>
      </c>
      <c r="AF81" s="9" t="s">
        <v>35</v>
      </c>
    </row>
    <row r="82" spans="1:32" x14ac:dyDescent="0.25">
      <c r="A82" s="9" t="s">
        <v>540</v>
      </c>
      <c r="B82" s="10" t="s">
        <v>486</v>
      </c>
      <c r="C82" s="1" t="s">
        <v>685</v>
      </c>
      <c r="D82" s="10">
        <v>2</v>
      </c>
      <c r="E82" s="10">
        <v>2009</v>
      </c>
      <c r="F82" s="9" t="s">
        <v>28</v>
      </c>
      <c r="G82" s="9" t="s">
        <v>54</v>
      </c>
      <c r="H82" s="1">
        <v>16.53</v>
      </c>
      <c r="I82" s="1" t="s">
        <v>31</v>
      </c>
      <c r="J82" s="9" t="s">
        <v>31</v>
      </c>
      <c r="K82" s="1" t="s">
        <v>31</v>
      </c>
      <c r="L82" s="10">
        <v>6</v>
      </c>
      <c r="M82" s="3">
        <v>0.76</v>
      </c>
      <c r="N82" s="11">
        <v>3.5684352000000003E-2</v>
      </c>
      <c r="O82">
        <v>279</v>
      </c>
      <c r="P82" s="11">
        <v>0.99621508234510314</v>
      </c>
      <c r="Q82" s="11">
        <v>0.33333333333333331</v>
      </c>
      <c r="R82">
        <v>0.80839400255246185</v>
      </c>
      <c r="S82">
        <v>2.4012330338066431E-2</v>
      </c>
      <c r="T82" s="9" t="s">
        <v>40</v>
      </c>
      <c r="U82" s="9" t="s">
        <v>50</v>
      </c>
      <c r="V82" s="9" t="s">
        <v>276</v>
      </c>
      <c r="W82" s="9" t="s">
        <v>30</v>
      </c>
      <c r="X82" s="9" t="s">
        <v>879</v>
      </c>
      <c r="Y82" s="1" t="s">
        <v>31</v>
      </c>
      <c r="Z82" s="1" t="s">
        <v>31</v>
      </c>
      <c r="AA82" s="3" t="s">
        <v>31</v>
      </c>
      <c r="AB82" s="11" t="s">
        <v>31</v>
      </c>
      <c r="AC82" s="11" t="s">
        <v>31</v>
      </c>
      <c r="AD82" s="10">
        <v>0</v>
      </c>
      <c r="AE82" s="9" t="s">
        <v>34</v>
      </c>
      <c r="AF82" s="9" t="s">
        <v>35</v>
      </c>
    </row>
    <row r="83" spans="1:32" x14ac:dyDescent="0.25">
      <c r="A83" s="9" t="s">
        <v>541</v>
      </c>
      <c r="B83" s="10" t="s">
        <v>488</v>
      </c>
      <c r="C83" s="1" t="s">
        <v>686</v>
      </c>
      <c r="D83" s="10">
        <v>2</v>
      </c>
      <c r="E83" s="10">
        <v>2009</v>
      </c>
      <c r="F83" s="9" t="s">
        <v>28</v>
      </c>
      <c r="G83" s="9" t="s">
        <v>54</v>
      </c>
      <c r="H83" s="1">
        <v>10.4</v>
      </c>
      <c r="I83" s="1">
        <v>1.24</v>
      </c>
      <c r="J83" s="9" t="s">
        <v>30</v>
      </c>
      <c r="K83" s="1">
        <v>0.56999999999999995</v>
      </c>
      <c r="L83" s="10">
        <v>47</v>
      </c>
      <c r="M83" s="3">
        <v>0.20499999999999999</v>
      </c>
      <c r="N83" s="11">
        <v>1.995035001358696E-2</v>
      </c>
      <c r="O83" t="s">
        <v>63</v>
      </c>
      <c r="P83" s="11">
        <v>0.20794636563521179</v>
      </c>
      <c r="Q83" s="11">
        <v>2.2727272727272731E-2</v>
      </c>
      <c r="R83">
        <v>0.20729138172634229</v>
      </c>
      <c r="S83">
        <v>1.9911020928210892E-2</v>
      </c>
      <c r="T83" s="9" t="s">
        <v>40</v>
      </c>
      <c r="U83" s="9" t="s">
        <v>50</v>
      </c>
      <c r="V83" s="9" t="s">
        <v>276</v>
      </c>
      <c r="W83" s="9" t="s">
        <v>867</v>
      </c>
      <c r="X83" s="9" t="s">
        <v>370</v>
      </c>
      <c r="Y83" s="1">
        <v>15.8</v>
      </c>
      <c r="Z83" s="1">
        <v>15</v>
      </c>
      <c r="AA83" s="3">
        <f t="shared" si="1"/>
        <v>1.0533333333333335</v>
      </c>
      <c r="AB83" s="11">
        <v>0.19502515145279051</v>
      </c>
      <c r="AC83" s="11">
        <v>0.13938395231624681</v>
      </c>
      <c r="AD83" s="10">
        <v>0</v>
      </c>
      <c r="AE83" s="9" t="s">
        <v>34</v>
      </c>
      <c r="AF83" s="9" t="s">
        <v>63</v>
      </c>
    </row>
    <row r="84" spans="1:32" x14ac:dyDescent="0.25">
      <c r="A84" s="9" t="s">
        <v>541</v>
      </c>
      <c r="B84" s="10" t="s">
        <v>487</v>
      </c>
      <c r="C84" s="1" t="s">
        <v>687</v>
      </c>
      <c r="D84" s="10">
        <v>2</v>
      </c>
      <c r="E84" s="10">
        <v>2009</v>
      </c>
      <c r="F84" s="9" t="s">
        <v>38</v>
      </c>
      <c r="G84" s="9" t="s">
        <v>54</v>
      </c>
      <c r="H84" s="1">
        <v>10.5</v>
      </c>
      <c r="I84" s="1">
        <v>1.27</v>
      </c>
      <c r="J84" s="9" t="s">
        <v>30</v>
      </c>
      <c r="K84" s="1">
        <v>0.53</v>
      </c>
      <c r="L84" s="10">
        <v>66</v>
      </c>
      <c r="M84" s="3">
        <v>0.35299999999999998</v>
      </c>
      <c r="N84" s="11">
        <v>1.1789375428938461E-2</v>
      </c>
      <c r="O84" t="s">
        <v>63</v>
      </c>
      <c r="P84" s="11">
        <v>0.36886666683494368</v>
      </c>
      <c r="Q84" s="11">
        <v>1.5873015873015869E-2</v>
      </c>
      <c r="R84">
        <v>0.35549040351908312</v>
      </c>
      <c r="S84">
        <v>1.174189829326042E-2</v>
      </c>
      <c r="T84" s="9" t="s">
        <v>40</v>
      </c>
      <c r="U84" s="9" t="s">
        <v>50</v>
      </c>
      <c r="V84" s="9" t="s">
        <v>276</v>
      </c>
      <c r="W84" s="9" t="s">
        <v>867</v>
      </c>
      <c r="X84" s="9" t="s">
        <v>370</v>
      </c>
      <c r="Y84" s="1">
        <v>14.7</v>
      </c>
      <c r="Z84" s="1">
        <v>15</v>
      </c>
      <c r="AA84" s="3">
        <f t="shared" si="1"/>
        <v>0.98</v>
      </c>
      <c r="AB84" s="11">
        <v>0.35928227153711251</v>
      </c>
      <c r="AC84" s="11">
        <v>0.1184258336084119</v>
      </c>
      <c r="AD84" s="10">
        <v>0</v>
      </c>
      <c r="AE84" s="9" t="s">
        <v>34</v>
      </c>
      <c r="AF84" s="9" t="s">
        <v>63</v>
      </c>
    </row>
    <row r="85" spans="1:32" x14ac:dyDescent="0.25">
      <c r="A85" s="9" t="s">
        <v>542</v>
      </c>
      <c r="B85" s="10" t="s">
        <v>280</v>
      </c>
      <c r="C85" s="1" t="s">
        <v>688</v>
      </c>
      <c r="D85" s="10">
        <v>2</v>
      </c>
      <c r="E85" s="10">
        <v>2009</v>
      </c>
      <c r="F85" s="9" t="s">
        <v>38</v>
      </c>
      <c r="G85" s="9" t="s">
        <v>29</v>
      </c>
      <c r="H85" s="1">
        <v>78.400000000000006</v>
      </c>
      <c r="I85" s="1">
        <v>1.5</v>
      </c>
      <c r="J85" s="9" t="s">
        <v>30</v>
      </c>
      <c r="K85" s="1">
        <v>0.28999999999999998</v>
      </c>
      <c r="L85" s="10">
        <v>107</v>
      </c>
      <c r="M85" s="3">
        <v>0.13</v>
      </c>
      <c r="N85" s="11">
        <v>9.1177887735849061E-3</v>
      </c>
      <c r="O85">
        <v>6</v>
      </c>
      <c r="P85" s="11">
        <v>0.13073985002887839</v>
      </c>
      <c r="Q85" s="11">
        <v>9.6153846153846159E-3</v>
      </c>
      <c r="R85">
        <v>0.13062166723221691</v>
      </c>
      <c r="S85">
        <v>9.1147837039975855E-3</v>
      </c>
      <c r="T85" s="9" t="s">
        <v>40</v>
      </c>
      <c r="U85" s="9" t="s">
        <v>50</v>
      </c>
      <c r="V85" s="9" t="s">
        <v>276</v>
      </c>
      <c r="W85" s="9" t="s">
        <v>867</v>
      </c>
      <c r="X85" s="9" t="s">
        <v>375</v>
      </c>
      <c r="Y85" s="1" t="s">
        <v>31</v>
      </c>
      <c r="Z85" s="1" t="s">
        <v>31</v>
      </c>
      <c r="AA85" s="3" t="s">
        <v>31</v>
      </c>
      <c r="AB85" s="11" t="s">
        <v>31</v>
      </c>
      <c r="AC85" s="11" t="s">
        <v>31</v>
      </c>
      <c r="AD85" s="10">
        <v>1</v>
      </c>
      <c r="AE85" s="9" t="s">
        <v>41</v>
      </c>
      <c r="AF85" s="9" t="s">
        <v>35</v>
      </c>
    </row>
    <row r="86" spans="1:32" x14ac:dyDescent="0.25">
      <c r="A86" s="9" t="s">
        <v>543</v>
      </c>
      <c r="B86" s="10" t="s">
        <v>489</v>
      </c>
      <c r="C86" s="1" t="s">
        <v>689</v>
      </c>
      <c r="D86" s="10">
        <v>2</v>
      </c>
      <c r="E86" s="10">
        <v>2009</v>
      </c>
      <c r="F86" s="9" t="s">
        <v>38</v>
      </c>
      <c r="G86" s="9" t="s">
        <v>54</v>
      </c>
      <c r="H86" s="1">
        <v>9.1</v>
      </c>
      <c r="I86" s="1">
        <v>0.1</v>
      </c>
      <c r="J86" s="9" t="s">
        <v>30</v>
      </c>
      <c r="K86" s="1">
        <v>0.5</v>
      </c>
      <c r="L86" s="10">
        <v>209</v>
      </c>
      <c r="M86" s="3">
        <v>0.33</v>
      </c>
      <c r="N86" s="11">
        <v>3.8175923557692312E-3</v>
      </c>
      <c r="O86">
        <v>186</v>
      </c>
      <c r="P86" s="11">
        <v>0.34282825441539388</v>
      </c>
      <c r="Q86" s="11">
        <v>4.8543689320388354E-3</v>
      </c>
      <c r="R86">
        <v>0.33071723419530052</v>
      </c>
      <c r="S86">
        <v>3.813533026952151E-3</v>
      </c>
      <c r="T86" s="9" t="s">
        <v>40</v>
      </c>
      <c r="U86" s="9" t="s">
        <v>50</v>
      </c>
      <c r="V86" s="9" t="s">
        <v>276</v>
      </c>
      <c r="W86" s="9" t="s">
        <v>867</v>
      </c>
      <c r="X86" s="9" t="s">
        <v>880</v>
      </c>
      <c r="Y86" s="1">
        <v>15</v>
      </c>
      <c r="Z86" s="1">
        <v>15</v>
      </c>
      <c r="AA86" s="3">
        <f t="shared" si="1"/>
        <v>1</v>
      </c>
      <c r="AB86" s="11">
        <v>0.33</v>
      </c>
      <c r="AC86" s="11">
        <v>6.5611210306428552E-2</v>
      </c>
      <c r="AD86" s="10">
        <v>1</v>
      </c>
      <c r="AE86" s="9" t="s">
        <v>41</v>
      </c>
      <c r="AF86" s="9" t="s">
        <v>35</v>
      </c>
    </row>
    <row r="87" spans="1:32" x14ac:dyDescent="0.25">
      <c r="A87" s="9" t="s">
        <v>544</v>
      </c>
      <c r="B87" s="10" t="s">
        <v>492</v>
      </c>
      <c r="C87" s="1" t="s">
        <v>690</v>
      </c>
      <c r="D87" s="10">
        <v>2</v>
      </c>
      <c r="E87" s="10">
        <v>2009</v>
      </c>
      <c r="F87" s="9" t="s">
        <v>28</v>
      </c>
      <c r="G87" s="9" t="s">
        <v>29</v>
      </c>
      <c r="H87" s="1">
        <v>32</v>
      </c>
      <c r="I87" s="1">
        <v>5</v>
      </c>
      <c r="J87" s="9" t="s">
        <v>39</v>
      </c>
      <c r="K87" s="1">
        <v>0</v>
      </c>
      <c r="L87" s="10">
        <v>13</v>
      </c>
      <c r="M87" s="3">
        <v>0.35299999999999998</v>
      </c>
      <c r="N87" s="11">
        <v>6.3859116906750002E-2</v>
      </c>
      <c r="O87" t="s">
        <v>63</v>
      </c>
      <c r="P87" s="11">
        <v>0.36886666683494368</v>
      </c>
      <c r="Q87" s="11">
        <v>0.1</v>
      </c>
      <c r="R87">
        <v>0.36996595665945131</v>
      </c>
      <c r="S87">
        <v>6.2082091265725087E-2</v>
      </c>
      <c r="T87" s="9" t="s">
        <v>40</v>
      </c>
      <c r="U87" s="9" t="s">
        <v>31</v>
      </c>
      <c r="V87" s="9" t="s">
        <v>276</v>
      </c>
      <c r="W87" s="9" t="s">
        <v>30</v>
      </c>
      <c r="X87" s="9" t="s">
        <v>371</v>
      </c>
      <c r="Y87" s="1">
        <v>14</v>
      </c>
      <c r="Z87" s="1">
        <v>15</v>
      </c>
      <c r="AA87" s="3">
        <f t="shared" si="1"/>
        <v>0.93333333333333335</v>
      </c>
      <c r="AB87" s="11">
        <v>0.37477519129554587</v>
      </c>
      <c r="AC87" s="11">
        <v>0.29408077665849058</v>
      </c>
      <c r="AD87" s="10">
        <v>0</v>
      </c>
      <c r="AE87" s="9" t="s">
        <v>34</v>
      </c>
      <c r="AF87" s="9" t="s">
        <v>63</v>
      </c>
    </row>
    <row r="88" spans="1:32" x14ac:dyDescent="0.25">
      <c r="A88" s="9" t="s">
        <v>544</v>
      </c>
      <c r="B88" s="10" t="s">
        <v>491</v>
      </c>
      <c r="C88" s="1" t="s">
        <v>691</v>
      </c>
      <c r="D88" s="10">
        <v>2</v>
      </c>
      <c r="E88" s="10">
        <v>2009</v>
      </c>
      <c r="F88" s="9" t="s">
        <v>38</v>
      </c>
      <c r="G88" s="9" t="s">
        <v>29</v>
      </c>
      <c r="H88" s="1">
        <v>33</v>
      </c>
      <c r="I88" s="1">
        <v>7</v>
      </c>
      <c r="J88" s="9" t="s">
        <v>39</v>
      </c>
      <c r="K88" s="1">
        <v>0</v>
      </c>
      <c r="L88" s="10">
        <v>25</v>
      </c>
      <c r="M88" s="3">
        <v>2E-3</v>
      </c>
      <c r="N88" s="11">
        <v>4.1666333334000001E-2</v>
      </c>
      <c r="O88" t="s">
        <v>63</v>
      </c>
      <c r="P88" s="11">
        <v>2.000002666673069E-3</v>
      </c>
      <c r="Q88" s="11">
        <v>4.5454545454545463E-2</v>
      </c>
      <c r="R88">
        <v>2.0481718711516301E-3</v>
      </c>
      <c r="S88">
        <v>4.1666317083398782E-2</v>
      </c>
      <c r="T88" s="9" t="s">
        <v>40</v>
      </c>
      <c r="U88" s="9" t="s">
        <v>31</v>
      </c>
      <c r="V88" s="9" t="s">
        <v>276</v>
      </c>
      <c r="W88" s="9" t="s">
        <v>30</v>
      </c>
      <c r="X88" s="9" t="s">
        <v>371</v>
      </c>
      <c r="Y88" s="1">
        <v>13</v>
      </c>
      <c r="Z88" s="1">
        <v>15</v>
      </c>
      <c r="AA88" s="3">
        <f t="shared" si="1"/>
        <v>0.8666666666666667</v>
      </c>
      <c r="AB88" s="11">
        <v>2.3076907783356119E-3</v>
      </c>
      <c r="AC88" s="11">
        <v>0.2405925951555504</v>
      </c>
      <c r="AD88" s="10">
        <v>0</v>
      </c>
      <c r="AE88" s="9" t="s">
        <v>34</v>
      </c>
      <c r="AF88" s="9" t="s">
        <v>63</v>
      </c>
    </row>
    <row r="89" spans="1:32" x14ac:dyDescent="0.25">
      <c r="A89" s="9" t="s">
        <v>544</v>
      </c>
      <c r="B89" s="10" t="s">
        <v>490</v>
      </c>
      <c r="C89" s="1" t="s">
        <v>692</v>
      </c>
      <c r="D89" s="10">
        <v>2</v>
      </c>
      <c r="E89" s="10">
        <v>2009</v>
      </c>
      <c r="F89" s="9" t="s">
        <v>28</v>
      </c>
      <c r="G89" s="9" t="s">
        <v>29</v>
      </c>
      <c r="H89" s="1">
        <v>32</v>
      </c>
      <c r="I89" s="1">
        <v>7</v>
      </c>
      <c r="J89" s="9" t="s">
        <v>39</v>
      </c>
      <c r="K89" s="1">
        <v>0</v>
      </c>
      <c r="L89" s="10">
        <v>10</v>
      </c>
      <c r="M89" s="3">
        <v>-0.17</v>
      </c>
      <c r="N89" s="11">
        <v>0.10478169</v>
      </c>
      <c r="O89" t="s">
        <v>63</v>
      </c>
      <c r="P89" s="11">
        <v>-0.1716666635005791</v>
      </c>
      <c r="Q89" s="11">
        <v>0.1428571428571429</v>
      </c>
      <c r="R89">
        <v>-0.18405609858010941</v>
      </c>
      <c r="S89">
        <v>0.1037104813768516</v>
      </c>
      <c r="T89" s="9" t="s">
        <v>40</v>
      </c>
      <c r="U89" s="9" t="s">
        <v>31</v>
      </c>
      <c r="V89" s="9" t="s">
        <v>276</v>
      </c>
      <c r="W89" s="9" t="s">
        <v>30</v>
      </c>
      <c r="X89" s="9" t="s">
        <v>371</v>
      </c>
      <c r="Y89" s="1">
        <v>11</v>
      </c>
      <c r="Z89" s="1">
        <v>15</v>
      </c>
      <c r="AA89" s="3">
        <f t="shared" si="1"/>
        <v>0.73333333333333328</v>
      </c>
      <c r="AB89" s="11">
        <v>-0.22899158936469211</v>
      </c>
      <c r="AC89" s="11">
        <v>0.45793270973166428</v>
      </c>
      <c r="AD89" s="10">
        <v>0</v>
      </c>
      <c r="AE89" s="9" t="s">
        <v>34</v>
      </c>
      <c r="AF89" s="9" t="s">
        <v>63</v>
      </c>
    </row>
    <row r="90" spans="1:32" x14ac:dyDescent="0.25">
      <c r="A90" s="9" t="s">
        <v>854</v>
      </c>
      <c r="B90" s="10" t="s">
        <v>1063</v>
      </c>
      <c r="C90" s="1" t="s">
        <v>693</v>
      </c>
      <c r="D90" s="10">
        <v>2</v>
      </c>
      <c r="E90" s="10">
        <v>2010</v>
      </c>
      <c r="F90" s="9" t="s">
        <v>38</v>
      </c>
      <c r="G90" s="9" t="s">
        <v>54</v>
      </c>
      <c r="H90" s="1">
        <v>11.4</v>
      </c>
      <c r="I90" s="1" t="s">
        <v>31</v>
      </c>
      <c r="J90" s="9" t="s">
        <v>30</v>
      </c>
      <c r="K90" s="1">
        <v>0.52</v>
      </c>
      <c r="L90" s="10">
        <v>142</v>
      </c>
      <c r="M90" s="3">
        <v>0.14000000000000001</v>
      </c>
      <c r="N90" s="11">
        <v>6.8169089361702134E-3</v>
      </c>
      <c r="O90">
        <v>140</v>
      </c>
      <c r="P90" s="11">
        <v>0.14092557607049391</v>
      </c>
      <c r="Q90" s="11">
        <v>7.1942446043165471E-3</v>
      </c>
      <c r="R90">
        <v>0.1404980404343715</v>
      </c>
      <c r="S90">
        <v>6.8149663616968769E-3</v>
      </c>
      <c r="T90" s="9" t="s">
        <v>40</v>
      </c>
      <c r="U90" s="9" t="s">
        <v>50</v>
      </c>
      <c r="V90" s="9" t="s">
        <v>276</v>
      </c>
      <c r="W90" s="9" t="s">
        <v>30</v>
      </c>
      <c r="X90" s="9" t="s">
        <v>301</v>
      </c>
      <c r="Y90" s="1">
        <v>12.34</v>
      </c>
      <c r="Z90" s="1">
        <v>15</v>
      </c>
      <c r="AA90" s="3">
        <f t="shared" si="1"/>
        <v>0.82266666666666666</v>
      </c>
      <c r="AB90" s="11">
        <v>0.16938734101905761</v>
      </c>
      <c r="AC90" s="11">
        <v>0.1003099882932736</v>
      </c>
      <c r="AD90" s="10">
        <v>2</v>
      </c>
      <c r="AE90" s="9" t="s">
        <v>41</v>
      </c>
      <c r="AF90" s="9" t="s">
        <v>35</v>
      </c>
    </row>
    <row r="91" spans="1:32" x14ac:dyDescent="0.25">
      <c r="A91" s="9" t="s">
        <v>545</v>
      </c>
      <c r="B91" s="10" t="s">
        <v>495</v>
      </c>
      <c r="C91" s="1" t="s">
        <v>694</v>
      </c>
      <c r="D91" s="10">
        <v>2</v>
      </c>
      <c r="E91" s="10">
        <v>2010</v>
      </c>
      <c r="F91" s="9" t="s">
        <v>28</v>
      </c>
      <c r="G91" s="9" t="s">
        <v>29</v>
      </c>
      <c r="H91" s="1">
        <v>36.090000000000003</v>
      </c>
      <c r="I91" s="1" t="s">
        <v>31</v>
      </c>
      <c r="J91" s="9" t="s">
        <v>30</v>
      </c>
      <c r="K91" s="1">
        <v>0.35</v>
      </c>
      <c r="L91" s="10">
        <v>77</v>
      </c>
      <c r="M91" s="3">
        <v>0.28199999999999997</v>
      </c>
      <c r="N91" s="11">
        <v>1.1148369297052631E-2</v>
      </c>
      <c r="O91" t="s">
        <v>63</v>
      </c>
      <c r="P91" s="11">
        <v>0.28985353421619559</v>
      </c>
      <c r="Q91" s="11">
        <v>1.3513513513513511E-2</v>
      </c>
      <c r="R91">
        <v>0.28377947292097938</v>
      </c>
      <c r="S91">
        <v>1.112399512519501E-2</v>
      </c>
      <c r="T91" s="9" t="s">
        <v>40</v>
      </c>
      <c r="U91" s="9" t="s">
        <v>31</v>
      </c>
      <c r="V91" s="9" t="s">
        <v>276</v>
      </c>
      <c r="W91" s="9" t="s">
        <v>30</v>
      </c>
      <c r="X91" s="9" t="s">
        <v>293</v>
      </c>
      <c r="Y91" s="1" t="s">
        <v>31</v>
      </c>
      <c r="Z91" s="1" t="s">
        <v>31</v>
      </c>
      <c r="AA91" s="3" t="s">
        <v>31</v>
      </c>
      <c r="AB91" s="11" t="s">
        <v>31</v>
      </c>
      <c r="AC91" s="11" t="s">
        <v>31</v>
      </c>
      <c r="AD91" s="10">
        <v>0</v>
      </c>
      <c r="AE91" s="9" t="s">
        <v>34</v>
      </c>
      <c r="AF91" s="9" t="s">
        <v>63</v>
      </c>
    </row>
    <row r="92" spans="1:32" x14ac:dyDescent="0.25">
      <c r="A92" s="9" t="s">
        <v>545</v>
      </c>
      <c r="B92" s="10" t="s">
        <v>494</v>
      </c>
      <c r="C92" s="1" t="s">
        <v>695</v>
      </c>
      <c r="D92" s="10">
        <v>2</v>
      </c>
      <c r="E92" s="10">
        <v>2010</v>
      </c>
      <c r="F92" s="9" t="s">
        <v>38</v>
      </c>
      <c r="G92" s="9" t="s">
        <v>29</v>
      </c>
      <c r="H92" s="1">
        <v>33.340000000000003</v>
      </c>
      <c r="I92" s="1">
        <v>12.6</v>
      </c>
      <c r="J92" s="9" t="s">
        <v>30</v>
      </c>
      <c r="K92" s="1">
        <v>0.42</v>
      </c>
      <c r="L92" s="10">
        <v>67</v>
      </c>
      <c r="M92" s="3">
        <v>0.23300000000000001</v>
      </c>
      <c r="N92" s="11">
        <v>1.355104993213636E-2</v>
      </c>
      <c r="O92" t="s">
        <v>63</v>
      </c>
      <c r="P92" s="11">
        <v>0.23735935089854401</v>
      </c>
      <c r="Q92" s="11">
        <v>1.5625E-2</v>
      </c>
      <c r="R92">
        <v>0.23475219197943969</v>
      </c>
      <c r="S92">
        <v>1.3527572327184051E-2</v>
      </c>
      <c r="T92" s="9" t="s">
        <v>40</v>
      </c>
      <c r="U92" s="9" t="s">
        <v>31</v>
      </c>
      <c r="V92" s="9" t="s">
        <v>276</v>
      </c>
      <c r="W92" s="9" t="s">
        <v>30</v>
      </c>
      <c r="X92" s="9" t="s">
        <v>293</v>
      </c>
      <c r="Y92" s="1" t="s">
        <v>31</v>
      </c>
      <c r="Z92" s="1" t="s">
        <v>31</v>
      </c>
      <c r="AA92" s="3" t="s">
        <v>31</v>
      </c>
      <c r="AB92" s="11" t="s">
        <v>31</v>
      </c>
      <c r="AC92" s="11" t="s">
        <v>31</v>
      </c>
      <c r="AD92" s="10">
        <v>0</v>
      </c>
      <c r="AE92" s="9" t="s">
        <v>34</v>
      </c>
      <c r="AF92" s="9" t="s">
        <v>63</v>
      </c>
    </row>
    <row r="93" spans="1:32" x14ac:dyDescent="0.25">
      <c r="A93" s="9" t="s">
        <v>231</v>
      </c>
      <c r="B93" s="10" t="s">
        <v>496</v>
      </c>
      <c r="C93" s="1" t="s">
        <v>696</v>
      </c>
      <c r="D93" s="10">
        <v>2</v>
      </c>
      <c r="E93" s="10">
        <v>2010</v>
      </c>
      <c r="F93" s="9" t="s">
        <v>38</v>
      </c>
      <c r="G93" s="9" t="s">
        <v>29</v>
      </c>
      <c r="H93" s="1">
        <v>68.69</v>
      </c>
      <c r="I93" s="1">
        <v>0.67</v>
      </c>
      <c r="J93" s="9" t="s">
        <v>30</v>
      </c>
      <c r="K93" s="1">
        <v>0.53</v>
      </c>
      <c r="L93" s="10">
        <v>235</v>
      </c>
      <c r="M93" s="3">
        <v>-2E-3</v>
      </c>
      <c r="N93" s="11">
        <v>4.2734700855384614E-3</v>
      </c>
      <c r="O93" t="s">
        <v>63</v>
      </c>
      <c r="P93" s="11">
        <v>-2.0000026666730638E-3</v>
      </c>
      <c r="Q93" s="11">
        <v>4.3103448275862068E-3</v>
      </c>
      <c r="R93">
        <v>-2.0043336617255208E-3</v>
      </c>
      <c r="S93">
        <v>4.2734699372191627E-3</v>
      </c>
      <c r="T93" s="9" t="s">
        <v>40</v>
      </c>
      <c r="U93" s="9" t="s">
        <v>46</v>
      </c>
      <c r="V93" s="9" t="s">
        <v>276</v>
      </c>
      <c r="W93" s="9" t="s">
        <v>867</v>
      </c>
      <c r="X93" s="9" t="s">
        <v>288</v>
      </c>
      <c r="Y93" s="1" t="s">
        <v>31</v>
      </c>
      <c r="Z93" s="1" t="s">
        <v>31</v>
      </c>
      <c r="AA93" s="3" t="s">
        <v>31</v>
      </c>
      <c r="AB93" s="11" t="s">
        <v>31</v>
      </c>
      <c r="AC93" s="11" t="s">
        <v>31</v>
      </c>
      <c r="AD93" s="10">
        <v>0</v>
      </c>
      <c r="AE93" s="9" t="s">
        <v>41</v>
      </c>
      <c r="AF93" s="9" t="s">
        <v>63</v>
      </c>
    </row>
    <row r="94" spans="1:32" x14ac:dyDescent="0.25">
      <c r="A94" s="9" t="s">
        <v>546</v>
      </c>
      <c r="B94" s="10" t="s">
        <v>497</v>
      </c>
      <c r="C94" s="1" t="s">
        <v>697</v>
      </c>
      <c r="D94" s="10">
        <v>2</v>
      </c>
      <c r="E94" s="10">
        <v>2010</v>
      </c>
      <c r="F94" s="9" t="s">
        <v>38</v>
      </c>
      <c r="G94" s="9" t="s">
        <v>54</v>
      </c>
      <c r="H94" s="1">
        <v>15.75</v>
      </c>
      <c r="I94" s="1">
        <v>1.1299999999999999</v>
      </c>
      <c r="J94" s="9" t="s">
        <v>39</v>
      </c>
      <c r="K94" s="1">
        <v>0</v>
      </c>
      <c r="L94" s="10">
        <v>24</v>
      </c>
      <c r="M94" s="3">
        <v>0</v>
      </c>
      <c r="N94" s="11">
        <v>4.3478260869565223E-2</v>
      </c>
      <c r="O94" t="s">
        <v>63</v>
      </c>
      <c r="P94" s="11">
        <v>0</v>
      </c>
      <c r="Q94" s="11">
        <v>4.7619047619047623E-2</v>
      </c>
      <c r="R94">
        <v>0</v>
      </c>
      <c r="S94">
        <v>4.3478260869565223E-2</v>
      </c>
      <c r="T94" s="9" t="s">
        <v>40</v>
      </c>
      <c r="U94" s="9" t="s">
        <v>50</v>
      </c>
      <c r="V94" s="9" t="s">
        <v>276</v>
      </c>
      <c r="W94" s="9" t="s">
        <v>30</v>
      </c>
      <c r="X94" s="9" t="s">
        <v>376</v>
      </c>
      <c r="Y94" s="1">
        <v>13.4</v>
      </c>
      <c r="Z94" s="1">
        <v>15</v>
      </c>
      <c r="AA94" s="3">
        <f t="shared" si="1"/>
        <v>0.89333333333333331</v>
      </c>
      <c r="AB94" s="11">
        <v>0</v>
      </c>
      <c r="AC94" s="11" t="s">
        <v>31</v>
      </c>
      <c r="AD94" s="10">
        <v>4</v>
      </c>
      <c r="AE94" s="9" t="s">
        <v>34</v>
      </c>
      <c r="AF94" s="9" t="s">
        <v>63</v>
      </c>
    </row>
    <row r="95" spans="1:32" x14ac:dyDescent="0.25">
      <c r="A95" s="9" t="s">
        <v>546</v>
      </c>
      <c r="B95" s="10" t="s">
        <v>981</v>
      </c>
      <c r="C95" s="1" t="s">
        <v>698</v>
      </c>
      <c r="D95" s="10">
        <v>2</v>
      </c>
      <c r="E95" s="10">
        <v>2010</v>
      </c>
      <c r="F95" s="9" t="s">
        <v>38</v>
      </c>
      <c r="G95" s="9" t="s">
        <v>54</v>
      </c>
      <c r="H95" s="1">
        <v>15.75</v>
      </c>
      <c r="I95" s="1">
        <v>1.1299999999999999</v>
      </c>
      <c r="J95" s="9" t="s">
        <v>43</v>
      </c>
      <c r="K95" s="1">
        <v>1</v>
      </c>
      <c r="L95" s="10">
        <v>26</v>
      </c>
      <c r="M95" s="3">
        <v>0.47899999999999998</v>
      </c>
      <c r="N95" s="11">
        <v>2.375044689924E-2</v>
      </c>
      <c r="O95">
        <v>360</v>
      </c>
      <c r="P95" s="11">
        <v>0.52168571047871648</v>
      </c>
      <c r="Q95" s="11">
        <v>4.3478260869565223E-2</v>
      </c>
      <c r="R95">
        <v>0.4872727122327658</v>
      </c>
      <c r="S95">
        <v>2.3260233709296821E-2</v>
      </c>
      <c r="T95" s="9" t="s">
        <v>40</v>
      </c>
      <c r="U95" s="9" t="s">
        <v>50</v>
      </c>
      <c r="V95" s="9" t="s">
        <v>276</v>
      </c>
      <c r="W95" s="9" t="s">
        <v>30</v>
      </c>
      <c r="X95" s="9" t="s">
        <v>376</v>
      </c>
      <c r="Y95" s="1">
        <v>12.4</v>
      </c>
      <c r="Z95" s="1">
        <v>15</v>
      </c>
      <c r="AA95" s="3">
        <f t="shared" si="1"/>
        <v>0.82666666666666666</v>
      </c>
      <c r="AB95" s="11">
        <v>0.55089363143727821</v>
      </c>
      <c r="AC95" s="11">
        <v>0.1862751385466177</v>
      </c>
      <c r="AD95" s="10">
        <v>4</v>
      </c>
      <c r="AE95" s="9" t="s">
        <v>34</v>
      </c>
      <c r="AF95" s="9" t="s">
        <v>35</v>
      </c>
    </row>
    <row r="96" spans="1:32" x14ac:dyDescent="0.25">
      <c r="A96" s="9" t="s">
        <v>548</v>
      </c>
      <c r="B96" s="10" t="s">
        <v>984</v>
      </c>
      <c r="C96" s="1" t="s">
        <v>699</v>
      </c>
      <c r="D96" s="10">
        <v>2</v>
      </c>
      <c r="E96" s="10">
        <v>2010</v>
      </c>
      <c r="F96" s="9" t="s">
        <v>38</v>
      </c>
      <c r="G96" s="9" t="s">
        <v>54</v>
      </c>
      <c r="H96" s="1">
        <v>11.8</v>
      </c>
      <c r="I96" s="1">
        <v>3.8</v>
      </c>
      <c r="J96" s="9" t="s">
        <v>30</v>
      </c>
      <c r="K96" s="1">
        <v>0.48</v>
      </c>
      <c r="L96" s="10">
        <v>649</v>
      </c>
      <c r="M96" s="3">
        <v>0.13</v>
      </c>
      <c r="N96" s="11">
        <v>1.4914901388888889E-3</v>
      </c>
      <c r="O96">
        <v>131</v>
      </c>
      <c r="P96" s="11">
        <v>0.13073985002887839</v>
      </c>
      <c r="Q96" s="11">
        <v>1.5479876160990711E-3</v>
      </c>
      <c r="R96">
        <v>0.13009910460206831</v>
      </c>
      <c r="S96">
        <v>1.491411925757951E-3</v>
      </c>
      <c r="T96" s="9" t="s">
        <v>40</v>
      </c>
      <c r="U96" s="9" t="s">
        <v>50</v>
      </c>
      <c r="V96" s="9" t="s">
        <v>276</v>
      </c>
      <c r="W96" s="9" t="s">
        <v>30</v>
      </c>
      <c r="X96" s="9" t="s">
        <v>369</v>
      </c>
      <c r="Y96" s="1" t="s">
        <v>31</v>
      </c>
      <c r="Z96" s="1" t="s">
        <v>31</v>
      </c>
      <c r="AA96" s="3" t="s">
        <v>31</v>
      </c>
      <c r="AB96" s="11" t="s">
        <v>31</v>
      </c>
      <c r="AC96" s="11" t="s">
        <v>31</v>
      </c>
      <c r="AD96" s="10">
        <v>0</v>
      </c>
      <c r="AE96" s="9" t="s">
        <v>41</v>
      </c>
      <c r="AF96" s="9" t="s">
        <v>35</v>
      </c>
    </row>
    <row r="97" spans="1:32" x14ac:dyDescent="0.25">
      <c r="A97" s="9" t="s">
        <v>244</v>
      </c>
      <c r="B97" s="10" t="s">
        <v>990</v>
      </c>
      <c r="C97" s="1" t="s">
        <v>700</v>
      </c>
      <c r="D97" s="10">
        <v>2</v>
      </c>
      <c r="E97" s="10">
        <v>2011</v>
      </c>
      <c r="F97" s="9" t="s">
        <v>38</v>
      </c>
      <c r="G97" s="9" t="s">
        <v>29</v>
      </c>
      <c r="H97" s="1">
        <v>21.1</v>
      </c>
      <c r="I97" s="1">
        <v>2.5499999999999998</v>
      </c>
      <c r="J97" s="9" t="s">
        <v>30</v>
      </c>
      <c r="K97" s="1">
        <v>0.36</v>
      </c>
      <c r="L97" s="10">
        <v>80</v>
      </c>
      <c r="M97" s="3">
        <v>0.23200000000000001</v>
      </c>
      <c r="N97" s="11">
        <v>1.1332266113620249E-2</v>
      </c>
      <c r="O97" t="s">
        <v>63</v>
      </c>
      <c r="P97" s="11">
        <v>0.2363022054728964</v>
      </c>
      <c r="Q97" s="11">
        <v>1.298701298701299E-2</v>
      </c>
      <c r="R97">
        <v>0.23344651601202221</v>
      </c>
      <c r="S97">
        <v>1.1316144321487051E-2</v>
      </c>
      <c r="T97" s="9" t="s">
        <v>40</v>
      </c>
      <c r="U97" s="9" t="s">
        <v>31</v>
      </c>
      <c r="V97" s="9" t="s">
        <v>276</v>
      </c>
      <c r="W97" s="9" t="s">
        <v>30</v>
      </c>
      <c r="X97" s="9" t="s">
        <v>296</v>
      </c>
      <c r="Y97" s="1" t="s">
        <v>31</v>
      </c>
      <c r="Z97" s="1" t="s">
        <v>31</v>
      </c>
      <c r="AA97" s="3" t="s">
        <v>31</v>
      </c>
      <c r="AB97" s="11" t="s">
        <v>31</v>
      </c>
      <c r="AC97" s="11" t="s">
        <v>31</v>
      </c>
      <c r="AD97" s="10">
        <v>0</v>
      </c>
      <c r="AE97" s="9" t="s">
        <v>34</v>
      </c>
      <c r="AF97" s="9" t="s">
        <v>63</v>
      </c>
    </row>
    <row r="98" spans="1:32" x14ac:dyDescent="0.25">
      <c r="A98" s="9" t="s">
        <v>255</v>
      </c>
      <c r="B98" s="10" t="s">
        <v>992</v>
      </c>
      <c r="C98" s="1" t="s">
        <v>701</v>
      </c>
      <c r="D98" s="10">
        <v>2</v>
      </c>
      <c r="E98" s="10">
        <v>2012</v>
      </c>
      <c r="F98" s="9" t="s">
        <v>38</v>
      </c>
      <c r="G98" s="9" t="s">
        <v>54</v>
      </c>
      <c r="H98" s="1">
        <v>15.1</v>
      </c>
      <c r="I98" s="1">
        <v>0.75</v>
      </c>
      <c r="J98" s="9" t="s">
        <v>43</v>
      </c>
      <c r="K98" s="1">
        <v>1</v>
      </c>
      <c r="L98" s="10">
        <v>30</v>
      </c>
      <c r="M98" s="3">
        <v>0.26</v>
      </c>
      <c r="N98" s="11">
        <v>2.9978267586206898E-2</v>
      </c>
      <c r="O98">
        <v>1060</v>
      </c>
      <c r="P98" s="11">
        <v>0.26610840687365411</v>
      </c>
      <c r="Q98" s="11">
        <v>3.7037037037037042E-2</v>
      </c>
      <c r="R98">
        <v>0.26467640258066222</v>
      </c>
      <c r="S98">
        <v>2.9820700359941329E-2</v>
      </c>
      <c r="T98" s="9" t="s">
        <v>40</v>
      </c>
      <c r="U98" s="9" t="s">
        <v>50</v>
      </c>
      <c r="V98" s="9" t="s">
        <v>276</v>
      </c>
      <c r="W98" s="9" t="s">
        <v>30</v>
      </c>
      <c r="X98" s="9" t="s">
        <v>301</v>
      </c>
      <c r="Y98" s="1">
        <v>8.26</v>
      </c>
      <c r="Z98" s="1">
        <v>15</v>
      </c>
      <c r="AA98" s="3">
        <f t="shared" si="1"/>
        <v>0.55066666666666664</v>
      </c>
      <c r="AB98" s="11">
        <v>0.43926993131072989</v>
      </c>
      <c r="AC98" s="11">
        <v>0.26685422172528511</v>
      </c>
      <c r="AD98" s="10">
        <v>0</v>
      </c>
      <c r="AE98" s="9" t="s">
        <v>34</v>
      </c>
      <c r="AF98" s="9" t="s">
        <v>35</v>
      </c>
    </row>
    <row r="99" spans="1:32" x14ac:dyDescent="0.25">
      <c r="A99" s="9" t="s">
        <v>259</v>
      </c>
      <c r="B99" s="10" t="s">
        <v>496</v>
      </c>
      <c r="C99" s="1" t="s">
        <v>702</v>
      </c>
      <c r="D99" s="10">
        <v>3</v>
      </c>
      <c r="E99" s="10">
        <v>2013</v>
      </c>
      <c r="F99" s="9" t="s">
        <v>38</v>
      </c>
      <c r="G99" s="9" t="s">
        <v>29</v>
      </c>
      <c r="H99" s="1">
        <v>72.47</v>
      </c>
      <c r="I99" s="1">
        <v>0.73</v>
      </c>
      <c r="J99" s="9" t="s">
        <v>39</v>
      </c>
      <c r="K99" s="1">
        <v>1</v>
      </c>
      <c r="L99" s="10">
        <v>293</v>
      </c>
      <c r="M99" s="3">
        <v>0.1</v>
      </c>
      <c r="N99" s="11">
        <v>3.3565068493150679E-3</v>
      </c>
      <c r="O99">
        <v>2729</v>
      </c>
      <c r="P99" s="11">
        <v>0.10033534773107559</v>
      </c>
      <c r="Q99" s="11">
        <v>3.4482758620689659E-3</v>
      </c>
      <c r="R99">
        <v>0.100171414744851</v>
      </c>
      <c r="S99">
        <v>3.356274187534267E-3</v>
      </c>
      <c r="T99" s="9" t="s">
        <v>40</v>
      </c>
      <c r="U99" s="9" t="s">
        <v>50</v>
      </c>
      <c r="V99" s="9" t="s">
        <v>276</v>
      </c>
      <c r="W99" s="9" t="s">
        <v>868</v>
      </c>
      <c r="X99" s="9" t="s">
        <v>881</v>
      </c>
      <c r="Y99" s="1" t="s">
        <v>31</v>
      </c>
      <c r="Z99" s="1" t="s">
        <v>31</v>
      </c>
      <c r="AA99" s="3" t="s">
        <v>31</v>
      </c>
      <c r="AB99" s="11" t="s">
        <v>31</v>
      </c>
      <c r="AC99" s="11" t="s">
        <v>31</v>
      </c>
      <c r="AD99" s="10">
        <v>0</v>
      </c>
      <c r="AE99" s="9" t="s">
        <v>41</v>
      </c>
      <c r="AF99" s="9" t="s">
        <v>35</v>
      </c>
    </row>
    <row r="100" spans="1:32" x14ac:dyDescent="0.25">
      <c r="A100" s="9" t="s">
        <v>259</v>
      </c>
      <c r="B100" s="10" t="s">
        <v>496</v>
      </c>
      <c r="C100" s="1" t="s">
        <v>703</v>
      </c>
      <c r="D100" s="10">
        <v>3</v>
      </c>
      <c r="E100" s="10">
        <v>2013</v>
      </c>
      <c r="F100" s="9" t="s">
        <v>38</v>
      </c>
      <c r="G100" s="9" t="s">
        <v>29</v>
      </c>
      <c r="H100" s="1">
        <v>72.599999999999994</v>
      </c>
      <c r="I100" s="1">
        <v>0.7</v>
      </c>
      <c r="J100" s="9" t="s">
        <v>43</v>
      </c>
      <c r="K100" s="1">
        <v>0</v>
      </c>
      <c r="L100" s="10">
        <v>327</v>
      </c>
      <c r="M100" s="3">
        <v>0.22</v>
      </c>
      <c r="N100" s="11">
        <v>2.7777379141104299E-3</v>
      </c>
      <c r="O100">
        <v>2729</v>
      </c>
      <c r="P100" s="11">
        <v>0.22365610902183239</v>
      </c>
      <c r="Q100" s="11">
        <v>3.08641975308642E-3</v>
      </c>
      <c r="R100">
        <v>0.2203242147590849</v>
      </c>
      <c r="S100">
        <v>2.7769045407731981E-3</v>
      </c>
      <c r="T100" s="9" t="s">
        <v>40</v>
      </c>
      <c r="U100" s="9" t="s">
        <v>50</v>
      </c>
      <c r="V100" s="9" t="s">
        <v>276</v>
      </c>
      <c r="W100" s="9" t="s">
        <v>868</v>
      </c>
      <c r="X100" s="9" t="s">
        <v>881</v>
      </c>
      <c r="Y100" s="1" t="s">
        <v>31</v>
      </c>
      <c r="Z100" s="1" t="s">
        <v>31</v>
      </c>
      <c r="AA100" s="3" t="s">
        <v>31</v>
      </c>
      <c r="AB100" s="11" t="s">
        <v>31</v>
      </c>
      <c r="AC100" s="11" t="s">
        <v>31</v>
      </c>
      <c r="AD100" s="10">
        <v>0</v>
      </c>
      <c r="AE100" s="9" t="s">
        <v>41</v>
      </c>
      <c r="AF100" s="9" t="s">
        <v>35</v>
      </c>
    </row>
    <row r="101" spans="1:32" x14ac:dyDescent="0.25">
      <c r="A101" s="9" t="s">
        <v>259</v>
      </c>
      <c r="B101" s="10" t="s">
        <v>496</v>
      </c>
      <c r="C101" s="1" t="s">
        <v>704</v>
      </c>
      <c r="D101" s="10">
        <v>3</v>
      </c>
      <c r="E101" s="10">
        <v>2013</v>
      </c>
      <c r="F101" s="9" t="s">
        <v>38</v>
      </c>
      <c r="G101" s="9" t="s">
        <v>29</v>
      </c>
      <c r="H101" s="1">
        <v>72.47</v>
      </c>
      <c r="I101" s="1">
        <v>0.73</v>
      </c>
      <c r="J101" s="9" t="s">
        <v>39</v>
      </c>
      <c r="K101" s="1">
        <v>1</v>
      </c>
      <c r="L101" s="10">
        <v>293</v>
      </c>
      <c r="M101" s="3">
        <v>0.11</v>
      </c>
      <c r="N101" s="11">
        <v>3.342282226027398E-3</v>
      </c>
      <c r="O101">
        <v>2729</v>
      </c>
      <c r="P101" s="11">
        <v>0.1104469157900972</v>
      </c>
      <c r="Q101" s="11">
        <v>3.4482758620689659E-3</v>
      </c>
      <c r="R101">
        <v>0.11018815315376861</v>
      </c>
      <c r="S101">
        <v>3.3420019044849412E-3</v>
      </c>
      <c r="T101" s="9" t="s">
        <v>40</v>
      </c>
      <c r="U101" s="9" t="s">
        <v>50</v>
      </c>
      <c r="V101" s="9" t="s">
        <v>276</v>
      </c>
      <c r="W101" s="9" t="s">
        <v>868</v>
      </c>
      <c r="X101" s="9" t="s">
        <v>882</v>
      </c>
      <c r="Y101" s="1" t="s">
        <v>31</v>
      </c>
      <c r="Z101" s="1" t="s">
        <v>31</v>
      </c>
      <c r="AA101" s="3" t="s">
        <v>31</v>
      </c>
      <c r="AB101" s="11" t="s">
        <v>31</v>
      </c>
      <c r="AC101" s="11" t="s">
        <v>31</v>
      </c>
      <c r="AD101" s="10">
        <v>0</v>
      </c>
      <c r="AE101" s="9" t="s">
        <v>41</v>
      </c>
      <c r="AF101" s="9" t="s">
        <v>35</v>
      </c>
    </row>
    <row r="102" spans="1:32" x14ac:dyDescent="0.25">
      <c r="A102" s="9" t="s">
        <v>259</v>
      </c>
      <c r="B102" s="10" t="s">
        <v>496</v>
      </c>
      <c r="C102" s="1" t="s">
        <v>705</v>
      </c>
      <c r="D102" s="10">
        <v>3</v>
      </c>
      <c r="E102" s="10">
        <v>2013</v>
      </c>
      <c r="F102" s="9" t="s">
        <v>38</v>
      </c>
      <c r="G102" s="9" t="s">
        <v>29</v>
      </c>
      <c r="H102" s="1">
        <v>72.599999999999994</v>
      </c>
      <c r="I102" s="1">
        <v>0.7</v>
      </c>
      <c r="J102" s="9" t="s">
        <v>43</v>
      </c>
      <c r="K102" s="1">
        <v>0</v>
      </c>
      <c r="L102" s="10">
        <v>327</v>
      </c>
      <c r="M102" s="3">
        <v>0.23</v>
      </c>
      <c r="N102" s="11">
        <v>2.7515288650306752E-3</v>
      </c>
      <c r="O102">
        <v>2729</v>
      </c>
      <c r="P102" s="11">
        <v>0.2341894667593668</v>
      </c>
      <c r="Q102" s="11">
        <v>3.08641975308642E-3</v>
      </c>
      <c r="R102">
        <v>0.23033733829905151</v>
      </c>
      <c r="S102">
        <v>2.7506266408143958E-3</v>
      </c>
      <c r="T102" s="9" t="s">
        <v>40</v>
      </c>
      <c r="U102" s="9" t="s">
        <v>50</v>
      </c>
      <c r="V102" s="9" t="s">
        <v>276</v>
      </c>
      <c r="W102" s="9" t="s">
        <v>868</v>
      </c>
      <c r="X102" s="9" t="s">
        <v>882</v>
      </c>
      <c r="Y102" s="1" t="s">
        <v>31</v>
      </c>
      <c r="Z102" s="1" t="s">
        <v>31</v>
      </c>
      <c r="AA102" s="3" t="s">
        <v>31</v>
      </c>
      <c r="AB102" s="11" t="s">
        <v>31</v>
      </c>
      <c r="AC102" s="11" t="s">
        <v>31</v>
      </c>
      <c r="AD102" s="10">
        <v>0</v>
      </c>
      <c r="AE102" s="9" t="s">
        <v>41</v>
      </c>
      <c r="AF102" s="9" t="s">
        <v>35</v>
      </c>
    </row>
    <row r="103" spans="1:32" x14ac:dyDescent="0.25">
      <c r="A103" s="9" t="s">
        <v>551</v>
      </c>
      <c r="B103" s="10" t="s">
        <v>995</v>
      </c>
      <c r="C103" s="1" t="s">
        <v>706</v>
      </c>
      <c r="D103" s="10">
        <v>3</v>
      </c>
      <c r="E103" s="10">
        <v>2013</v>
      </c>
      <c r="F103" s="9" t="s">
        <v>28</v>
      </c>
      <c r="G103" s="9" t="s">
        <v>54</v>
      </c>
      <c r="H103" s="1">
        <v>14.6</v>
      </c>
      <c r="I103" s="1">
        <v>4.2</v>
      </c>
      <c r="J103" s="9" t="s">
        <v>30</v>
      </c>
      <c r="K103" s="1">
        <v>0.49</v>
      </c>
      <c r="L103" s="10">
        <v>108</v>
      </c>
      <c r="M103" s="3">
        <v>0.23</v>
      </c>
      <c r="N103" s="11">
        <v>8.3831627102803757E-3</v>
      </c>
      <c r="O103">
        <v>696</v>
      </c>
      <c r="P103" s="11">
        <v>0.2341894667593668</v>
      </c>
      <c r="Q103" s="11">
        <v>9.5238095238095247E-3</v>
      </c>
      <c r="R103">
        <v>0.23104855606280961</v>
      </c>
      <c r="S103">
        <v>8.3746067349775924E-3</v>
      </c>
      <c r="T103" s="9" t="s">
        <v>40</v>
      </c>
      <c r="U103" s="9" t="s">
        <v>50</v>
      </c>
      <c r="V103" s="9" t="s">
        <v>276</v>
      </c>
      <c r="W103" s="9" t="s">
        <v>867</v>
      </c>
      <c r="X103" s="9" t="s">
        <v>377</v>
      </c>
      <c r="Y103" s="1">
        <v>17.600000000000001</v>
      </c>
      <c r="Z103" s="1">
        <v>15</v>
      </c>
      <c r="AA103" s="3">
        <f t="shared" si="1"/>
        <v>1.1733333333333333</v>
      </c>
      <c r="AB103" s="11">
        <v>0.19745704090574051</v>
      </c>
      <c r="AC103" s="11">
        <v>8.2342143516286492E-2</v>
      </c>
      <c r="AD103" s="10">
        <v>0</v>
      </c>
      <c r="AE103" s="9" t="s">
        <v>41</v>
      </c>
      <c r="AF103" s="9" t="s">
        <v>35</v>
      </c>
    </row>
    <row r="104" spans="1:32" x14ac:dyDescent="0.25">
      <c r="A104" s="9" t="s">
        <v>551</v>
      </c>
      <c r="B104" s="10" t="s">
        <v>994</v>
      </c>
      <c r="C104" s="1" t="s">
        <v>707</v>
      </c>
      <c r="D104" s="10">
        <v>3</v>
      </c>
      <c r="E104" s="10">
        <v>2013</v>
      </c>
      <c r="F104" s="9" t="s">
        <v>38</v>
      </c>
      <c r="G104" s="9" t="s">
        <v>54</v>
      </c>
      <c r="H104" s="1">
        <v>14.9</v>
      </c>
      <c r="I104" s="1">
        <v>3.2</v>
      </c>
      <c r="J104" s="9" t="s">
        <v>30</v>
      </c>
      <c r="K104" s="1">
        <v>0.53</v>
      </c>
      <c r="L104" s="10">
        <v>36</v>
      </c>
      <c r="M104" s="3">
        <v>0.04</v>
      </c>
      <c r="N104" s="11">
        <v>2.8480073142857141E-2</v>
      </c>
      <c r="O104">
        <v>696</v>
      </c>
      <c r="P104" s="11">
        <v>4.0021353836768282E-2</v>
      </c>
      <c r="Q104" s="11">
        <v>3.03030303030303E-2</v>
      </c>
      <c r="R104">
        <v>4.0628721814924058E-2</v>
      </c>
      <c r="S104">
        <v>2.8477181106139181E-2</v>
      </c>
      <c r="T104" s="9" t="s">
        <v>40</v>
      </c>
      <c r="U104" s="9" t="s">
        <v>50</v>
      </c>
      <c r="V104" s="9" t="s">
        <v>276</v>
      </c>
      <c r="W104" s="9" t="s">
        <v>867</v>
      </c>
      <c r="X104" s="9" t="s">
        <v>377</v>
      </c>
      <c r="Y104" s="1">
        <v>12.5</v>
      </c>
      <c r="Z104" s="1">
        <v>15</v>
      </c>
      <c r="AA104" s="3">
        <f t="shared" si="1"/>
        <v>0.83333333333333337</v>
      </c>
      <c r="AB104" s="11">
        <v>4.7983112915857509E-2</v>
      </c>
      <c r="AC104" s="11">
        <v>0.20541663947635641</v>
      </c>
      <c r="AD104" s="10">
        <v>0</v>
      </c>
      <c r="AE104" s="9" t="s">
        <v>41</v>
      </c>
      <c r="AF104" s="9" t="s">
        <v>35</v>
      </c>
    </row>
    <row r="105" spans="1:32" x14ac:dyDescent="0.25">
      <c r="A105" s="9" t="s">
        <v>551</v>
      </c>
      <c r="B105" s="10" t="s">
        <v>995</v>
      </c>
      <c r="C105" s="1" t="s">
        <v>708</v>
      </c>
      <c r="D105" s="10">
        <v>3</v>
      </c>
      <c r="E105" s="10">
        <v>2013</v>
      </c>
      <c r="F105" s="9" t="s">
        <v>28</v>
      </c>
      <c r="G105" s="9" t="s">
        <v>54</v>
      </c>
      <c r="H105" s="1">
        <v>14.6</v>
      </c>
      <c r="I105" s="1">
        <v>4.2</v>
      </c>
      <c r="J105" s="9" t="s">
        <v>30</v>
      </c>
      <c r="K105" s="1">
        <v>0.49</v>
      </c>
      <c r="L105" s="10">
        <v>108</v>
      </c>
      <c r="M105" s="3">
        <v>0.26</v>
      </c>
      <c r="N105" s="11">
        <v>8.1249510280373832E-3</v>
      </c>
      <c r="O105">
        <v>696</v>
      </c>
      <c r="P105" s="11">
        <v>0.26610840687365411</v>
      </c>
      <c r="Q105" s="11">
        <v>9.5238095238095247E-3</v>
      </c>
      <c r="R105">
        <v>0.26116654950657192</v>
      </c>
      <c r="S105">
        <v>8.114358818157013E-3</v>
      </c>
      <c r="T105" s="9" t="s">
        <v>40</v>
      </c>
      <c r="U105" s="9" t="s">
        <v>50</v>
      </c>
      <c r="V105" s="9" t="s">
        <v>276</v>
      </c>
      <c r="W105" s="9" t="s">
        <v>868</v>
      </c>
      <c r="X105" s="9" t="s">
        <v>883</v>
      </c>
      <c r="Y105" s="1">
        <v>17.2</v>
      </c>
      <c r="Z105" s="1">
        <v>15</v>
      </c>
      <c r="AA105" s="3">
        <f t="shared" si="1"/>
        <v>1.1466666666666667</v>
      </c>
      <c r="AB105" s="11">
        <v>0.22860193280159641</v>
      </c>
      <c r="AC105" s="11">
        <v>8.3818951814987733E-2</v>
      </c>
      <c r="AD105" s="10">
        <v>0</v>
      </c>
      <c r="AE105" s="9" t="s">
        <v>41</v>
      </c>
      <c r="AF105" s="9" t="s">
        <v>35</v>
      </c>
    </row>
    <row r="106" spans="1:32" x14ac:dyDescent="0.25">
      <c r="A106" s="9" t="s">
        <v>551</v>
      </c>
      <c r="B106" s="10" t="s">
        <v>994</v>
      </c>
      <c r="C106" s="1" t="s">
        <v>709</v>
      </c>
      <c r="D106" s="10">
        <v>3</v>
      </c>
      <c r="E106" s="10">
        <v>2013</v>
      </c>
      <c r="F106" s="9" t="s">
        <v>38</v>
      </c>
      <c r="G106" s="9" t="s">
        <v>54</v>
      </c>
      <c r="H106" s="1">
        <v>14.9</v>
      </c>
      <c r="I106" s="1">
        <v>3.2</v>
      </c>
      <c r="J106" s="9" t="s">
        <v>30</v>
      </c>
      <c r="K106" s="1">
        <v>0.53</v>
      </c>
      <c r="L106" s="10">
        <v>36</v>
      </c>
      <c r="M106" s="3">
        <v>0.33</v>
      </c>
      <c r="N106" s="11">
        <v>2.2687406E-2</v>
      </c>
      <c r="O106">
        <v>696</v>
      </c>
      <c r="P106" s="11">
        <v>0.34282825441539388</v>
      </c>
      <c r="Q106" s="11">
        <v>3.03030303030303E-2</v>
      </c>
      <c r="R106">
        <v>0.33459274528176769</v>
      </c>
      <c r="S106">
        <v>2.2532248807089639E-2</v>
      </c>
      <c r="T106" s="9" t="s">
        <v>40</v>
      </c>
      <c r="U106" s="9" t="s">
        <v>50</v>
      </c>
      <c r="V106" s="9" t="s">
        <v>276</v>
      </c>
      <c r="W106" s="9" t="s">
        <v>868</v>
      </c>
      <c r="X106" s="9" t="s">
        <v>883</v>
      </c>
      <c r="Y106" s="1">
        <v>13.6</v>
      </c>
      <c r="Z106" s="1">
        <v>15</v>
      </c>
      <c r="AA106" s="3">
        <f t="shared" si="1"/>
        <v>0.90666666666666662</v>
      </c>
      <c r="AB106" s="11">
        <v>0.35975475487237762</v>
      </c>
      <c r="AC106" s="11">
        <v>0.17242366432967099</v>
      </c>
      <c r="AD106" s="10">
        <v>0</v>
      </c>
      <c r="AE106" s="9" t="s">
        <v>41</v>
      </c>
      <c r="AF106" s="9" t="s">
        <v>35</v>
      </c>
    </row>
    <row r="107" spans="1:32" x14ac:dyDescent="0.25">
      <c r="A107" s="9" t="s">
        <v>552</v>
      </c>
      <c r="B107" s="10" t="s">
        <v>997</v>
      </c>
      <c r="C107" s="1" t="s">
        <v>710</v>
      </c>
      <c r="D107" s="10">
        <v>3</v>
      </c>
      <c r="E107" s="10">
        <v>2014</v>
      </c>
      <c r="F107" s="9" t="s">
        <v>28</v>
      </c>
      <c r="G107" s="9" t="s">
        <v>29</v>
      </c>
      <c r="H107" s="1">
        <v>20.3</v>
      </c>
      <c r="I107" s="1">
        <v>0.99</v>
      </c>
      <c r="J107" s="9" t="s">
        <v>30</v>
      </c>
      <c r="K107" s="1">
        <v>0.41</v>
      </c>
      <c r="L107" s="10">
        <v>42</v>
      </c>
      <c r="M107" s="3">
        <v>0.437</v>
      </c>
      <c r="N107" s="11">
        <v>1.5964174608804879E-2</v>
      </c>
      <c r="O107">
        <v>584</v>
      </c>
      <c r="P107" s="11">
        <v>0.46851662896966739</v>
      </c>
      <c r="Q107" s="11">
        <v>2.564102564102564E-2</v>
      </c>
      <c r="R107">
        <v>0.44162738436325999</v>
      </c>
      <c r="S107">
        <v>1.5804123393899441E-2</v>
      </c>
      <c r="T107" s="9" t="s">
        <v>40</v>
      </c>
      <c r="U107" s="9" t="s">
        <v>46</v>
      </c>
      <c r="V107" s="9" t="s">
        <v>276</v>
      </c>
      <c r="W107" s="9" t="s">
        <v>867</v>
      </c>
      <c r="X107" s="9" t="s">
        <v>378</v>
      </c>
      <c r="Y107" s="1">
        <v>9.6199999999999992</v>
      </c>
      <c r="Z107" s="1">
        <v>15</v>
      </c>
      <c r="AA107" s="3">
        <f t="shared" si="1"/>
        <v>0.64133333333333331</v>
      </c>
      <c r="AB107" s="11">
        <v>0.60384794712832679</v>
      </c>
      <c r="AC107" s="11">
        <v>0.15433295918808521</v>
      </c>
      <c r="AD107" s="10">
        <v>2</v>
      </c>
      <c r="AE107" s="9" t="s">
        <v>41</v>
      </c>
      <c r="AF107" s="9" t="s">
        <v>35</v>
      </c>
    </row>
    <row r="108" spans="1:32" x14ac:dyDescent="0.25">
      <c r="A108" s="9" t="s">
        <v>552</v>
      </c>
      <c r="B108" s="10" t="s">
        <v>997</v>
      </c>
      <c r="C108" s="1" t="s">
        <v>711</v>
      </c>
      <c r="D108" s="10">
        <v>3</v>
      </c>
      <c r="E108" s="10">
        <v>2014</v>
      </c>
      <c r="F108" s="9" t="s">
        <v>28</v>
      </c>
      <c r="G108" s="9" t="s">
        <v>29</v>
      </c>
      <c r="H108" s="1">
        <v>20.3</v>
      </c>
      <c r="I108" s="1">
        <v>0.99</v>
      </c>
      <c r="J108" s="9" t="s">
        <v>30</v>
      </c>
      <c r="K108" s="1">
        <v>0.41</v>
      </c>
      <c r="L108" s="10">
        <v>42</v>
      </c>
      <c r="M108" s="3">
        <v>0.54300000000000004</v>
      </c>
      <c r="N108" s="11">
        <v>1.212775445856098E-2</v>
      </c>
      <c r="O108">
        <v>584</v>
      </c>
      <c r="P108" s="11">
        <v>0.60840023073447813</v>
      </c>
      <c r="Q108" s="11">
        <v>2.564102564102564E-2</v>
      </c>
      <c r="R108">
        <v>0.54798038093286427</v>
      </c>
      <c r="S108">
        <v>1.1941575189336549E-2</v>
      </c>
      <c r="T108" s="9" t="s">
        <v>40</v>
      </c>
      <c r="U108" s="9" t="s">
        <v>46</v>
      </c>
      <c r="V108" s="9" t="s">
        <v>276</v>
      </c>
      <c r="W108" s="9" t="s">
        <v>868</v>
      </c>
      <c r="X108" s="9" t="s">
        <v>975</v>
      </c>
      <c r="Y108" s="1" t="s">
        <v>31</v>
      </c>
      <c r="Z108" s="1" t="s">
        <v>31</v>
      </c>
      <c r="AA108" s="3" t="s">
        <v>31</v>
      </c>
      <c r="AB108" s="11" t="s">
        <v>31</v>
      </c>
      <c r="AC108" s="11" t="s">
        <v>31</v>
      </c>
      <c r="AD108" s="10">
        <v>2</v>
      </c>
      <c r="AE108" s="9" t="s">
        <v>41</v>
      </c>
      <c r="AF108" s="9" t="s">
        <v>35</v>
      </c>
    </row>
    <row r="109" spans="1:32" x14ac:dyDescent="0.25">
      <c r="A109" s="9" t="s">
        <v>553</v>
      </c>
      <c r="B109" s="10" t="s">
        <v>998</v>
      </c>
      <c r="C109" s="1" t="s">
        <v>712</v>
      </c>
      <c r="D109" s="10">
        <v>3</v>
      </c>
      <c r="E109" s="10">
        <v>2014</v>
      </c>
      <c r="F109" s="9" t="s">
        <v>28</v>
      </c>
      <c r="G109" s="9" t="s">
        <v>54</v>
      </c>
      <c r="H109" s="1">
        <v>10.17</v>
      </c>
      <c r="I109" s="1">
        <v>0.8</v>
      </c>
      <c r="J109" s="9" t="s">
        <v>30</v>
      </c>
      <c r="K109" s="1">
        <v>0.34799999999999998</v>
      </c>
      <c r="L109" s="10">
        <v>21</v>
      </c>
      <c r="M109" s="3">
        <v>0</v>
      </c>
      <c r="N109" s="11">
        <v>0.05</v>
      </c>
      <c r="O109">
        <v>575</v>
      </c>
      <c r="P109" s="11">
        <v>0</v>
      </c>
      <c r="Q109" s="11">
        <v>5.5555555555555552E-2</v>
      </c>
      <c r="R109">
        <v>0</v>
      </c>
      <c r="S109">
        <v>0.05</v>
      </c>
      <c r="T109" s="9" t="s">
        <v>40</v>
      </c>
      <c r="U109" s="9" t="s">
        <v>50</v>
      </c>
      <c r="V109" s="9" t="s">
        <v>276</v>
      </c>
      <c r="W109" s="9" t="s">
        <v>868</v>
      </c>
      <c r="X109" s="9" t="s">
        <v>379</v>
      </c>
      <c r="Y109" s="1" t="s">
        <v>31</v>
      </c>
      <c r="Z109" s="1" t="s">
        <v>31</v>
      </c>
      <c r="AA109" s="3" t="s">
        <v>31</v>
      </c>
      <c r="AB109" s="11" t="s">
        <v>31</v>
      </c>
      <c r="AC109" s="11" t="s">
        <v>31</v>
      </c>
      <c r="AD109" s="10">
        <v>3</v>
      </c>
      <c r="AE109" s="9" t="s">
        <v>34</v>
      </c>
      <c r="AF109" s="9" t="s">
        <v>35</v>
      </c>
    </row>
    <row r="110" spans="1:32" x14ac:dyDescent="0.25">
      <c r="A110" s="9" t="s">
        <v>555</v>
      </c>
      <c r="B110" s="10" t="s">
        <v>498</v>
      </c>
      <c r="C110" s="1" t="s">
        <v>713</v>
      </c>
      <c r="D110" s="10">
        <v>3</v>
      </c>
      <c r="E110" s="10">
        <v>2014</v>
      </c>
      <c r="F110" s="9" t="s">
        <v>38</v>
      </c>
      <c r="G110" s="9" t="s">
        <v>54</v>
      </c>
      <c r="H110" s="1">
        <v>11.6</v>
      </c>
      <c r="I110" s="1">
        <v>3.6</v>
      </c>
      <c r="J110" s="9" t="s">
        <v>43</v>
      </c>
      <c r="K110" s="1">
        <v>1</v>
      </c>
      <c r="L110" s="10">
        <v>142</v>
      </c>
      <c r="M110" s="3">
        <v>0.127</v>
      </c>
      <c r="N110" s="11">
        <v>6.8652634371702131E-3</v>
      </c>
      <c r="O110">
        <v>57</v>
      </c>
      <c r="P110" s="11">
        <v>0.1276894791000871</v>
      </c>
      <c r="Q110" s="11">
        <v>7.1942446043165471E-3</v>
      </c>
      <c r="R110">
        <v>0.127453419380891</v>
      </c>
      <c r="S110">
        <v>6.8636534146561999E-3</v>
      </c>
      <c r="T110" s="9" t="s">
        <v>40</v>
      </c>
      <c r="U110" s="9" t="s">
        <v>50</v>
      </c>
      <c r="V110" s="9" t="s">
        <v>276</v>
      </c>
      <c r="W110" s="9" t="s">
        <v>30</v>
      </c>
      <c r="X110" s="9" t="s">
        <v>369</v>
      </c>
      <c r="Y110" s="1">
        <v>13.77</v>
      </c>
      <c r="Z110" s="1">
        <v>15</v>
      </c>
      <c r="AA110" s="3">
        <f t="shared" si="1"/>
        <v>0.91799999999999993</v>
      </c>
      <c r="AB110" s="11">
        <v>0.1381364787627809</v>
      </c>
      <c r="AC110" s="11">
        <v>9.0908481847873396E-2</v>
      </c>
      <c r="AD110" s="10">
        <v>0</v>
      </c>
      <c r="AE110" s="9" t="s">
        <v>34</v>
      </c>
      <c r="AF110" s="9" t="s">
        <v>35</v>
      </c>
    </row>
    <row r="111" spans="1:32" x14ac:dyDescent="0.25">
      <c r="A111" s="9" t="s">
        <v>555</v>
      </c>
      <c r="B111" s="10" t="s">
        <v>499</v>
      </c>
      <c r="C111" s="1" t="s">
        <v>714</v>
      </c>
      <c r="D111" s="10">
        <v>3</v>
      </c>
      <c r="E111" s="10">
        <v>2014</v>
      </c>
      <c r="F111" s="9" t="s">
        <v>38</v>
      </c>
      <c r="G111" s="9" t="s">
        <v>54</v>
      </c>
      <c r="H111" s="1">
        <v>11.3</v>
      </c>
      <c r="I111" s="1">
        <v>3.5</v>
      </c>
      <c r="J111" s="9" t="s">
        <v>39</v>
      </c>
      <c r="K111" s="1">
        <v>0</v>
      </c>
      <c r="L111" s="10">
        <v>161</v>
      </c>
      <c r="M111" s="3">
        <v>0.17599999999999999</v>
      </c>
      <c r="N111" s="11">
        <v>5.8687969536000001E-3</v>
      </c>
      <c r="O111">
        <v>57</v>
      </c>
      <c r="P111" s="11">
        <v>0.17785179927455019</v>
      </c>
      <c r="Q111" s="11">
        <v>6.3291139240506328E-3</v>
      </c>
      <c r="R111">
        <v>0.1765437647908224</v>
      </c>
      <c r="S111">
        <v>5.8664751487844816E-3</v>
      </c>
      <c r="T111" s="9" t="s">
        <v>40</v>
      </c>
      <c r="U111" s="9" t="s">
        <v>50</v>
      </c>
      <c r="V111" s="9" t="s">
        <v>276</v>
      </c>
      <c r="W111" s="9" t="s">
        <v>30</v>
      </c>
      <c r="X111" s="9" t="s">
        <v>369</v>
      </c>
      <c r="Y111" s="1">
        <v>12.98</v>
      </c>
      <c r="Z111" s="1">
        <v>15</v>
      </c>
      <c r="AA111" s="3">
        <f t="shared" si="1"/>
        <v>0.8653333333333334</v>
      </c>
      <c r="AB111" s="11">
        <v>0.20234124082551611</v>
      </c>
      <c r="AC111" s="11">
        <v>8.8828186282102733E-2</v>
      </c>
      <c r="AD111" s="10">
        <v>0</v>
      </c>
      <c r="AE111" s="9" t="s">
        <v>34</v>
      </c>
      <c r="AF111" s="9" t="s">
        <v>35</v>
      </c>
    </row>
    <row r="112" spans="1:32" x14ac:dyDescent="0.25">
      <c r="A112" s="9" t="s">
        <v>559</v>
      </c>
      <c r="B112" s="10" t="s">
        <v>731</v>
      </c>
      <c r="C112" s="1" t="s">
        <v>715</v>
      </c>
      <c r="D112" s="10">
        <v>3</v>
      </c>
      <c r="E112" s="10">
        <v>2015</v>
      </c>
      <c r="F112" s="9" t="s">
        <v>38</v>
      </c>
      <c r="G112" s="9" t="s">
        <v>29</v>
      </c>
      <c r="H112" s="1">
        <v>26.2</v>
      </c>
      <c r="I112" s="1">
        <v>5</v>
      </c>
      <c r="J112" s="9" t="s">
        <v>30</v>
      </c>
      <c r="K112" s="1">
        <v>0.51</v>
      </c>
      <c r="L112" s="10">
        <v>285</v>
      </c>
      <c r="M112" s="3">
        <v>0.18</v>
      </c>
      <c r="N112" s="11">
        <v>3.296654084507042E-3</v>
      </c>
      <c r="O112">
        <v>1415</v>
      </c>
      <c r="P112" s="11">
        <v>0.18198268860070571</v>
      </c>
      <c r="Q112" s="11">
        <v>3.5460992907801422E-3</v>
      </c>
      <c r="R112">
        <v>0.18031010166773381</v>
      </c>
      <c r="S112">
        <v>3.2958927719733229E-3</v>
      </c>
      <c r="T112" s="9" t="s">
        <v>40</v>
      </c>
      <c r="U112" s="9" t="s">
        <v>50</v>
      </c>
      <c r="V112" s="9" t="s">
        <v>276</v>
      </c>
      <c r="W112" s="9" t="s">
        <v>867</v>
      </c>
      <c r="X112" s="9" t="s">
        <v>380</v>
      </c>
      <c r="Y112" s="1">
        <v>17.079999999999998</v>
      </c>
      <c r="Z112" s="1">
        <v>15</v>
      </c>
      <c r="AA112" s="3">
        <f t="shared" si="1"/>
        <v>1.1386666666666665</v>
      </c>
      <c r="AB112" s="11">
        <v>0.15866865198368771</v>
      </c>
      <c r="AC112" s="11">
        <v>5.1928264423958863E-2</v>
      </c>
      <c r="AD112" s="10">
        <v>2</v>
      </c>
      <c r="AE112" s="9" t="s">
        <v>34</v>
      </c>
      <c r="AF112" s="9" t="s">
        <v>35</v>
      </c>
    </row>
    <row r="113" spans="1:32" x14ac:dyDescent="0.25">
      <c r="A113" s="9" t="s">
        <v>559</v>
      </c>
      <c r="B113" s="10" t="s">
        <v>733</v>
      </c>
      <c r="C113" s="1" t="s">
        <v>716</v>
      </c>
      <c r="D113" s="10">
        <v>3</v>
      </c>
      <c r="E113" s="10">
        <v>2015</v>
      </c>
      <c r="F113" s="9" t="s">
        <v>38</v>
      </c>
      <c r="G113" s="9" t="s">
        <v>29</v>
      </c>
      <c r="H113" s="1">
        <v>21.7</v>
      </c>
      <c r="I113" s="1">
        <v>2.9</v>
      </c>
      <c r="J113" s="9" t="s">
        <v>30</v>
      </c>
      <c r="K113" s="1">
        <v>0.54</v>
      </c>
      <c r="L113" s="10">
        <v>125</v>
      </c>
      <c r="M113" s="3">
        <v>0.04</v>
      </c>
      <c r="N113" s="11">
        <v>8.0387303225806436E-3</v>
      </c>
      <c r="O113">
        <v>1415</v>
      </c>
      <c r="P113" s="11">
        <v>4.0021353836768282E-2</v>
      </c>
      <c r="Q113" s="11">
        <v>8.1967213114754103E-3</v>
      </c>
      <c r="R113">
        <v>4.0165359331861453E-2</v>
      </c>
      <c r="S113">
        <v>8.0385168581830462E-3</v>
      </c>
      <c r="T113" s="9" t="s">
        <v>40</v>
      </c>
      <c r="U113" s="9" t="s">
        <v>50</v>
      </c>
      <c r="V113" s="9" t="s">
        <v>276</v>
      </c>
      <c r="W113" s="9" t="s">
        <v>30</v>
      </c>
      <c r="X113" s="9" t="s">
        <v>369</v>
      </c>
      <c r="Y113" s="1">
        <v>13.19</v>
      </c>
      <c r="Z113" s="1">
        <v>15</v>
      </c>
      <c r="AA113" s="3">
        <f t="shared" si="1"/>
        <v>0.8793333333333333</v>
      </c>
      <c r="AB113" s="11">
        <v>4.547833772570499E-2</v>
      </c>
      <c r="AC113" s="11">
        <v>0.10238600009819469</v>
      </c>
      <c r="AD113" s="10">
        <v>2</v>
      </c>
      <c r="AE113" s="9" t="s">
        <v>34</v>
      </c>
      <c r="AF113" s="9" t="s">
        <v>35</v>
      </c>
    </row>
    <row r="114" spans="1:32" x14ac:dyDescent="0.25">
      <c r="A114" s="9" t="s">
        <v>559</v>
      </c>
      <c r="B114" s="10" t="s">
        <v>732</v>
      </c>
      <c r="C114" s="1" t="s">
        <v>717</v>
      </c>
      <c r="D114" s="10">
        <v>3</v>
      </c>
      <c r="E114" s="10">
        <v>2015</v>
      </c>
      <c r="F114" s="9" t="s">
        <v>38</v>
      </c>
      <c r="G114" s="9" t="s">
        <v>29</v>
      </c>
      <c r="H114" s="1">
        <v>23.5</v>
      </c>
      <c r="I114" s="1">
        <v>5.0999999999999996</v>
      </c>
      <c r="J114" s="9" t="s">
        <v>43</v>
      </c>
      <c r="K114" s="1">
        <v>1</v>
      </c>
      <c r="L114" s="10">
        <v>107</v>
      </c>
      <c r="M114" s="3">
        <v>0.1</v>
      </c>
      <c r="N114" s="11">
        <v>9.2462264150943389E-3</v>
      </c>
      <c r="O114">
        <v>1415</v>
      </c>
      <c r="P114" s="11">
        <v>0.10033534773107559</v>
      </c>
      <c r="Q114" s="11">
        <v>9.6153846153846159E-3</v>
      </c>
      <c r="R114">
        <v>0.1004816359300066</v>
      </c>
      <c r="S114">
        <v>9.2444228508350365E-3</v>
      </c>
      <c r="T114" s="9" t="s">
        <v>40</v>
      </c>
      <c r="U114" s="9" t="s">
        <v>50</v>
      </c>
      <c r="V114" s="9" t="s">
        <v>276</v>
      </c>
      <c r="W114" s="9" t="s">
        <v>867</v>
      </c>
      <c r="X114" s="9" t="s">
        <v>381</v>
      </c>
      <c r="Y114" s="1">
        <v>12.05</v>
      </c>
      <c r="Z114" s="1">
        <v>15</v>
      </c>
      <c r="AA114" s="3">
        <f t="shared" si="1"/>
        <v>0.80333333333333334</v>
      </c>
      <c r="AB114" s="11">
        <v>0.1241406813493426</v>
      </c>
      <c r="AC114" s="11">
        <v>0.11988280544206641</v>
      </c>
      <c r="AD114" s="10">
        <v>2</v>
      </c>
      <c r="AE114" s="9" t="s">
        <v>34</v>
      </c>
      <c r="AF114" s="9" t="s">
        <v>35</v>
      </c>
    </row>
    <row r="115" spans="1:32" x14ac:dyDescent="0.25">
      <c r="A115" s="9" t="s">
        <v>560</v>
      </c>
      <c r="B115" s="10" t="s">
        <v>735</v>
      </c>
      <c r="C115" s="1" t="s">
        <v>718</v>
      </c>
      <c r="D115" s="10">
        <v>3</v>
      </c>
      <c r="E115" s="10">
        <v>2015</v>
      </c>
      <c r="F115" s="9" t="s">
        <v>28</v>
      </c>
      <c r="G115" s="9" t="s">
        <v>54</v>
      </c>
      <c r="H115" s="1">
        <v>16.600000000000001</v>
      </c>
      <c r="I115" s="1" t="s">
        <v>31</v>
      </c>
      <c r="J115" s="9" t="s">
        <v>30</v>
      </c>
      <c r="K115" s="1">
        <v>0.88</v>
      </c>
      <c r="L115" s="10">
        <v>241</v>
      </c>
      <c r="M115" s="3">
        <v>0.08</v>
      </c>
      <c r="N115" s="11">
        <v>4.1135040000000013E-3</v>
      </c>
      <c r="O115">
        <v>131</v>
      </c>
      <c r="P115" s="11">
        <v>8.0171325037589738E-2</v>
      </c>
      <c r="Q115" s="11">
        <v>4.2016806722689074E-3</v>
      </c>
      <c r="R115">
        <v>8.0167862433981649E-2</v>
      </c>
      <c r="S115">
        <v>4.1132813855472451E-3</v>
      </c>
      <c r="T115" s="9" t="s">
        <v>40</v>
      </c>
      <c r="U115" s="9" t="s">
        <v>50</v>
      </c>
      <c r="V115" s="9" t="s">
        <v>276</v>
      </c>
      <c r="W115" s="9" t="s">
        <v>31</v>
      </c>
      <c r="X115" s="9" t="s">
        <v>289</v>
      </c>
      <c r="Y115" s="1">
        <v>18</v>
      </c>
      <c r="Z115" s="1">
        <v>15</v>
      </c>
      <c r="AA115" s="3">
        <f t="shared" si="1"/>
        <v>1.2</v>
      </c>
      <c r="AB115" s="11">
        <v>6.6731947612857834E-2</v>
      </c>
      <c r="AC115" s="11">
        <v>5.3889080407424482E-2</v>
      </c>
      <c r="AD115" s="10">
        <v>0</v>
      </c>
      <c r="AE115" s="9" t="s">
        <v>41</v>
      </c>
      <c r="AF115" s="9" t="s">
        <v>35</v>
      </c>
    </row>
    <row r="116" spans="1:32" x14ac:dyDescent="0.25">
      <c r="A116" s="9" t="s">
        <v>560</v>
      </c>
      <c r="B116" s="10" t="s">
        <v>734</v>
      </c>
      <c r="C116" s="1" t="s">
        <v>719</v>
      </c>
      <c r="D116" s="10">
        <v>3</v>
      </c>
      <c r="E116" s="10">
        <v>2015</v>
      </c>
      <c r="F116" s="9" t="s">
        <v>38</v>
      </c>
      <c r="G116" s="9" t="s">
        <v>54</v>
      </c>
      <c r="H116" s="1">
        <v>17</v>
      </c>
      <c r="I116" s="1" t="s">
        <v>31</v>
      </c>
      <c r="J116" s="9" t="s">
        <v>30</v>
      </c>
      <c r="K116" s="1">
        <v>0.83</v>
      </c>
      <c r="L116" s="10">
        <v>297</v>
      </c>
      <c r="M116" s="3">
        <v>0.22</v>
      </c>
      <c r="N116" s="11">
        <v>3.0592654054054048E-3</v>
      </c>
      <c r="O116">
        <v>131</v>
      </c>
      <c r="P116" s="11">
        <v>0.22365610902183239</v>
      </c>
      <c r="Q116" s="11">
        <v>3.4013605442176869E-3</v>
      </c>
      <c r="R116">
        <v>0.22035742652394971</v>
      </c>
      <c r="S116">
        <v>3.058253479060379E-3</v>
      </c>
      <c r="T116" s="9" t="s">
        <v>40</v>
      </c>
      <c r="U116" s="9" t="s">
        <v>50</v>
      </c>
      <c r="V116" s="9" t="s">
        <v>276</v>
      </c>
      <c r="W116" s="9" t="s">
        <v>31</v>
      </c>
      <c r="X116" s="9" t="s">
        <v>289</v>
      </c>
      <c r="Y116" s="1">
        <v>13</v>
      </c>
      <c r="Z116" s="1">
        <v>15</v>
      </c>
      <c r="AA116" s="3">
        <f t="shared" si="1"/>
        <v>0.8666666666666667</v>
      </c>
      <c r="AB116" s="11">
        <v>0.25183474007671608</v>
      </c>
      <c r="AC116" s="11">
        <v>6.3988108493884005E-2</v>
      </c>
      <c r="AD116" s="10">
        <v>0</v>
      </c>
      <c r="AE116" s="9" t="s">
        <v>41</v>
      </c>
      <c r="AF116" s="9" t="s">
        <v>35</v>
      </c>
    </row>
    <row r="117" spans="1:32" x14ac:dyDescent="0.25">
      <c r="A117" s="9" t="s">
        <v>561</v>
      </c>
      <c r="B117" s="10" t="s">
        <v>847</v>
      </c>
      <c r="C117" s="1" t="s">
        <v>720</v>
      </c>
      <c r="D117" s="10">
        <v>3</v>
      </c>
      <c r="E117" s="10">
        <v>2015</v>
      </c>
      <c r="F117" s="9" t="s">
        <v>38</v>
      </c>
      <c r="G117" s="9" t="s">
        <v>29</v>
      </c>
      <c r="H117" s="1">
        <v>24.57</v>
      </c>
      <c r="I117" s="1" t="s">
        <v>31</v>
      </c>
      <c r="J117" s="9" t="s">
        <v>39</v>
      </c>
      <c r="K117" s="1">
        <v>0</v>
      </c>
      <c r="L117" s="10">
        <v>90</v>
      </c>
      <c r="M117" s="3">
        <v>0.251</v>
      </c>
      <c r="N117" s="11">
        <v>9.8647991685505629E-3</v>
      </c>
      <c r="O117">
        <v>208</v>
      </c>
      <c r="P117" s="11">
        <v>0.2564797634748458</v>
      </c>
      <c r="Q117" s="11">
        <v>1.149425287356322E-2</v>
      </c>
      <c r="R117">
        <v>0.25236900745226221</v>
      </c>
      <c r="S117">
        <v>9.8502943710262227E-3</v>
      </c>
      <c r="T117" s="9" t="s">
        <v>40</v>
      </c>
      <c r="U117" s="9" t="s">
        <v>50</v>
      </c>
      <c r="V117" s="9" t="s">
        <v>276</v>
      </c>
      <c r="W117" s="9" t="s">
        <v>868</v>
      </c>
      <c r="X117" s="9" t="s">
        <v>302</v>
      </c>
      <c r="Y117" s="1" t="s">
        <v>31</v>
      </c>
      <c r="Z117" s="1" t="s">
        <v>31</v>
      </c>
      <c r="AA117" s="3" t="s">
        <v>31</v>
      </c>
      <c r="AB117" s="11" t="s">
        <v>31</v>
      </c>
      <c r="AC117" s="11" t="s">
        <v>31</v>
      </c>
      <c r="AD117" s="10">
        <v>0</v>
      </c>
      <c r="AE117" s="9" t="s">
        <v>41</v>
      </c>
      <c r="AF117" s="9" t="s">
        <v>35</v>
      </c>
    </row>
    <row r="118" spans="1:32" x14ac:dyDescent="0.25">
      <c r="A118" s="9" t="s">
        <v>561</v>
      </c>
      <c r="B118" s="10" t="s">
        <v>848</v>
      </c>
      <c r="C118" s="1" t="s">
        <v>721</v>
      </c>
      <c r="D118" s="10">
        <v>3</v>
      </c>
      <c r="E118" s="10">
        <v>2015</v>
      </c>
      <c r="F118" s="9" t="s">
        <v>38</v>
      </c>
      <c r="G118" s="9" t="s">
        <v>29</v>
      </c>
      <c r="H118" s="1">
        <v>24.07</v>
      </c>
      <c r="I118" s="1" t="s">
        <v>31</v>
      </c>
      <c r="J118" s="9" t="s">
        <v>43</v>
      </c>
      <c r="K118" s="1">
        <v>1</v>
      </c>
      <c r="L118" s="10">
        <v>121</v>
      </c>
      <c r="M118" s="3">
        <v>0.17799999999999999</v>
      </c>
      <c r="N118" s="11">
        <v>7.8136322987999995E-3</v>
      </c>
      <c r="O118">
        <v>208</v>
      </c>
      <c r="P118" s="11">
        <v>0.17991648457767601</v>
      </c>
      <c r="Q118" s="11">
        <v>8.4745762711864406E-3</v>
      </c>
      <c r="R118">
        <v>0.178737692015179</v>
      </c>
      <c r="S118">
        <v>7.8093858008414403E-3</v>
      </c>
      <c r="T118" s="9" t="s">
        <v>40</v>
      </c>
      <c r="U118" s="9" t="s">
        <v>50</v>
      </c>
      <c r="V118" s="9" t="s">
        <v>276</v>
      </c>
      <c r="W118" s="9" t="s">
        <v>868</v>
      </c>
      <c r="X118" s="9" t="s">
        <v>302</v>
      </c>
      <c r="Y118" s="1" t="s">
        <v>31</v>
      </c>
      <c r="Z118" s="1" t="s">
        <v>31</v>
      </c>
      <c r="AA118" s="3" t="s">
        <v>31</v>
      </c>
      <c r="AB118" s="11" t="s">
        <v>31</v>
      </c>
      <c r="AC118" s="11" t="s">
        <v>31</v>
      </c>
      <c r="AD118" s="10">
        <v>0</v>
      </c>
      <c r="AE118" s="9" t="s">
        <v>41</v>
      </c>
      <c r="AF118" s="9" t="s">
        <v>35</v>
      </c>
    </row>
    <row r="119" spans="1:32" x14ac:dyDescent="0.25">
      <c r="A119" s="9" t="s">
        <v>563</v>
      </c>
      <c r="B119" s="10" t="s">
        <v>738</v>
      </c>
      <c r="C119" s="1" t="s">
        <v>722</v>
      </c>
      <c r="D119" s="10">
        <v>3</v>
      </c>
      <c r="E119" s="10">
        <v>2016</v>
      </c>
      <c r="F119" s="9" t="s">
        <v>28</v>
      </c>
      <c r="G119" s="9" t="s">
        <v>29</v>
      </c>
      <c r="H119" s="1">
        <v>25.1</v>
      </c>
      <c r="I119" s="1">
        <v>12.05</v>
      </c>
      <c r="J119" s="9" t="s">
        <v>62</v>
      </c>
      <c r="K119" s="1">
        <v>0.67</v>
      </c>
      <c r="L119" s="10">
        <v>30</v>
      </c>
      <c r="M119" s="3">
        <v>0.71099999999999997</v>
      </c>
      <c r="N119" s="11">
        <v>8.4313614290000005E-3</v>
      </c>
      <c r="O119">
        <v>90</v>
      </c>
      <c r="P119" s="11">
        <v>0.88920329288988054</v>
      </c>
      <c r="Q119" s="11">
        <v>3.7037037037037042E-2</v>
      </c>
      <c r="R119">
        <v>0.71752744483183806</v>
      </c>
      <c r="S119">
        <v>8.1163709918805477E-3</v>
      </c>
      <c r="T119" s="9" t="s">
        <v>40</v>
      </c>
      <c r="U119" s="9" t="s">
        <v>46</v>
      </c>
      <c r="V119" s="9" t="s">
        <v>276</v>
      </c>
      <c r="W119" s="9" t="s">
        <v>867</v>
      </c>
      <c r="X119" s="9" t="s">
        <v>382</v>
      </c>
      <c r="Y119" s="1">
        <v>19.34</v>
      </c>
      <c r="Z119" s="1">
        <v>15</v>
      </c>
      <c r="AA119" s="3">
        <f t="shared" si="1"/>
        <v>1.2893333333333332</v>
      </c>
      <c r="AB119" s="11">
        <v>0.61708771699631226</v>
      </c>
      <c r="AC119" s="11">
        <v>0.14442994156827191</v>
      </c>
      <c r="AD119" s="10">
        <v>2</v>
      </c>
      <c r="AE119" s="9" t="s">
        <v>41</v>
      </c>
      <c r="AF119" s="9" t="s">
        <v>35</v>
      </c>
    </row>
    <row r="120" spans="1:32" x14ac:dyDescent="0.25">
      <c r="A120" s="9" t="s">
        <v>564</v>
      </c>
      <c r="B120" s="10" t="s">
        <v>739</v>
      </c>
      <c r="C120" s="1" t="s">
        <v>723</v>
      </c>
      <c r="D120" s="10">
        <v>3</v>
      </c>
      <c r="E120" s="10">
        <v>2016</v>
      </c>
      <c r="F120" s="9" t="s">
        <v>38</v>
      </c>
      <c r="G120" s="9" t="s">
        <v>29</v>
      </c>
      <c r="H120" s="1">
        <v>32.700000000000003</v>
      </c>
      <c r="I120" s="1">
        <v>13.6</v>
      </c>
      <c r="J120" s="9" t="s">
        <v>30</v>
      </c>
      <c r="K120" s="1">
        <v>0.42</v>
      </c>
      <c r="L120" s="10">
        <v>164</v>
      </c>
      <c r="M120" s="3">
        <v>0.18</v>
      </c>
      <c r="N120" s="11">
        <v>5.7438635582822088E-3</v>
      </c>
      <c r="O120">
        <v>1049</v>
      </c>
      <c r="P120" s="11">
        <v>0.18198268860070571</v>
      </c>
      <c r="Q120" s="11">
        <v>6.2111801242236021E-3</v>
      </c>
      <c r="R120">
        <v>0.1805448713329158</v>
      </c>
      <c r="S120">
        <v>5.7415314568108802E-3</v>
      </c>
      <c r="T120" s="9" t="s">
        <v>40</v>
      </c>
      <c r="U120" s="9" t="s">
        <v>50</v>
      </c>
      <c r="V120" s="9" t="s">
        <v>276</v>
      </c>
      <c r="W120" s="9" t="s">
        <v>867</v>
      </c>
      <c r="X120" s="9" t="s">
        <v>884</v>
      </c>
      <c r="Y120" s="1">
        <v>14</v>
      </c>
      <c r="Z120" s="1">
        <v>15</v>
      </c>
      <c r="AA120" s="3">
        <f t="shared" si="1"/>
        <v>0.93333333333333335</v>
      </c>
      <c r="AB120" s="11">
        <v>0.1923965315190512</v>
      </c>
      <c r="AC120" s="11">
        <v>8.2212560741483531E-2</v>
      </c>
      <c r="AD120" s="10">
        <v>0</v>
      </c>
      <c r="AE120" s="9" t="s">
        <v>41</v>
      </c>
      <c r="AF120" s="9" t="s">
        <v>35</v>
      </c>
    </row>
    <row r="121" spans="1:32" x14ac:dyDescent="0.25">
      <c r="A121" s="9" t="s">
        <v>564</v>
      </c>
      <c r="B121" s="10" t="s">
        <v>739</v>
      </c>
      <c r="C121" s="1" t="s">
        <v>724</v>
      </c>
      <c r="D121" s="10">
        <v>3</v>
      </c>
      <c r="E121" s="10">
        <v>2016</v>
      </c>
      <c r="F121" s="9" t="s">
        <v>38</v>
      </c>
      <c r="G121" s="9" t="s">
        <v>29</v>
      </c>
      <c r="H121" s="1">
        <v>32.700000000000003</v>
      </c>
      <c r="I121" s="1">
        <v>13.6</v>
      </c>
      <c r="J121" s="9" t="s">
        <v>30</v>
      </c>
      <c r="K121" s="1">
        <v>0.42</v>
      </c>
      <c r="L121" s="10">
        <v>164</v>
      </c>
      <c r="M121" s="3">
        <v>0.26</v>
      </c>
      <c r="N121" s="11">
        <v>5.333556809815951E-3</v>
      </c>
      <c r="O121">
        <v>1049</v>
      </c>
      <c r="P121" s="11">
        <v>0.26610840687365411</v>
      </c>
      <c r="Q121" s="11">
        <v>6.2111801242236021E-3</v>
      </c>
      <c r="R121">
        <v>0.2607580255117562</v>
      </c>
      <c r="S121">
        <v>5.3290416564427054E-3</v>
      </c>
      <c r="T121" s="9" t="s">
        <v>40</v>
      </c>
      <c r="U121" s="9" t="s">
        <v>50</v>
      </c>
      <c r="V121" s="9" t="s">
        <v>276</v>
      </c>
      <c r="W121" s="9" t="s">
        <v>868</v>
      </c>
      <c r="X121" s="9" t="s">
        <v>885</v>
      </c>
      <c r="Y121" s="1">
        <v>14.5</v>
      </c>
      <c r="Z121" s="1">
        <v>15</v>
      </c>
      <c r="AA121" s="3">
        <f t="shared" si="1"/>
        <v>0.96666666666666667</v>
      </c>
      <c r="AB121" s="11">
        <v>0.26832999909800559</v>
      </c>
      <c r="AC121" s="11">
        <v>7.7926425437314845E-2</v>
      </c>
      <c r="AD121" s="10">
        <v>0</v>
      </c>
      <c r="AE121" s="9" t="s">
        <v>41</v>
      </c>
      <c r="AF121" s="9" t="s">
        <v>35</v>
      </c>
    </row>
    <row r="122" spans="1:32" x14ac:dyDescent="0.25">
      <c r="A122" s="9" t="s">
        <v>564</v>
      </c>
      <c r="B122" s="10" t="s">
        <v>739</v>
      </c>
      <c r="C122" s="1" t="s">
        <v>725</v>
      </c>
      <c r="D122" s="10">
        <v>3</v>
      </c>
      <c r="E122" s="10">
        <v>2016</v>
      </c>
      <c r="F122" s="9" t="s">
        <v>38</v>
      </c>
      <c r="G122" s="9" t="s">
        <v>29</v>
      </c>
      <c r="H122" s="1">
        <v>32.700000000000003</v>
      </c>
      <c r="I122" s="1">
        <v>13.6</v>
      </c>
      <c r="J122" s="9" t="s">
        <v>30</v>
      </c>
      <c r="K122" s="1">
        <v>0.42</v>
      </c>
      <c r="L122" s="10">
        <v>164</v>
      </c>
      <c r="M122" s="3">
        <v>0</v>
      </c>
      <c r="N122" s="11">
        <v>6.1349693251533744E-3</v>
      </c>
      <c r="O122">
        <v>1049</v>
      </c>
      <c r="P122" s="11">
        <v>0</v>
      </c>
      <c r="Q122" s="11">
        <v>6.2111801242236021E-3</v>
      </c>
      <c r="R122">
        <v>0</v>
      </c>
      <c r="S122">
        <v>6.1349693251533744E-3</v>
      </c>
      <c r="T122" s="9" t="s">
        <v>40</v>
      </c>
      <c r="U122" s="9" t="s">
        <v>50</v>
      </c>
      <c r="V122" s="9" t="s">
        <v>276</v>
      </c>
      <c r="W122" s="9" t="s">
        <v>868</v>
      </c>
      <c r="X122" s="9" t="s">
        <v>877</v>
      </c>
      <c r="Y122" s="1">
        <v>14.5</v>
      </c>
      <c r="Z122" s="1">
        <v>15</v>
      </c>
      <c r="AA122" s="3">
        <f t="shared" si="1"/>
        <v>0.96666666666666667</v>
      </c>
      <c r="AB122" s="11">
        <v>0</v>
      </c>
      <c r="AC122" s="11" t="s">
        <v>31</v>
      </c>
      <c r="AD122" s="10">
        <v>0</v>
      </c>
      <c r="AE122" s="9" t="s">
        <v>41</v>
      </c>
      <c r="AF122" s="9" t="s">
        <v>35</v>
      </c>
    </row>
    <row r="123" spans="1:32" x14ac:dyDescent="0.25">
      <c r="A123" s="9" t="s">
        <v>871</v>
      </c>
      <c r="B123" s="10" t="s">
        <v>1064</v>
      </c>
      <c r="C123" s="1" t="s">
        <v>726</v>
      </c>
      <c r="D123" s="10">
        <v>3</v>
      </c>
      <c r="E123" s="10">
        <v>2016</v>
      </c>
      <c r="F123" s="9" t="s">
        <v>38</v>
      </c>
      <c r="G123" s="9" t="s">
        <v>29</v>
      </c>
      <c r="H123" s="1">
        <v>45.1</v>
      </c>
      <c r="I123" s="1">
        <v>3.9</v>
      </c>
      <c r="J123" s="9" t="s">
        <v>30</v>
      </c>
      <c r="K123" s="1">
        <v>0.49</v>
      </c>
      <c r="L123" s="10">
        <v>73</v>
      </c>
      <c r="M123" s="3">
        <v>0.35499999999999998</v>
      </c>
      <c r="N123" s="11">
        <v>1.0608781953125E-2</v>
      </c>
      <c r="O123">
        <v>377</v>
      </c>
      <c r="P123" s="11">
        <v>0.37115320825901432</v>
      </c>
      <c r="Q123" s="11">
        <v>1.428571428571429E-2</v>
      </c>
      <c r="R123">
        <v>0.35724687089239893</v>
      </c>
      <c r="S123">
        <v>1.0569966257033211E-2</v>
      </c>
      <c r="T123" s="9" t="s">
        <v>40</v>
      </c>
      <c r="U123" s="9" t="s">
        <v>46</v>
      </c>
      <c r="V123" s="9" t="s">
        <v>276</v>
      </c>
      <c r="W123" s="9" t="s">
        <v>867</v>
      </c>
      <c r="X123" s="9" t="s">
        <v>366</v>
      </c>
      <c r="Y123" s="1" t="s">
        <v>31</v>
      </c>
      <c r="Z123" s="1" t="s">
        <v>31</v>
      </c>
      <c r="AA123" s="3" t="s">
        <v>31</v>
      </c>
      <c r="AB123" s="11" t="s">
        <v>31</v>
      </c>
      <c r="AC123" s="11" t="s">
        <v>31</v>
      </c>
      <c r="AD123" s="10">
        <v>0</v>
      </c>
      <c r="AE123" s="9" t="s">
        <v>34</v>
      </c>
      <c r="AF123" s="9" t="s">
        <v>35</v>
      </c>
    </row>
    <row r="124" spans="1:32" x14ac:dyDescent="0.25">
      <c r="A124" s="9" t="s">
        <v>871</v>
      </c>
      <c r="B124" s="10" t="s">
        <v>1064</v>
      </c>
      <c r="C124" s="1" t="s">
        <v>727</v>
      </c>
      <c r="D124" s="10">
        <v>3</v>
      </c>
      <c r="E124" s="10">
        <v>2016</v>
      </c>
      <c r="F124" s="9" t="s">
        <v>38</v>
      </c>
      <c r="G124" s="9" t="s">
        <v>29</v>
      </c>
      <c r="H124" s="1">
        <v>45.1</v>
      </c>
      <c r="I124" s="1">
        <v>3.9</v>
      </c>
      <c r="J124" s="9" t="s">
        <v>30</v>
      </c>
      <c r="K124" s="1">
        <v>0.49</v>
      </c>
      <c r="L124" s="10">
        <v>73</v>
      </c>
      <c r="M124" s="3">
        <v>0.503</v>
      </c>
      <c r="N124" s="11">
        <v>7.7499382511249998E-3</v>
      </c>
      <c r="O124">
        <v>377</v>
      </c>
      <c r="P124" s="11">
        <v>0.55331418182817294</v>
      </c>
      <c r="Q124" s="11">
        <v>1.428571428571429E-2</v>
      </c>
      <c r="R124">
        <v>0.50570964406550389</v>
      </c>
      <c r="S124">
        <v>7.6933278780003589E-3</v>
      </c>
      <c r="T124" s="9" t="s">
        <v>40</v>
      </c>
      <c r="U124" s="9" t="s">
        <v>46</v>
      </c>
      <c r="V124" s="9" t="s">
        <v>276</v>
      </c>
      <c r="W124" s="9" t="s">
        <v>867</v>
      </c>
      <c r="X124" s="9" t="s">
        <v>884</v>
      </c>
      <c r="Y124" s="1" t="s">
        <v>31</v>
      </c>
      <c r="Z124" s="1" t="s">
        <v>31</v>
      </c>
      <c r="AA124" s="3" t="s">
        <v>31</v>
      </c>
      <c r="AB124" s="11" t="s">
        <v>31</v>
      </c>
      <c r="AC124" s="11" t="s">
        <v>31</v>
      </c>
      <c r="AD124" s="10">
        <v>0</v>
      </c>
      <c r="AE124" s="9" t="s">
        <v>34</v>
      </c>
      <c r="AF124" s="9" t="s">
        <v>35</v>
      </c>
    </row>
    <row r="125" spans="1:32" x14ac:dyDescent="0.25">
      <c r="A125" s="9" t="s">
        <v>566</v>
      </c>
      <c r="B125" s="10" t="s">
        <v>741</v>
      </c>
      <c r="C125" s="1" t="s">
        <v>742</v>
      </c>
      <c r="D125" s="10">
        <v>3</v>
      </c>
      <c r="E125" s="10">
        <v>2016</v>
      </c>
      <c r="F125" s="9" t="s">
        <v>28</v>
      </c>
      <c r="G125" s="9" t="s">
        <v>54</v>
      </c>
      <c r="H125" s="1">
        <v>7.5</v>
      </c>
      <c r="I125" s="1">
        <v>0.2</v>
      </c>
      <c r="J125" s="9" t="s">
        <v>30</v>
      </c>
      <c r="K125" s="1">
        <v>0.5</v>
      </c>
      <c r="L125" s="10">
        <v>134</v>
      </c>
      <c r="M125" s="3">
        <v>0.11</v>
      </c>
      <c r="N125" s="11">
        <v>7.3379429323308272E-3</v>
      </c>
      <c r="O125" t="s">
        <v>267</v>
      </c>
      <c r="P125" s="11">
        <v>0.1104469157900972</v>
      </c>
      <c r="Q125" s="11">
        <v>7.6335877862595417E-3</v>
      </c>
      <c r="R125">
        <v>0.110418669261721</v>
      </c>
      <c r="S125">
        <v>7.3365720805265112E-3</v>
      </c>
      <c r="T125" s="9" t="s">
        <v>40</v>
      </c>
      <c r="U125" s="9" t="s">
        <v>46</v>
      </c>
      <c r="V125" s="9" t="s">
        <v>276</v>
      </c>
      <c r="W125" s="9" t="s">
        <v>30</v>
      </c>
      <c r="X125" s="9" t="s">
        <v>369</v>
      </c>
      <c r="Y125" s="1" t="s">
        <v>31</v>
      </c>
      <c r="Z125" s="1" t="s">
        <v>31</v>
      </c>
      <c r="AA125" s="3" t="s">
        <v>31</v>
      </c>
      <c r="AB125" s="11" t="s">
        <v>31</v>
      </c>
      <c r="AC125" s="11" t="s">
        <v>31</v>
      </c>
      <c r="AD125" s="10">
        <v>2</v>
      </c>
      <c r="AE125" s="9" t="s">
        <v>41</v>
      </c>
      <c r="AF125" s="9" t="s">
        <v>35</v>
      </c>
    </row>
    <row r="126" spans="1:32" x14ac:dyDescent="0.25">
      <c r="A126" s="9" t="s">
        <v>567</v>
      </c>
      <c r="B126" s="10" t="s">
        <v>736</v>
      </c>
      <c r="C126" s="1" t="s">
        <v>743</v>
      </c>
      <c r="D126" s="10">
        <v>3</v>
      </c>
      <c r="E126" s="10">
        <v>2016</v>
      </c>
      <c r="F126" s="9" t="s">
        <v>38</v>
      </c>
      <c r="G126" s="9" t="s">
        <v>29</v>
      </c>
      <c r="H126" s="1">
        <v>21.15</v>
      </c>
      <c r="I126" s="1">
        <v>2.57</v>
      </c>
      <c r="J126" s="9" t="s">
        <v>30</v>
      </c>
      <c r="K126" s="1">
        <v>0.34</v>
      </c>
      <c r="L126" s="10">
        <v>71</v>
      </c>
      <c r="M126" s="3">
        <v>0.13300000000000001</v>
      </c>
      <c r="N126" s="11">
        <v>1.3784784296014291E-2</v>
      </c>
      <c r="O126">
        <v>2612</v>
      </c>
      <c r="P126" s="11">
        <v>0.13379264212373229</v>
      </c>
      <c r="Q126" s="11">
        <v>1.470588235294118E-2</v>
      </c>
      <c r="R126">
        <v>0.1339779916669698</v>
      </c>
      <c r="S126">
        <v>1.3777457166694229E-2</v>
      </c>
      <c r="T126" s="9" t="s">
        <v>40</v>
      </c>
      <c r="U126" s="9" t="s">
        <v>46</v>
      </c>
      <c r="V126" s="9" t="s">
        <v>276</v>
      </c>
      <c r="W126" s="9" t="s">
        <v>868</v>
      </c>
      <c r="X126" s="9" t="s">
        <v>303</v>
      </c>
      <c r="Y126" s="1" t="s">
        <v>31</v>
      </c>
      <c r="Z126" s="1" t="s">
        <v>31</v>
      </c>
      <c r="AA126" s="3" t="s">
        <v>31</v>
      </c>
      <c r="AB126" s="11" t="s">
        <v>31</v>
      </c>
      <c r="AC126" s="11" t="s">
        <v>31</v>
      </c>
      <c r="AD126" s="10">
        <v>0</v>
      </c>
      <c r="AE126" s="9" t="s">
        <v>34</v>
      </c>
      <c r="AF126" s="9" t="s">
        <v>35</v>
      </c>
    </row>
    <row r="127" spans="1:32" x14ac:dyDescent="0.25">
      <c r="A127" s="9" t="s">
        <v>570</v>
      </c>
      <c r="B127" s="10" t="s">
        <v>1005</v>
      </c>
      <c r="C127" s="1" t="s">
        <v>744</v>
      </c>
      <c r="D127" s="10">
        <v>3</v>
      </c>
      <c r="E127" s="10">
        <v>2017</v>
      </c>
      <c r="F127" s="9" t="s">
        <v>38</v>
      </c>
      <c r="G127" s="9" t="s">
        <v>54</v>
      </c>
      <c r="H127" s="1">
        <v>9.1999999999999993</v>
      </c>
      <c r="I127" s="1">
        <v>0.5</v>
      </c>
      <c r="J127" s="9" t="s">
        <v>30</v>
      </c>
      <c r="K127" s="1">
        <v>0.46</v>
      </c>
      <c r="L127" s="10">
        <v>46</v>
      </c>
      <c r="M127" s="3">
        <v>0.71</v>
      </c>
      <c r="N127" s="11">
        <v>5.4648180000000006E-3</v>
      </c>
      <c r="O127">
        <v>1322</v>
      </c>
      <c r="P127" s="11">
        <v>0.88718386325809284</v>
      </c>
      <c r="Q127" s="11">
        <v>2.3255813953488368E-2</v>
      </c>
      <c r="R127">
        <v>0.71410251286220805</v>
      </c>
      <c r="S127">
        <v>5.3368100537620408E-3</v>
      </c>
      <c r="T127" s="9" t="s">
        <v>40</v>
      </c>
      <c r="U127" s="9" t="s">
        <v>50</v>
      </c>
      <c r="V127" s="9" t="s">
        <v>276</v>
      </c>
      <c r="W127" s="9" t="s">
        <v>867</v>
      </c>
      <c r="X127" s="9" t="s">
        <v>886</v>
      </c>
      <c r="Y127" s="1" t="s">
        <v>31</v>
      </c>
      <c r="Z127" s="1" t="s">
        <v>31</v>
      </c>
      <c r="AA127" s="3" t="s">
        <v>31</v>
      </c>
      <c r="AB127" s="11" t="s">
        <v>31</v>
      </c>
      <c r="AC127" s="11" t="s">
        <v>31</v>
      </c>
      <c r="AD127" s="10">
        <v>0</v>
      </c>
      <c r="AE127" s="9" t="s">
        <v>41</v>
      </c>
      <c r="AF127" s="9" t="s">
        <v>35</v>
      </c>
    </row>
    <row r="128" spans="1:32" x14ac:dyDescent="0.25">
      <c r="A128" s="9" t="s">
        <v>570</v>
      </c>
      <c r="B128" s="10" t="s">
        <v>1005</v>
      </c>
      <c r="C128" s="1" t="s">
        <v>745</v>
      </c>
      <c r="D128" s="10">
        <v>3</v>
      </c>
      <c r="E128" s="10">
        <v>2017</v>
      </c>
      <c r="F128" s="9" t="s">
        <v>38</v>
      </c>
      <c r="G128" s="9" t="s">
        <v>54</v>
      </c>
      <c r="H128" s="1">
        <v>9.1999999999999993</v>
      </c>
      <c r="I128" s="1">
        <v>0.5</v>
      </c>
      <c r="J128" s="9" t="s">
        <v>30</v>
      </c>
      <c r="K128" s="1">
        <v>0.46</v>
      </c>
      <c r="L128" s="10">
        <v>46</v>
      </c>
      <c r="M128" s="3">
        <v>0.54</v>
      </c>
      <c r="N128" s="11">
        <v>1.115179022222222E-2</v>
      </c>
      <c r="O128">
        <v>1322</v>
      </c>
      <c r="P128" s="11">
        <v>0.60415560296226711</v>
      </c>
      <c r="Q128" s="11">
        <v>2.3255813953488368E-2</v>
      </c>
      <c r="R128">
        <v>0.54450779222501677</v>
      </c>
      <c r="S128">
        <v>1.0998402197001321E-2</v>
      </c>
      <c r="T128" s="9" t="s">
        <v>40</v>
      </c>
      <c r="U128" s="9" t="s">
        <v>50</v>
      </c>
      <c r="V128" s="9" t="s">
        <v>276</v>
      </c>
      <c r="W128" s="9" t="s">
        <v>867</v>
      </c>
      <c r="X128" s="9" t="s">
        <v>887</v>
      </c>
      <c r="Y128" s="1" t="s">
        <v>31</v>
      </c>
      <c r="Z128" s="1" t="s">
        <v>31</v>
      </c>
      <c r="AA128" s="3" t="s">
        <v>31</v>
      </c>
      <c r="AB128" s="11" t="s">
        <v>31</v>
      </c>
      <c r="AC128" s="11" t="s">
        <v>31</v>
      </c>
      <c r="AD128" s="10">
        <v>0</v>
      </c>
      <c r="AE128" s="9" t="s">
        <v>41</v>
      </c>
      <c r="AF128" s="9" t="s">
        <v>35</v>
      </c>
    </row>
    <row r="129" spans="1:32" x14ac:dyDescent="0.25">
      <c r="A129" s="9" t="s">
        <v>570</v>
      </c>
      <c r="B129" s="10" t="s">
        <v>1005</v>
      </c>
      <c r="C129" s="1" t="s">
        <v>746</v>
      </c>
      <c r="D129" s="10">
        <v>3</v>
      </c>
      <c r="E129" s="10">
        <v>2017</v>
      </c>
      <c r="F129" s="9" t="s">
        <v>38</v>
      </c>
      <c r="G129" s="9" t="s">
        <v>54</v>
      </c>
      <c r="H129" s="1">
        <v>9.1999999999999993</v>
      </c>
      <c r="I129" s="1">
        <v>0.5</v>
      </c>
      <c r="J129" s="9" t="s">
        <v>30</v>
      </c>
      <c r="K129" s="1">
        <v>0.46</v>
      </c>
      <c r="L129" s="10">
        <v>46</v>
      </c>
      <c r="M129" s="3">
        <v>0.38</v>
      </c>
      <c r="N129" s="11">
        <v>1.6267808000000002E-2</v>
      </c>
      <c r="O129">
        <v>1322</v>
      </c>
      <c r="P129" s="11">
        <v>0.40005965005605648</v>
      </c>
      <c r="Q129" s="11">
        <v>2.3255813953488368E-2</v>
      </c>
      <c r="R129">
        <v>0.38386213637187339</v>
      </c>
      <c r="S129">
        <v>1.615581742669853E-2</v>
      </c>
      <c r="T129" s="9" t="s">
        <v>40</v>
      </c>
      <c r="U129" s="9" t="s">
        <v>50</v>
      </c>
      <c r="V129" s="9" t="s">
        <v>276</v>
      </c>
      <c r="W129" s="9" t="s">
        <v>867</v>
      </c>
      <c r="X129" s="9" t="s">
        <v>888</v>
      </c>
      <c r="Y129" s="1" t="s">
        <v>31</v>
      </c>
      <c r="Z129" s="1" t="s">
        <v>31</v>
      </c>
      <c r="AA129" s="3" t="s">
        <v>31</v>
      </c>
      <c r="AB129" s="11" t="s">
        <v>31</v>
      </c>
      <c r="AC129" s="11" t="s">
        <v>31</v>
      </c>
      <c r="AD129" s="10">
        <v>0</v>
      </c>
      <c r="AE129" s="9" t="s">
        <v>41</v>
      </c>
      <c r="AF129" s="9" t="s">
        <v>35</v>
      </c>
    </row>
    <row r="130" spans="1:32" x14ac:dyDescent="0.25">
      <c r="A130" s="9" t="s">
        <v>570</v>
      </c>
      <c r="B130" s="10" t="s">
        <v>741</v>
      </c>
      <c r="C130" s="1" t="s">
        <v>747</v>
      </c>
      <c r="D130" s="10">
        <v>3</v>
      </c>
      <c r="E130" s="10">
        <v>2017</v>
      </c>
      <c r="F130" s="9" t="s">
        <v>38</v>
      </c>
      <c r="G130" s="9" t="s">
        <v>54</v>
      </c>
      <c r="H130" s="1">
        <v>9.1999999999999993</v>
      </c>
      <c r="I130" s="1">
        <v>0.5</v>
      </c>
      <c r="J130" s="9" t="s">
        <v>30</v>
      </c>
      <c r="K130" s="1">
        <v>0.46</v>
      </c>
      <c r="L130" s="10">
        <v>46</v>
      </c>
      <c r="M130" s="3">
        <v>0.45</v>
      </c>
      <c r="N130" s="11">
        <v>1.4133472222222219E-2</v>
      </c>
      <c r="O130">
        <v>1322</v>
      </c>
      <c r="P130" s="11">
        <v>0.48470027859405168</v>
      </c>
      <c r="Q130" s="11">
        <v>2.3255813953488368E-2</v>
      </c>
      <c r="R130">
        <v>0.45424945152374419</v>
      </c>
      <c r="S130">
        <v>1.3997602786341269E-2</v>
      </c>
      <c r="T130" s="9" t="s">
        <v>40</v>
      </c>
      <c r="U130" s="9" t="s">
        <v>50</v>
      </c>
      <c r="V130" s="9" t="s">
        <v>276</v>
      </c>
      <c r="W130" s="9" t="s">
        <v>31</v>
      </c>
      <c r="X130" s="9" t="s">
        <v>889</v>
      </c>
      <c r="Y130" s="1" t="s">
        <v>31</v>
      </c>
      <c r="Z130" s="1" t="s">
        <v>31</v>
      </c>
      <c r="AA130" s="3" t="s">
        <v>31</v>
      </c>
      <c r="AB130" s="11" t="s">
        <v>31</v>
      </c>
      <c r="AC130" s="11" t="s">
        <v>31</v>
      </c>
      <c r="AD130" s="10">
        <v>0</v>
      </c>
      <c r="AE130" s="9" t="s">
        <v>41</v>
      </c>
      <c r="AF130" s="9" t="s">
        <v>35</v>
      </c>
    </row>
    <row r="131" spans="1:32" x14ac:dyDescent="0.25">
      <c r="A131" s="9" t="s">
        <v>570</v>
      </c>
      <c r="B131" s="10" t="s">
        <v>1005</v>
      </c>
      <c r="C131" s="1" t="s">
        <v>748</v>
      </c>
      <c r="D131" s="10">
        <v>3</v>
      </c>
      <c r="E131" s="10">
        <v>2017</v>
      </c>
      <c r="F131" s="9" t="s">
        <v>38</v>
      </c>
      <c r="G131" s="9" t="s">
        <v>54</v>
      </c>
      <c r="H131" s="1">
        <v>9.1999999999999993</v>
      </c>
      <c r="I131" s="1">
        <v>0.5</v>
      </c>
      <c r="J131" s="9" t="s">
        <v>30</v>
      </c>
      <c r="K131" s="1">
        <v>0.46</v>
      </c>
      <c r="L131" s="10">
        <v>46</v>
      </c>
      <c r="M131" s="3">
        <v>0.24</v>
      </c>
      <c r="N131" s="11">
        <v>1.9735950222222218E-2</v>
      </c>
      <c r="O131">
        <v>1322</v>
      </c>
      <c r="P131" s="11">
        <v>0.24477411265935289</v>
      </c>
      <c r="Q131" s="11">
        <v>2.3255813953488368E-2</v>
      </c>
      <c r="R131">
        <v>0.2426996675729505</v>
      </c>
      <c r="S131">
        <v>1.968140713963426E-2</v>
      </c>
      <c r="T131" s="9" t="s">
        <v>40</v>
      </c>
      <c r="U131" s="9" t="s">
        <v>50</v>
      </c>
      <c r="V131" s="9" t="s">
        <v>276</v>
      </c>
      <c r="W131" s="9" t="s">
        <v>868</v>
      </c>
      <c r="X131" s="9" t="s">
        <v>905</v>
      </c>
      <c r="Y131" s="1" t="s">
        <v>31</v>
      </c>
      <c r="Z131" s="1" t="s">
        <v>31</v>
      </c>
      <c r="AA131" s="3" t="s">
        <v>31</v>
      </c>
      <c r="AB131" s="11" t="s">
        <v>31</v>
      </c>
      <c r="AC131" s="11" t="s">
        <v>31</v>
      </c>
      <c r="AD131" s="10">
        <v>0</v>
      </c>
      <c r="AE131" s="9" t="s">
        <v>41</v>
      </c>
      <c r="AF131" s="9" t="s">
        <v>35</v>
      </c>
    </row>
    <row r="132" spans="1:32" x14ac:dyDescent="0.25">
      <c r="A132" s="9" t="s">
        <v>570</v>
      </c>
      <c r="B132" s="10" t="s">
        <v>1005</v>
      </c>
      <c r="C132" s="1" t="s">
        <v>749</v>
      </c>
      <c r="D132" s="10">
        <v>3</v>
      </c>
      <c r="E132" s="10">
        <v>2017</v>
      </c>
      <c r="F132" s="9" t="s">
        <v>38</v>
      </c>
      <c r="G132" s="9" t="s">
        <v>54</v>
      </c>
      <c r="H132" s="1">
        <v>9.1999999999999993</v>
      </c>
      <c r="I132" s="1">
        <v>0.5</v>
      </c>
      <c r="J132" s="9" t="s">
        <v>30</v>
      </c>
      <c r="K132" s="1">
        <v>0.46</v>
      </c>
      <c r="L132" s="10">
        <v>46</v>
      </c>
      <c r="M132" s="3">
        <v>0.31</v>
      </c>
      <c r="N132" s="11">
        <v>1.8156338000000001E-2</v>
      </c>
      <c r="O132">
        <v>1322</v>
      </c>
      <c r="P132" s="11">
        <v>0.32054540930194608</v>
      </c>
      <c r="Q132" s="11">
        <v>2.3255813953488368E-2</v>
      </c>
      <c r="R132">
        <v>0.31333745222775228</v>
      </c>
      <c r="S132">
        <v>1.8072859221112021E-2</v>
      </c>
      <c r="T132" s="9" t="s">
        <v>40</v>
      </c>
      <c r="U132" s="9" t="s">
        <v>50</v>
      </c>
      <c r="V132" s="9" t="s">
        <v>276</v>
      </c>
      <c r="W132" s="9" t="s">
        <v>868</v>
      </c>
      <c r="X132" s="9" t="s">
        <v>890</v>
      </c>
      <c r="Y132" s="1" t="s">
        <v>31</v>
      </c>
      <c r="Z132" s="1" t="s">
        <v>31</v>
      </c>
      <c r="AA132" s="3" t="s">
        <v>31</v>
      </c>
      <c r="AB132" s="11" t="s">
        <v>31</v>
      </c>
      <c r="AC132" s="11" t="s">
        <v>31</v>
      </c>
      <c r="AD132" s="10">
        <v>0</v>
      </c>
      <c r="AE132" s="9" t="s">
        <v>41</v>
      </c>
      <c r="AF132" s="9" t="s">
        <v>35</v>
      </c>
    </row>
    <row r="133" spans="1:32" x14ac:dyDescent="0.25">
      <c r="A133" s="9" t="s">
        <v>855</v>
      </c>
      <c r="B133" s="10" t="s">
        <v>1065</v>
      </c>
      <c r="C133" s="1" t="s">
        <v>750</v>
      </c>
      <c r="D133" s="10">
        <v>3</v>
      </c>
      <c r="E133" s="10">
        <v>2017</v>
      </c>
      <c r="F133" s="9" t="s">
        <v>38</v>
      </c>
      <c r="G133" s="9" t="s">
        <v>29</v>
      </c>
      <c r="H133" s="1">
        <v>19.600000000000001</v>
      </c>
      <c r="I133" s="1">
        <v>1.4</v>
      </c>
      <c r="J133" s="9" t="s">
        <v>39</v>
      </c>
      <c r="K133" s="1">
        <v>0</v>
      </c>
      <c r="L133" s="10">
        <v>40</v>
      </c>
      <c r="M133" s="3">
        <v>0.28100000000000003</v>
      </c>
      <c r="N133" s="11">
        <v>2.1751611269769228E-2</v>
      </c>
      <c r="O133">
        <v>239</v>
      </c>
      <c r="P133" s="11">
        <v>0.28876747208784392</v>
      </c>
      <c r="Q133" s="11">
        <v>2.7027027027027029E-2</v>
      </c>
      <c r="R133">
        <v>0.28460045734318212</v>
      </c>
      <c r="S133">
        <v>2.1655531832271532E-2</v>
      </c>
      <c r="T133" s="9" t="s">
        <v>40</v>
      </c>
      <c r="U133" s="9" t="s">
        <v>50</v>
      </c>
      <c r="V133" s="9" t="s">
        <v>276</v>
      </c>
      <c r="W133" s="9" t="s">
        <v>30</v>
      </c>
      <c r="X133" s="9" t="s">
        <v>304</v>
      </c>
      <c r="Y133" s="1" t="s">
        <v>31</v>
      </c>
      <c r="Z133" s="1" t="s">
        <v>31</v>
      </c>
      <c r="AA133" s="3" t="s">
        <v>31</v>
      </c>
      <c r="AB133" s="11" t="s">
        <v>31</v>
      </c>
      <c r="AC133" s="11" t="s">
        <v>31</v>
      </c>
      <c r="AD133" s="10">
        <v>0</v>
      </c>
      <c r="AE133" s="9" t="s">
        <v>41</v>
      </c>
      <c r="AF133" s="9" t="s">
        <v>35</v>
      </c>
    </row>
    <row r="134" spans="1:32" x14ac:dyDescent="0.25">
      <c r="A134" s="9" t="s">
        <v>855</v>
      </c>
      <c r="B134" s="10" t="s">
        <v>1066</v>
      </c>
      <c r="C134" s="1" t="s">
        <v>751</v>
      </c>
      <c r="D134" s="10">
        <v>3</v>
      </c>
      <c r="E134" s="10">
        <v>2017</v>
      </c>
      <c r="F134" s="9" t="s">
        <v>38</v>
      </c>
      <c r="G134" s="9" t="s">
        <v>29</v>
      </c>
      <c r="H134" s="1">
        <v>20.2</v>
      </c>
      <c r="I134" s="1">
        <v>2</v>
      </c>
      <c r="J134" s="9" t="s">
        <v>43</v>
      </c>
      <c r="K134" s="1">
        <v>1</v>
      </c>
      <c r="L134" s="10">
        <v>40</v>
      </c>
      <c r="M134" s="3">
        <v>-0.04</v>
      </c>
      <c r="N134" s="11">
        <v>2.5559040000000002E-2</v>
      </c>
      <c r="O134">
        <v>239</v>
      </c>
      <c r="P134" s="11">
        <v>-4.0021353836768248E-2</v>
      </c>
      <c r="Q134" s="11">
        <v>2.7027027027027029E-2</v>
      </c>
      <c r="R134">
        <v>-4.0558404896011598E-2</v>
      </c>
      <c r="S134">
        <v>2.5556736860451949E-2</v>
      </c>
      <c r="T134" s="9" t="s">
        <v>40</v>
      </c>
      <c r="U134" s="9" t="s">
        <v>50</v>
      </c>
      <c r="V134" s="9" t="s">
        <v>276</v>
      </c>
      <c r="W134" s="9" t="s">
        <v>30</v>
      </c>
      <c r="X134" s="9" t="s">
        <v>304</v>
      </c>
      <c r="Y134" s="1" t="s">
        <v>31</v>
      </c>
      <c r="Z134" s="1" t="s">
        <v>31</v>
      </c>
      <c r="AA134" s="3" t="s">
        <v>31</v>
      </c>
      <c r="AB134" s="11" t="s">
        <v>31</v>
      </c>
      <c r="AC134" s="11" t="s">
        <v>31</v>
      </c>
      <c r="AD134" s="10">
        <v>0</v>
      </c>
      <c r="AE134" s="9" t="s">
        <v>41</v>
      </c>
      <c r="AF134" s="9" t="s">
        <v>35</v>
      </c>
    </row>
    <row r="135" spans="1:32" x14ac:dyDescent="0.25">
      <c r="A135" s="9" t="s">
        <v>843</v>
      </c>
      <c r="B135" s="10" t="s">
        <v>1010</v>
      </c>
      <c r="C135" s="1" t="s">
        <v>752</v>
      </c>
      <c r="D135" s="10">
        <v>3</v>
      </c>
      <c r="E135" s="10">
        <v>2018</v>
      </c>
      <c r="F135" s="9" t="s">
        <v>38</v>
      </c>
      <c r="G135" s="9" t="s">
        <v>29</v>
      </c>
      <c r="H135" s="1">
        <v>24.91</v>
      </c>
      <c r="I135" s="1">
        <v>5.61</v>
      </c>
      <c r="J135" s="9" t="s">
        <v>30</v>
      </c>
      <c r="K135" s="1">
        <v>0.59</v>
      </c>
      <c r="L135" s="10">
        <v>56</v>
      </c>
      <c r="M135" s="3">
        <v>0.29599999999999999</v>
      </c>
      <c r="N135" s="11">
        <v>1.51353556992E-2</v>
      </c>
      <c r="O135" t="s">
        <v>63</v>
      </c>
      <c r="P135" s="11">
        <v>0.30512976037708878</v>
      </c>
      <c r="Q135" s="11">
        <v>1.886792452830189E-2</v>
      </c>
      <c r="R135">
        <v>0.29859892225861628</v>
      </c>
      <c r="S135">
        <v>1.508412922890057E-2</v>
      </c>
      <c r="T135" s="9" t="s">
        <v>40</v>
      </c>
      <c r="U135" s="9" t="s">
        <v>50</v>
      </c>
      <c r="V135" s="9" t="s">
        <v>276</v>
      </c>
      <c r="W135" s="9" t="s">
        <v>867</v>
      </c>
      <c r="X135" s="9" t="s">
        <v>845</v>
      </c>
      <c r="Y135" s="1" t="s">
        <v>31</v>
      </c>
      <c r="Z135" s="1" t="s">
        <v>31</v>
      </c>
      <c r="AA135" s="3" t="s">
        <v>31</v>
      </c>
      <c r="AB135" s="11" t="s">
        <v>31</v>
      </c>
      <c r="AC135" s="11" t="s">
        <v>31</v>
      </c>
      <c r="AD135" s="10">
        <v>0</v>
      </c>
      <c r="AE135" s="9" t="s">
        <v>34</v>
      </c>
      <c r="AF135" s="9" t="s">
        <v>63</v>
      </c>
    </row>
    <row r="136" spans="1:32" x14ac:dyDescent="0.25">
      <c r="A136" s="9" t="s">
        <v>843</v>
      </c>
      <c r="B136" s="10" t="s">
        <v>1011</v>
      </c>
      <c r="C136" s="1" t="s">
        <v>753</v>
      </c>
      <c r="D136" s="10">
        <v>3</v>
      </c>
      <c r="E136" s="10">
        <v>2018</v>
      </c>
      <c r="F136" s="9" t="s">
        <v>28</v>
      </c>
      <c r="G136" s="9" t="s">
        <v>29</v>
      </c>
      <c r="H136" s="1">
        <v>24.69</v>
      </c>
      <c r="I136" s="1">
        <v>5.93</v>
      </c>
      <c r="J136" s="9" t="s">
        <v>30</v>
      </c>
      <c r="K136" s="1">
        <v>0.57399999999999995</v>
      </c>
      <c r="L136" s="10">
        <v>54</v>
      </c>
      <c r="M136" s="3">
        <v>9.4E-2</v>
      </c>
      <c r="N136" s="11">
        <v>1.853596367728302E-2</v>
      </c>
      <c r="O136" t="s">
        <v>63</v>
      </c>
      <c r="P136" s="11">
        <v>9.4278338469473574E-2</v>
      </c>
      <c r="Q136" s="11">
        <v>1.9607843137254902E-2</v>
      </c>
      <c r="R136">
        <v>9.4935917349492471E-2</v>
      </c>
      <c r="S136">
        <v>1.8529350457921558E-2</v>
      </c>
      <c r="T136" s="9" t="s">
        <v>40</v>
      </c>
      <c r="U136" s="9" t="s">
        <v>50</v>
      </c>
      <c r="V136" s="9" t="s">
        <v>276</v>
      </c>
      <c r="W136" s="9" t="s">
        <v>867</v>
      </c>
      <c r="X136" s="9" t="s">
        <v>845</v>
      </c>
      <c r="Y136" s="1" t="s">
        <v>31</v>
      </c>
      <c r="Z136" s="1" t="s">
        <v>31</v>
      </c>
      <c r="AA136" s="3" t="s">
        <v>31</v>
      </c>
      <c r="AB136" s="11" t="s">
        <v>31</v>
      </c>
      <c r="AC136" s="11" t="s">
        <v>31</v>
      </c>
      <c r="AD136" s="10">
        <v>0</v>
      </c>
      <c r="AE136" s="9" t="s">
        <v>34</v>
      </c>
      <c r="AF136" s="9" t="s">
        <v>63</v>
      </c>
    </row>
    <row r="137" spans="1:32" x14ac:dyDescent="0.25">
      <c r="A137" s="9" t="s">
        <v>859</v>
      </c>
      <c r="B137" s="10" t="s">
        <v>1067</v>
      </c>
      <c r="C137" s="1" t="s">
        <v>754</v>
      </c>
      <c r="D137" s="10">
        <v>3</v>
      </c>
      <c r="E137" s="10">
        <v>2018</v>
      </c>
      <c r="F137" s="9" t="s">
        <v>28</v>
      </c>
      <c r="G137" s="9" t="s">
        <v>29</v>
      </c>
      <c r="H137" s="1">
        <v>62.3</v>
      </c>
      <c r="I137" s="1">
        <v>5.5</v>
      </c>
      <c r="J137" s="9" t="s">
        <v>30</v>
      </c>
      <c r="K137" s="1">
        <v>0.33</v>
      </c>
      <c r="L137" s="10">
        <v>93</v>
      </c>
      <c r="M137" s="3">
        <v>0.02</v>
      </c>
      <c r="N137" s="11">
        <v>1.0860871304347829E-2</v>
      </c>
      <c r="O137">
        <v>1667</v>
      </c>
      <c r="P137" s="11">
        <v>2.00026673068496E-2</v>
      </c>
      <c r="Q137" s="11">
        <v>1.111111111111111E-2</v>
      </c>
      <c r="R137">
        <v>2.0112627146480041E-2</v>
      </c>
      <c r="S137">
        <v>1.086077313144739E-2</v>
      </c>
      <c r="T137" s="9" t="s">
        <v>40</v>
      </c>
      <c r="U137" s="9" t="s">
        <v>50</v>
      </c>
      <c r="V137" s="9" t="s">
        <v>276</v>
      </c>
      <c r="W137" s="9" t="s">
        <v>868</v>
      </c>
      <c r="X137" s="9" t="s">
        <v>1250</v>
      </c>
      <c r="Y137" s="1">
        <v>0.72</v>
      </c>
      <c r="Z137" s="1">
        <v>1</v>
      </c>
      <c r="AA137" s="3">
        <f t="shared" ref="AA137:AA140" si="2">Y137/Z137</f>
        <v>0.72</v>
      </c>
      <c r="AB137" s="11">
        <v>2.777261803607416E-2</v>
      </c>
      <c r="AC137" s="11">
        <v>0.14548489238566939</v>
      </c>
      <c r="AD137" s="10">
        <v>0</v>
      </c>
      <c r="AE137" s="9" t="s">
        <v>41</v>
      </c>
      <c r="AF137" s="9" t="s">
        <v>35</v>
      </c>
    </row>
    <row r="138" spans="1:32" x14ac:dyDescent="0.25">
      <c r="A138" s="9" t="s">
        <v>578</v>
      </c>
      <c r="B138" s="10" t="s">
        <v>1017</v>
      </c>
      <c r="C138" s="1" t="s">
        <v>755</v>
      </c>
      <c r="D138" s="10">
        <v>3</v>
      </c>
      <c r="E138" s="10">
        <v>2019</v>
      </c>
      <c r="F138" s="9" t="s">
        <v>28</v>
      </c>
      <c r="G138" s="9" t="s">
        <v>29</v>
      </c>
      <c r="H138" s="1">
        <v>32.97</v>
      </c>
      <c r="I138" s="1">
        <v>11.12</v>
      </c>
      <c r="J138" s="9" t="s">
        <v>30</v>
      </c>
      <c r="K138" s="1">
        <v>0.42</v>
      </c>
      <c r="L138" s="10">
        <v>38</v>
      </c>
      <c r="M138" s="3">
        <v>0</v>
      </c>
      <c r="N138" s="11">
        <v>2.7027027027027029E-2</v>
      </c>
      <c r="O138">
        <v>3</v>
      </c>
      <c r="P138" s="11">
        <v>0</v>
      </c>
      <c r="Q138" s="11">
        <v>2.8571428571428571E-2</v>
      </c>
      <c r="R138">
        <v>0</v>
      </c>
      <c r="S138">
        <v>2.7027027027027029E-2</v>
      </c>
      <c r="T138" s="9" t="s">
        <v>40</v>
      </c>
      <c r="U138" s="9" t="s">
        <v>46</v>
      </c>
      <c r="V138" s="9" t="s">
        <v>276</v>
      </c>
      <c r="W138" s="9" t="s">
        <v>30</v>
      </c>
      <c r="X138" s="9" t="s">
        <v>278</v>
      </c>
      <c r="Y138" s="1">
        <v>12.88</v>
      </c>
      <c r="Z138" s="1">
        <v>15</v>
      </c>
      <c r="AA138" s="3">
        <f t="shared" si="2"/>
        <v>0.85866666666666669</v>
      </c>
      <c r="AB138" s="11">
        <v>0</v>
      </c>
      <c r="AC138" s="11" t="s">
        <v>31</v>
      </c>
      <c r="AD138" s="10">
        <v>0</v>
      </c>
      <c r="AE138" s="9" t="s">
        <v>34</v>
      </c>
      <c r="AF138" s="9" t="s">
        <v>35</v>
      </c>
    </row>
    <row r="139" spans="1:32" x14ac:dyDescent="0.25">
      <c r="A139" s="9" t="s">
        <v>935</v>
      </c>
      <c r="B139" s="10" t="s">
        <v>1028</v>
      </c>
      <c r="C139" s="1" t="s">
        <v>756</v>
      </c>
      <c r="D139" s="10">
        <v>3</v>
      </c>
      <c r="E139" s="10">
        <v>2020</v>
      </c>
      <c r="F139" s="9" t="s">
        <v>28</v>
      </c>
      <c r="G139" s="9" t="s">
        <v>54</v>
      </c>
      <c r="H139" s="1">
        <v>10</v>
      </c>
      <c r="I139" s="1">
        <v>10.1</v>
      </c>
      <c r="J139" s="9" t="s">
        <v>30</v>
      </c>
      <c r="K139" s="1">
        <v>0.6</v>
      </c>
      <c r="L139" s="10">
        <v>100</v>
      </c>
      <c r="M139" s="3">
        <v>6.4000000000000001E-2</v>
      </c>
      <c r="N139" s="11">
        <v>1.0018432093090911E-2</v>
      </c>
      <c r="O139">
        <v>2500</v>
      </c>
      <c r="P139" s="11">
        <v>6.4087596711998901E-2</v>
      </c>
      <c r="Q139" s="11">
        <v>1.030927835051546E-2</v>
      </c>
      <c r="R139">
        <v>6.4332795315221125E-2</v>
      </c>
      <c r="S139">
        <v>1.0017572846488351E-2</v>
      </c>
      <c r="T139" s="9" t="s">
        <v>40</v>
      </c>
      <c r="U139" s="9" t="s">
        <v>50</v>
      </c>
      <c r="V139" s="9" t="s">
        <v>276</v>
      </c>
      <c r="W139" s="9" t="s">
        <v>868</v>
      </c>
      <c r="X139" s="9" t="s">
        <v>927</v>
      </c>
      <c r="Y139" s="1" t="s">
        <v>31</v>
      </c>
      <c r="Z139" s="1" t="s">
        <v>31</v>
      </c>
      <c r="AA139" s="3" t="s">
        <v>31</v>
      </c>
      <c r="AB139" s="11" t="s">
        <v>31</v>
      </c>
      <c r="AC139" s="11" t="s">
        <v>31</v>
      </c>
      <c r="AD139" s="10">
        <v>4</v>
      </c>
      <c r="AE139" s="9" t="s">
        <v>41</v>
      </c>
      <c r="AF139" s="9" t="s">
        <v>35</v>
      </c>
    </row>
    <row r="140" spans="1:32" x14ac:dyDescent="0.25">
      <c r="A140" s="9" t="s">
        <v>917</v>
      </c>
      <c r="B140" s="10" t="s">
        <v>1068</v>
      </c>
      <c r="C140" s="1" t="s">
        <v>757</v>
      </c>
      <c r="D140" s="10">
        <v>3</v>
      </c>
      <c r="E140" s="10">
        <v>2020</v>
      </c>
      <c r="F140" s="9" t="s">
        <v>28</v>
      </c>
      <c r="G140" s="9" t="s">
        <v>29</v>
      </c>
      <c r="H140" s="1">
        <v>69.015000000000001</v>
      </c>
      <c r="I140" s="1">
        <v>4.24</v>
      </c>
      <c r="J140" s="9" t="s">
        <v>43</v>
      </c>
      <c r="K140" s="1">
        <v>1</v>
      </c>
      <c r="L140" s="10">
        <v>49</v>
      </c>
      <c r="M140" s="3">
        <v>0.35099999999999998</v>
      </c>
      <c r="N140" s="11">
        <v>1.6016176800020831E-2</v>
      </c>
      <c r="O140">
        <v>136</v>
      </c>
      <c r="P140" s="11">
        <v>0.36658381062805429</v>
      </c>
      <c r="Q140" s="11">
        <v>2.1739130434782612E-2</v>
      </c>
      <c r="R140">
        <v>0.35441636634844881</v>
      </c>
      <c r="S140">
        <v>1.5928253999701131E-2</v>
      </c>
      <c r="T140" s="9" t="s">
        <v>40</v>
      </c>
      <c r="U140" s="9" t="s">
        <v>46</v>
      </c>
      <c r="V140" s="9" t="s">
        <v>276</v>
      </c>
      <c r="W140" s="9" t="s">
        <v>867</v>
      </c>
      <c r="X140" s="9" t="s">
        <v>918</v>
      </c>
      <c r="Y140" s="1">
        <v>9.19</v>
      </c>
      <c r="Z140" s="1">
        <v>15</v>
      </c>
      <c r="AA140" s="3">
        <f t="shared" si="2"/>
        <v>0.61266666666666658</v>
      </c>
      <c r="AB140" s="11">
        <v>0.52189822911856987</v>
      </c>
      <c r="AC140" s="11">
        <v>0.16853329776387441</v>
      </c>
      <c r="AD140" s="10">
        <v>0</v>
      </c>
      <c r="AE140" s="9" t="s">
        <v>34</v>
      </c>
      <c r="AF140" s="9" t="s">
        <v>263</v>
      </c>
    </row>
    <row r="141" spans="1:32" x14ac:dyDescent="0.25">
      <c r="A141" s="9" t="s">
        <v>940</v>
      </c>
      <c r="B141" s="10" t="s">
        <v>496</v>
      </c>
      <c r="C141" s="1" t="s">
        <v>758</v>
      </c>
      <c r="D141" s="10">
        <v>3</v>
      </c>
      <c r="E141" s="10">
        <v>2020</v>
      </c>
      <c r="F141" s="9" t="s">
        <v>38</v>
      </c>
      <c r="G141" s="9" t="s">
        <v>29</v>
      </c>
      <c r="H141" s="1">
        <v>79.400000000000006</v>
      </c>
      <c r="I141" s="1">
        <v>0.6</v>
      </c>
      <c r="J141" s="9" t="s">
        <v>30</v>
      </c>
      <c r="K141" s="1">
        <v>0.53100000000000003</v>
      </c>
      <c r="L141" s="10">
        <v>358</v>
      </c>
      <c r="M141" s="3">
        <v>0.08</v>
      </c>
      <c r="N141" s="11">
        <v>2.7653808403361349E-3</v>
      </c>
      <c r="O141" t="s">
        <v>919</v>
      </c>
      <c r="P141" s="11">
        <v>8.0171325037589738E-2</v>
      </c>
      <c r="Q141" s="11">
        <v>2.8169014084507039E-3</v>
      </c>
      <c r="R141">
        <v>8.0112345764934381E-2</v>
      </c>
      <c r="S141">
        <v>2.7652807133930748E-3</v>
      </c>
      <c r="T141" s="9" t="s">
        <v>40</v>
      </c>
      <c r="U141" s="9" t="s">
        <v>50</v>
      </c>
      <c r="V141" s="9" t="s">
        <v>276</v>
      </c>
      <c r="W141" s="9" t="s">
        <v>867</v>
      </c>
      <c r="X141" s="9" t="s">
        <v>920</v>
      </c>
      <c r="Y141" s="1" t="s">
        <v>31</v>
      </c>
      <c r="Z141" s="1" t="s">
        <v>31</v>
      </c>
      <c r="AA141" s="3" t="s">
        <v>31</v>
      </c>
      <c r="AB141" s="11" t="s">
        <v>31</v>
      </c>
      <c r="AC141" s="11" t="s">
        <v>31</v>
      </c>
      <c r="AD141" s="10">
        <v>1</v>
      </c>
      <c r="AE141" s="9" t="s">
        <v>34</v>
      </c>
      <c r="AF141" s="9" t="s">
        <v>35</v>
      </c>
    </row>
    <row r="142" spans="1:32" x14ac:dyDescent="0.25">
      <c r="A142" s="9" t="s">
        <v>940</v>
      </c>
      <c r="B142" s="10" t="s">
        <v>496</v>
      </c>
      <c r="C142" s="1" t="s">
        <v>759</v>
      </c>
      <c r="D142" s="10">
        <v>3</v>
      </c>
      <c r="E142" s="10">
        <v>2020</v>
      </c>
      <c r="F142" s="9" t="s">
        <v>38</v>
      </c>
      <c r="G142" s="9" t="s">
        <v>29</v>
      </c>
      <c r="H142" s="1">
        <v>79.400000000000006</v>
      </c>
      <c r="I142" s="1">
        <v>0.6</v>
      </c>
      <c r="J142" s="9" t="s">
        <v>30</v>
      </c>
      <c r="K142" s="1">
        <v>0.53100000000000003</v>
      </c>
      <c r="L142" s="10">
        <v>358</v>
      </c>
      <c r="M142" s="3">
        <v>0.16200000000000001</v>
      </c>
      <c r="N142" s="11">
        <v>2.65602450290196E-3</v>
      </c>
      <c r="O142" t="s">
        <v>919</v>
      </c>
      <c r="P142" s="11">
        <v>0.16343991846488681</v>
      </c>
      <c r="Q142" s="11">
        <v>2.8169014084507039E-3</v>
      </c>
      <c r="R142">
        <v>0.1622229283040735</v>
      </c>
      <c r="S142">
        <v>2.655630222905559E-3</v>
      </c>
      <c r="T142" s="9" t="s">
        <v>40</v>
      </c>
      <c r="U142" s="9" t="s">
        <v>50</v>
      </c>
      <c r="V142" s="9" t="s">
        <v>276</v>
      </c>
      <c r="W142" s="9" t="s">
        <v>868</v>
      </c>
      <c r="X142" s="9" t="s">
        <v>928</v>
      </c>
      <c r="Y142" s="1" t="s">
        <v>31</v>
      </c>
      <c r="Z142" s="1" t="s">
        <v>31</v>
      </c>
      <c r="AA142" s="3" t="s">
        <v>31</v>
      </c>
      <c r="AB142" s="11" t="s">
        <v>31</v>
      </c>
      <c r="AC142" s="11" t="s">
        <v>31</v>
      </c>
      <c r="AD142" s="10">
        <v>1</v>
      </c>
      <c r="AE142" s="9" t="s">
        <v>34</v>
      </c>
      <c r="AF142" s="9" t="s">
        <v>35</v>
      </c>
    </row>
  </sheetData>
  <sortState xmlns:xlrd2="http://schemas.microsoft.com/office/spreadsheetml/2017/richdata2" ref="A2:AF137">
    <sortCondition ref="E4"/>
  </sortState>
  <phoneticPr fontId="2" type="noConversion"/>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B526-245A-4670-8A83-2B2375FB460E}">
  <dimension ref="A1:AF111"/>
  <sheetViews>
    <sheetView topLeftCell="R1" workbookViewId="0">
      <selection activeCell="AD1" sqref="AD1:AD1048576"/>
    </sheetView>
  </sheetViews>
  <sheetFormatPr baseColWidth="10" defaultRowHeight="15" x14ac:dyDescent="0.25"/>
  <cols>
    <col min="1" max="1" width="11.42578125" style="9"/>
    <col min="2" max="3" width="11.42578125" style="1"/>
    <col min="4" max="5" width="11.42578125" style="10"/>
    <col min="6" max="7" width="11.42578125" style="9"/>
    <col min="8" max="9" width="11.42578125" style="1"/>
    <col min="10" max="10" width="11.42578125" style="9"/>
    <col min="11" max="11" width="11.42578125" style="1"/>
    <col min="12" max="12" width="11.42578125" style="10"/>
    <col min="13" max="13" width="11.42578125" style="3"/>
    <col min="14" max="14" width="11.42578125" style="11"/>
    <col min="16" max="19" width="11.42578125" style="11"/>
    <col min="20" max="24" width="11.42578125" style="9"/>
    <col min="25" max="26" width="11.42578125" style="1"/>
    <col min="27" max="27" width="11.42578125" style="3"/>
    <col min="28" max="29" width="11.42578125" style="11"/>
    <col min="30" max="30" width="11.42578125" style="10"/>
    <col min="31" max="32" width="11.42578125" style="9"/>
  </cols>
  <sheetData>
    <row r="1" spans="1:32" x14ac:dyDescent="0.25">
      <c r="A1" s="9" t="s">
        <v>0</v>
      </c>
      <c r="B1" s="1" t="s">
        <v>1</v>
      </c>
      <c r="C1" s="1" t="s">
        <v>2</v>
      </c>
      <c r="D1" s="10" t="s">
        <v>3</v>
      </c>
      <c r="E1" s="10" t="s">
        <v>4</v>
      </c>
      <c r="F1" s="9" t="s">
        <v>5</v>
      </c>
      <c r="G1" s="9" t="s">
        <v>6</v>
      </c>
      <c r="H1" s="1" t="s">
        <v>7</v>
      </c>
      <c r="I1" s="1" t="s">
        <v>8</v>
      </c>
      <c r="J1" s="9" t="s">
        <v>9</v>
      </c>
      <c r="K1" s="1" t="s">
        <v>273</v>
      </c>
      <c r="L1" s="10" t="s">
        <v>849</v>
      </c>
      <c r="M1" s="3" t="s">
        <v>10</v>
      </c>
      <c r="N1" s="11" t="s">
        <v>317</v>
      </c>
      <c r="O1" t="s">
        <v>11</v>
      </c>
      <c r="P1" s="11" t="s">
        <v>318</v>
      </c>
      <c r="Q1" s="11" t="s">
        <v>319</v>
      </c>
      <c r="R1" s="11" t="s">
        <v>320</v>
      </c>
      <c r="S1" s="11" t="s">
        <v>321</v>
      </c>
      <c r="T1" s="9" t="s">
        <v>12</v>
      </c>
      <c r="U1" s="9" t="s">
        <v>13</v>
      </c>
      <c r="V1" s="9" t="s">
        <v>14</v>
      </c>
      <c r="W1" s="9" t="s">
        <v>866</v>
      </c>
      <c r="X1" s="9" t="s">
        <v>15</v>
      </c>
      <c r="Y1" s="1" t="s">
        <v>16</v>
      </c>
      <c r="Z1" s="1" t="s">
        <v>17</v>
      </c>
      <c r="AA1" s="3" t="s">
        <v>18</v>
      </c>
      <c r="AB1" s="11" t="s">
        <v>322</v>
      </c>
      <c r="AC1" s="11" t="s">
        <v>501</v>
      </c>
      <c r="AD1" s="10" t="s">
        <v>23</v>
      </c>
      <c r="AE1" s="9" t="s">
        <v>24</v>
      </c>
      <c r="AF1" s="9" t="s">
        <v>25</v>
      </c>
    </row>
    <row r="2" spans="1:32" x14ac:dyDescent="0.25">
      <c r="A2" s="9" t="s">
        <v>502</v>
      </c>
      <c r="B2" s="1" t="s">
        <v>26</v>
      </c>
      <c r="C2" s="1" t="s">
        <v>760</v>
      </c>
      <c r="D2" s="10">
        <v>2</v>
      </c>
      <c r="E2" s="10">
        <v>1987</v>
      </c>
      <c r="F2" s="9" t="s">
        <v>28</v>
      </c>
      <c r="G2" s="9" t="s">
        <v>29</v>
      </c>
      <c r="H2" s="1">
        <v>38.4</v>
      </c>
      <c r="I2" s="1">
        <v>14.1</v>
      </c>
      <c r="J2" s="9" t="s">
        <v>30</v>
      </c>
      <c r="K2" s="1">
        <v>0.34</v>
      </c>
      <c r="L2" s="10">
        <v>41</v>
      </c>
      <c r="M2" s="3">
        <v>0.06</v>
      </c>
      <c r="N2" s="11">
        <v>2.4820324000000001E-2</v>
      </c>
      <c r="O2">
        <v>20</v>
      </c>
      <c r="P2" s="11">
        <v>6.0072155921031697E-2</v>
      </c>
      <c r="Q2" s="11">
        <v>2.6315789473684209E-2</v>
      </c>
      <c r="R2">
        <v>6.0813087133637311E-2</v>
      </c>
      <c r="S2">
        <v>2.4815430344581859E-2</v>
      </c>
      <c r="T2" s="9" t="s">
        <v>32</v>
      </c>
      <c r="U2" s="9" t="s">
        <v>31</v>
      </c>
      <c r="V2" s="9" t="s">
        <v>305</v>
      </c>
      <c r="W2" s="9" t="s">
        <v>30</v>
      </c>
      <c r="X2" s="9" t="s">
        <v>306</v>
      </c>
      <c r="Y2" s="1">
        <v>10.199999999999999</v>
      </c>
      <c r="Z2" s="1">
        <v>15</v>
      </c>
      <c r="AA2" s="3">
        <f>Y2/Z2</f>
        <v>0.67999999999999994</v>
      </c>
      <c r="AB2" s="11">
        <v>8.8051218785933541E-2</v>
      </c>
      <c r="AC2" s="11">
        <v>0.23359026827285531</v>
      </c>
      <c r="AD2" s="10">
        <v>1</v>
      </c>
      <c r="AE2" s="9" t="s">
        <v>34</v>
      </c>
      <c r="AF2" s="9" t="s">
        <v>35</v>
      </c>
    </row>
    <row r="3" spans="1:32" x14ac:dyDescent="0.25">
      <c r="A3" s="9" t="s">
        <v>503</v>
      </c>
      <c r="B3" s="1" t="s">
        <v>48</v>
      </c>
      <c r="C3" s="1" t="s">
        <v>761</v>
      </c>
      <c r="D3" s="10">
        <v>2</v>
      </c>
      <c r="E3" s="10">
        <v>1993</v>
      </c>
      <c r="F3" s="9" t="s">
        <v>38</v>
      </c>
      <c r="G3" s="9" t="s">
        <v>29</v>
      </c>
      <c r="H3" s="1">
        <v>38</v>
      </c>
      <c r="I3" s="1">
        <v>16</v>
      </c>
      <c r="J3" s="9" t="s">
        <v>39</v>
      </c>
      <c r="K3" s="1">
        <v>0</v>
      </c>
      <c r="L3" s="10">
        <v>30</v>
      </c>
      <c r="M3" s="3">
        <v>0.3</v>
      </c>
      <c r="N3" s="11">
        <v>2.8555172413793101E-2</v>
      </c>
      <c r="O3">
        <v>132</v>
      </c>
      <c r="P3" s="11">
        <v>0.30951960420311181</v>
      </c>
      <c r="Q3" s="11">
        <v>3.7037037037037042E-2</v>
      </c>
      <c r="R3">
        <v>0.30525537673482073</v>
      </c>
      <c r="S3">
        <v>2.8355895856159819E-2</v>
      </c>
      <c r="T3" s="9" t="s">
        <v>40</v>
      </c>
      <c r="U3" s="9" t="s">
        <v>46</v>
      </c>
      <c r="V3" s="9" t="s">
        <v>305</v>
      </c>
      <c r="W3" s="9" t="s">
        <v>30</v>
      </c>
      <c r="X3" s="9" t="s">
        <v>307</v>
      </c>
      <c r="Y3" s="1">
        <v>13</v>
      </c>
      <c r="Z3" s="1">
        <v>15</v>
      </c>
      <c r="AA3" s="3">
        <f>Y3/Z3</f>
        <v>0.8666666666666667</v>
      </c>
      <c r="AB3" s="11">
        <v>0.34110491440212443</v>
      </c>
      <c r="AC3" s="11">
        <v>0.199042598256191</v>
      </c>
      <c r="AD3" s="10">
        <v>1</v>
      </c>
      <c r="AE3" s="9" t="s">
        <v>41</v>
      </c>
      <c r="AF3" s="9" t="s">
        <v>35</v>
      </c>
    </row>
    <row r="4" spans="1:32" x14ac:dyDescent="0.25">
      <c r="A4" s="9" t="s">
        <v>503</v>
      </c>
      <c r="B4" s="1" t="s">
        <v>52</v>
      </c>
      <c r="C4" s="1" t="s">
        <v>762</v>
      </c>
      <c r="D4" s="10">
        <v>2</v>
      </c>
      <c r="E4" s="10">
        <v>1993</v>
      </c>
      <c r="F4" s="9" t="s">
        <v>38</v>
      </c>
      <c r="G4" s="9" t="s">
        <v>29</v>
      </c>
      <c r="H4" s="1">
        <v>38</v>
      </c>
      <c r="I4" s="1">
        <v>16</v>
      </c>
      <c r="J4" s="9" t="s">
        <v>43</v>
      </c>
      <c r="K4" s="1">
        <v>1</v>
      </c>
      <c r="L4" s="10">
        <v>37</v>
      </c>
      <c r="M4" s="3">
        <v>0.43</v>
      </c>
      <c r="N4" s="11">
        <v>1.84552225E-2</v>
      </c>
      <c r="O4">
        <v>132</v>
      </c>
      <c r="P4" s="11">
        <v>0.45989668121267852</v>
      </c>
      <c r="Q4" s="11">
        <v>2.9411764705882349E-2</v>
      </c>
      <c r="R4">
        <v>0.43527996903553479</v>
      </c>
      <c r="S4">
        <v>1.8248918527574862E-2</v>
      </c>
      <c r="T4" s="9" t="s">
        <v>40</v>
      </c>
      <c r="U4" s="9" t="s">
        <v>46</v>
      </c>
      <c r="V4" s="9" t="s">
        <v>305</v>
      </c>
      <c r="W4" s="9" t="s">
        <v>30</v>
      </c>
      <c r="X4" s="9" t="s">
        <v>307</v>
      </c>
      <c r="Y4" s="1">
        <v>13</v>
      </c>
      <c r="Z4" s="1">
        <v>15</v>
      </c>
      <c r="AA4" s="3">
        <f t="shared" ref="AA4:AA67" si="0">Y4/Z4</f>
        <v>0.8666666666666667</v>
      </c>
      <c r="AB4" s="11">
        <v>0.48161909458492619</v>
      </c>
      <c r="AC4" s="11">
        <v>0.16105764143602161</v>
      </c>
      <c r="AD4" s="10">
        <v>1</v>
      </c>
      <c r="AE4" s="9" t="s">
        <v>41</v>
      </c>
      <c r="AF4" s="9" t="s">
        <v>35</v>
      </c>
    </row>
    <row r="5" spans="1:32" x14ac:dyDescent="0.25">
      <c r="A5" s="9" t="s">
        <v>55</v>
      </c>
      <c r="B5" s="1" t="s">
        <v>60</v>
      </c>
      <c r="C5" s="1" t="s">
        <v>763</v>
      </c>
      <c r="D5" s="10">
        <v>2</v>
      </c>
      <c r="E5" s="10">
        <v>1994</v>
      </c>
      <c r="F5" s="9" t="s">
        <v>38</v>
      </c>
      <c r="G5" s="9" t="s">
        <v>29</v>
      </c>
      <c r="H5" s="1">
        <v>25</v>
      </c>
      <c r="I5" s="1" t="s">
        <v>31</v>
      </c>
      <c r="J5" s="9" t="s">
        <v>39</v>
      </c>
      <c r="K5" s="1">
        <v>0</v>
      </c>
      <c r="L5" s="10">
        <v>40</v>
      </c>
      <c r="M5" s="3">
        <v>0.28000000000000003</v>
      </c>
      <c r="N5" s="11">
        <v>2.1778116923076921E-2</v>
      </c>
      <c r="O5">
        <v>834</v>
      </c>
      <c r="P5" s="11">
        <v>0.28768207245178101</v>
      </c>
      <c r="Q5" s="11">
        <v>2.7027027027027029E-2</v>
      </c>
      <c r="R5">
        <v>0.28358996112978607</v>
      </c>
      <c r="S5">
        <v>2.1682599220911279E-2</v>
      </c>
      <c r="T5" s="9" t="s">
        <v>40</v>
      </c>
      <c r="U5" s="9" t="s">
        <v>50</v>
      </c>
      <c r="V5" s="9" t="s">
        <v>305</v>
      </c>
      <c r="W5" s="9" t="s">
        <v>30</v>
      </c>
      <c r="X5" s="9" t="s">
        <v>384</v>
      </c>
      <c r="Y5" s="1" t="s">
        <v>31</v>
      </c>
      <c r="Z5" s="1" t="s">
        <v>31</v>
      </c>
      <c r="AA5" s="3" t="s">
        <v>31</v>
      </c>
      <c r="AB5" s="11" t="s">
        <v>31</v>
      </c>
      <c r="AC5" s="11" t="s">
        <v>31</v>
      </c>
      <c r="AD5" s="10">
        <v>0</v>
      </c>
      <c r="AE5" s="9" t="s">
        <v>41</v>
      </c>
      <c r="AF5" s="9" t="s">
        <v>35</v>
      </c>
    </row>
    <row r="6" spans="1:32" x14ac:dyDescent="0.25">
      <c r="A6" s="9" t="s">
        <v>58</v>
      </c>
      <c r="B6" s="1" t="s">
        <v>67</v>
      </c>
      <c r="C6" s="1" t="s">
        <v>764</v>
      </c>
      <c r="D6" s="10">
        <v>2</v>
      </c>
      <c r="E6" s="10">
        <v>1995</v>
      </c>
      <c r="F6" s="9" t="s">
        <v>38</v>
      </c>
      <c r="G6" s="9" t="s">
        <v>29</v>
      </c>
      <c r="H6" s="1">
        <v>22.5</v>
      </c>
      <c r="I6" s="1">
        <v>5</v>
      </c>
      <c r="J6" s="9" t="s">
        <v>43</v>
      </c>
      <c r="K6" s="1">
        <v>1</v>
      </c>
      <c r="L6" s="10">
        <v>40</v>
      </c>
      <c r="M6" s="3">
        <v>0.22</v>
      </c>
      <c r="N6" s="11">
        <v>2.321904E-2</v>
      </c>
      <c r="O6">
        <v>114</v>
      </c>
      <c r="P6" s="11">
        <v>0.22365610902183239</v>
      </c>
      <c r="Q6" s="11">
        <v>2.7027027027027029E-2</v>
      </c>
      <c r="R6">
        <v>0.22291823398102709</v>
      </c>
      <c r="S6">
        <v>2.315600693215188E-2</v>
      </c>
      <c r="T6" s="9" t="s">
        <v>40</v>
      </c>
      <c r="U6" s="9" t="s">
        <v>50</v>
      </c>
      <c r="V6" s="9" t="s">
        <v>305</v>
      </c>
      <c r="W6" s="9" t="s">
        <v>30</v>
      </c>
      <c r="X6" s="9" t="s">
        <v>307</v>
      </c>
      <c r="Y6" s="1">
        <v>10.5</v>
      </c>
      <c r="Z6" s="1">
        <v>15</v>
      </c>
      <c r="AA6" s="3">
        <f t="shared" si="0"/>
        <v>0.7</v>
      </c>
      <c r="AB6" s="11">
        <v>0.30665662178525738</v>
      </c>
      <c r="AC6" s="11">
        <v>0.21000058139873901</v>
      </c>
      <c r="AD6" s="10">
        <v>0</v>
      </c>
      <c r="AE6" s="9" t="s">
        <v>41</v>
      </c>
      <c r="AF6" s="9" t="s">
        <v>35</v>
      </c>
    </row>
    <row r="7" spans="1:32" x14ac:dyDescent="0.25">
      <c r="A7" s="9" t="s">
        <v>508</v>
      </c>
      <c r="B7" s="1" t="s">
        <v>1038</v>
      </c>
      <c r="C7" s="1" t="s">
        <v>765</v>
      </c>
      <c r="D7" s="10">
        <v>3</v>
      </c>
      <c r="E7" s="10">
        <v>1995</v>
      </c>
      <c r="F7" s="9" t="s">
        <v>28</v>
      </c>
      <c r="G7" s="9" t="s">
        <v>29</v>
      </c>
      <c r="H7" s="1">
        <v>29.75</v>
      </c>
      <c r="I7" s="1">
        <v>6.87</v>
      </c>
      <c r="J7" s="9" t="s">
        <v>30</v>
      </c>
      <c r="K7" s="1">
        <v>0.63</v>
      </c>
      <c r="L7" s="10">
        <v>68</v>
      </c>
      <c r="M7" s="3">
        <v>0.18</v>
      </c>
      <c r="N7" s="11">
        <v>1.3973877014925371E-2</v>
      </c>
      <c r="O7">
        <v>215</v>
      </c>
      <c r="P7" s="11">
        <v>0.18198268860070571</v>
      </c>
      <c r="Q7" s="11">
        <v>1.5384615384615391E-2</v>
      </c>
      <c r="R7">
        <v>0.18136435618201979</v>
      </c>
      <c r="S7">
        <v>1.395964017933983E-2</v>
      </c>
      <c r="T7" s="9" t="s">
        <v>40</v>
      </c>
      <c r="U7" s="9" t="s">
        <v>50</v>
      </c>
      <c r="V7" s="9" t="s">
        <v>305</v>
      </c>
      <c r="W7" s="9" t="s">
        <v>869</v>
      </c>
      <c r="X7" s="9" t="s">
        <v>893</v>
      </c>
      <c r="Y7" s="1" t="s">
        <v>31</v>
      </c>
      <c r="Z7" s="1" t="s">
        <v>31</v>
      </c>
      <c r="AA7" s="3" t="s">
        <v>31</v>
      </c>
      <c r="AB7" s="11" t="s">
        <v>31</v>
      </c>
      <c r="AC7" s="11" t="s">
        <v>31</v>
      </c>
      <c r="AD7" s="10">
        <v>0</v>
      </c>
      <c r="AE7" s="9" t="s">
        <v>41</v>
      </c>
      <c r="AF7" s="9" t="s">
        <v>35</v>
      </c>
    </row>
    <row r="8" spans="1:32" x14ac:dyDescent="0.25">
      <c r="A8" s="9" t="s">
        <v>508</v>
      </c>
      <c r="B8" s="1" t="s">
        <v>72</v>
      </c>
      <c r="C8" s="1" t="s">
        <v>766</v>
      </c>
      <c r="D8" s="10">
        <v>3</v>
      </c>
      <c r="E8" s="10">
        <v>1995</v>
      </c>
      <c r="F8" s="9" t="s">
        <v>38</v>
      </c>
      <c r="G8" s="9" t="s">
        <v>29</v>
      </c>
      <c r="H8" s="1">
        <v>27.66</v>
      </c>
      <c r="I8" s="1">
        <v>7.31</v>
      </c>
      <c r="J8" s="9" t="s">
        <v>30</v>
      </c>
      <c r="K8" s="1">
        <v>0.63</v>
      </c>
      <c r="L8" s="10">
        <v>68</v>
      </c>
      <c r="M8" s="3">
        <v>0.26</v>
      </c>
      <c r="N8" s="11">
        <v>1.297566805970149E-2</v>
      </c>
      <c r="O8">
        <v>215</v>
      </c>
      <c r="P8" s="11">
        <v>0.26610840687365411</v>
      </c>
      <c r="Q8" s="11">
        <v>1.5384615384615391E-2</v>
      </c>
      <c r="R8">
        <v>0.26189662880026687</v>
      </c>
      <c r="S8">
        <v>1.2948132512989969E-2</v>
      </c>
      <c r="T8" s="9" t="s">
        <v>40</v>
      </c>
      <c r="U8" s="9" t="s">
        <v>50</v>
      </c>
      <c r="V8" s="9" t="s">
        <v>305</v>
      </c>
      <c r="W8" s="9" t="s">
        <v>869</v>
      </c>
      <c r="X8" s="9" t="s">
        <v>893</v>
      </c>
      <c r="Y8" s="1" t="s">
        <v>31</v>
      </c>
      <c r="Z8" s="1" t="s">
        <v>31</v>
      </c>
      <c r="AA8" s="3" t="s">
        <v>31</v>
      </c>
      <c r="AB8" s="11" t="s">
        <v>31</v>
      </c>
      <c r="AC8" s="11" t="s">
        <v>31</v>
      </c>
      <c r="AD8" s="10">
        <v>0</v>
      </c>
      <c r="AE8" s="9" t="s">
        <v>41</v>
      </c>
      <c r="AF8" s="9" t="s">
        <v>35</v>
      </c>
    </row>
    <row r="9" spans="1:32" x14ac:dyDescent="0.25">
      <c r="A9" s="9" t="s">
        <v>856</v>
      </c>
      <c r="B9" s="1" t="s">
        <v>1039</v>
      </c>
      <c r="C9" s="1" t="s">
        <v>767</v>
      </c>
      <c r="D9" s="10">
        <v>2</v>
      </c>
      <c r="E9" s="10">
        <v>1997</v>
      </c>
      <c r="F9" s="9" t="s">
        <v>28</v>
      </c>
      <c r="G9" s="9" t="s">
        <v>29</v>
      </c>
      <c r="H9" s="1" t="s">
        <v>31</v>
      </c>
      <c r="I9" s="1" t="s">
        <v>31</v>
      </c>
      <c r="J9" s="9" t="s">
        <v>31</v>
      </c>
      <c r="K9" s="1" t="s">
        <v>31</v>
      </c>
      <c r="L9" s="10">
        <v>21</v>
      </c>
      <c r="M9" s="3">
        <v>0.46899999999999997</v>
      </c>
      <c r="N9" s="11">
        <v>3.042304207605E-2</v>
      </c>
      <c r="O9">
        <v>6</v>
      </c>
      <c r="P9" s="11">
        <v>0.50878757746596914</v>
      </c>
      <c r="Q9" s="11">
        <v>5.5555555555555552E-2</v>
      </c>
      <c r="R9">
        <v>0.47957446693727451</v>
      </c>
      <c r="S9">
        <v>2.9645641464430831E-2</v>
      </c>
      <c r="T9" s="9" t="s">
        <v>40</v>
      </c>
      <c r="U9" s="9" t="s">
        <v>50</v>
      </c>
      <c r="V9" s="9" t="s">
        <v>305</v>
      </c>
      <c r="W9" s="9" t="s">
        <v>30</v>
      </c>
      <c r="X9" s="9" t="s">
        <v>307</v>
      </c>
      <c r="Y9" s="1" t="s">
        <v>31</v>
      </c>
      <c r="Z9" s="1" t="s">
        <v>31</v>
      </c>
      <c r="AA9" s="3" t="s">
        <v>31</v>
      </c>
      <c r="AB9" s="11" t="s">
        <v>31</v>
      </c>
      <c r="AC9" s="11" t="s">
        <v>31</v>
      </c>
      <c r="AD9" s="10">
        <v>3</v>
      </c>
      <c r="AE9" s="9" t="s">
        <v>34</v>
      </c>
      <c r="AF9" s="9" t="s">
        <v>35</v>
      </c>
    </row>
    <row r="10" spans="1:32" x14ac:dyDescent="0.25">
      <c r="A10" s="9" t="s">
        <v>510</v>
      </c>
      <c r="B10" s="1" t="s">
        <v>88</v>
      </c>
      <c r="C10" s="1" t="s">
        <v>768</v>
      </c>
      <c r="D10" s="10">
        <v>2</v>
      </c>
      <c r="E10" s="10">
        <v>1997</v>
      </c>
      <c r="F10" s="9" t="s">
        <v>28</v>
      </c>
      <c r="G10" s="9" t="s">
        <v>29</v>
      </c>
      <c r="H10" s="1">
        <v>70.2</v>
      </c>
      <c r="I10" s="1">
        <v>7.1</v>
      </c>
      <c r="J10" s="9" t="s">
        <v>30</v>
      </c>
      <c r="K10" s="1">
        <v>0.38</v>
      </c>
      <c r="L10" s="10">
        <v>60</v>
      </c>
      <c r="M10" s="3">
        <v>0.36499999999999999</v>
      </c>
      <c r="N10" s="11">
        <v>1.273387967161017E-2</v>
      </c>
      <c r="O10">
        <v>21</v>
      </c>
      <c r="P10" s="11">
        <v>0.38264235436318422</v>
      </c>
      <c r="Q10" s="11">
        <v>1.754385964912281E-2</v>
      </c>
      <c r="R10">
        <v>0.36782164720622368</v>
      </c>
      <c r="S10">
        <v>1.2673196673310081E-2</v>
      </c>
      <c r="T10" s="9" t="s">
        <v>40</v>
      </c>
      <c r="U10" s="9" t="s">
        <v>50</v>
      </c>
      <c r="V10" s="9" t="s">
        <v>305</v>
      </c>
      <c r="W10" s="9" t="s">
        <v>30</v>
      </c>
      <c r="X10" s="9" t="s">
        <v>307</v>
      </c>
      <c r="Y10" s="1">
        <v>14</v>
      </c>
      <c r="Z10" s="1">
        <v>15</v>
      </c>
      <c r="AA10" s="3">
        <f t="shared" si="0"/>
        <v>0.93333333333333335</v>
      </c>
      <c r="AB10" s="11">
        <v>0.38727311799529562</v>
      </c>
      <c r="AC10" s="11">
        <v>0.12719973535724061</v>
      </c>
      <c r="AD10" s="10">
        <v>3</v>
      </c>
      <c r="AE10" s="9" t="s">
        <v>34</v>
      </c>
      <c r="AF10" s="9" t="s">
        <v>35</v>
      </c>
    </row>
    <row r="11" spans="1:32" x14ac:dyDescent="0.25">
      <c r="A11" s="9" t="s">
        <v>511</v>
      </c>
      <c r="B11" s="1" t="s">
        <v>91</v>
      </c>
      <c r="C11" s="1" t="s">
        <v>769</v>
      </c>
      <c r="D11" s="10">
        <v>2</v>
      </c>
      <c r="E11" s="10">
        <v>1997</v>
      </c>
      <c r="F11" s="9" t="s">
        <v>38</v>
      </c>
      <c r="G11" s="9" t="s">
        <v>29</v>
      </c>
      <c r="H11" s="1">
        <v>24.8</v>
      </c>
      <c r="I11" s="1">
        <v>4.5</v>
      </c>
      <c r="J11" s="9" t="s">
        <v>30</v>
      </c>
      <c r="K11" s="1">
        <v>0.53</v>
      </c>
      <c r="L11" s="10">
        <v>62</v>
      </c>
      <c r="M11" s="3">
        <v>0.32</v>
      </c>
      <c r="N11" s="11">
        <v>1.320796327868852E-2</v>
      </c>
      <c r="O11">
        <v>4</v>
      </c>
      <c r="P11" s="11">
        <v>0.33164710870513209</v>
      </c>
      <c r="Q11" s="11">
        <v>1.6949152542372881E-2</v>
      </c>
      <c r="R11">
        <v>0.32247655226589822</v>
      </c>
      <c r="S11">
        <v>1.316117870364727E-2</v>
      </c>
      <c r="T11" s="9" t="s">
        <v>40</v>
      </c>
      <c r="U11" s="9" t="s">
        <v>50</v>
      </c>
      <c r="V11" s="9" t="s">
        <v>305</v>
      </c>
      <c r="W11" s="9" t="s">
        <v>869</v>
      </c>
      <c r="X11" s="9" t="s">
        <v>385</v>
      </c>
      <c r="Y11" s="1">
        <v>12</v>
      </c>
      <c r="Z11" s="1">
        <v>15</v>
      </c>
      <c r="AA11" s="3">
        <f t="shared" si="0"/>
        <v>0.8</v>
      </c>
      <c r="AB11" s="11">
        <v>0.388954920792207</v>
      </c>
      <c r="AC11" s="11">
        <v>0.14057032423377211</v>
      </c>
      <c r="AD11" s="10">
        <v>0</v>
      </c>
      <c r="AE11" s="9" t="s">
        <v>41</v>
      </c>
      <c r="AF11" s="9" t="s">
        <v>35</v>
      </c>
    </row>
    <row r="12" spans="1:32" x14ac:dyDescent="0.25">
      <c r="A12" s="9" t="s">
        <v>512</v>
      </c>
      <c r="B12" s="1" t="s">
        <v>95</v>
      </c>
      <c r="C12" s="1" t="s">
        <v>770</v>
      </c>
      <c r="D12" s="10">
        <v>2</v>
      </c>
      <c r="E12" s="10">
        <v>1998</v>
      </c>
      <c r="F12" s="9" t="s">
        <v>38</v>
      </c>
      <c r="G12" s="9" t="s">
        <v>29</v>
      </c>
      <c r="H12" s="1">
        <v>27</v>
      </c>
      <c r="I12" s="1">
        <v>10</v>
      </c>
      <c r="J12" s="9" t="s">
        <v>30</v>
      </c>
      <c r="K12" s="1">
        <v>0.53</v>
      </c>
      <c r="L12" s="10">
        <v>90</v>
      </c>
      <c r="M12" s="3">
        <v>0.26</v>
      </c>
      <c r="N12" s="11">
        <v>9.7681995505617975E-3</v>
      </c>
      <c r="O12">
        <v>152</v>
      </c>
      <c r="P12" s="11">
        <v>0.26610840687365411</v>
      </c>
      <c r="Q12" s="11">
        <v>1.149425287356322E-2</v>
      </c>
      <c r="R12">
        <v>0.26141096189316471</v>
      </c>
      <c r="S12">
        <v>9.7527908389701407E-3</v>
      </c>
      <c r="T12" s="9" t="s">
        <v>40</v>
      </c>
      <c r="U12" s="9" t="s">
        <v>50</v>
      </c>
      <c r="V12" s="9" t="s">
        <v>305</v>
      </c>
      <c r="W12" s="9" t="s">
        <v>30</v>
      </c>
      <c r="X12" s="9" t="s">
        <v>307</v>
      </c>
      <c r="Y12" s="1">
        <v>12</v>
      </c>
      <c r="Z12" s="1">
        <v>15</v>
      </c>
      <c r="AA12" s="3">
        <f t="shared" si="0"/>
        <v>0.8</v>
      </c>
      <c r="AB12" s="11">
        <v>0.31899175233892602</v>
      </c>
      <c r="AC12" s="11">
        <v>0.12166287904573481</v>
      </c>
      <c r="AD12" s="10">
        <v>1</v>
      </c>
      <c r="AE12" s="9" t="s">
        <v>41</v>
      </c>
      <c r="AF12" s="9" t="s">
        <v>35</v>
      </c>
    </row>
    <row r="13" spans="1:32" x14ac:dyDescent="0.25">
      <c r="A13" s="9" t="s">
        <v>513</v>
      </c>
      <c r="B13" s="1" t="s">
        <v>97</v>
      </c>
      <c r="C13" s="1" t="s">
        <v>771</v>
      </c>
      <c r="D13" s="10">
        <v>3</v>
      </c>
      <c r="E13" s="10">
        <v>1999</v>
      </c>
      <c r="F13" s="9" t="s">
        <v>38</v>
      </c>
      <c r="G13" s="9" t="s">
        <v>29</v>
      </c>
      <c r="H13" s="1">
        <v>25</v>
      </c>
      <c r="I13" s="1">
        <v>5.3</v>
      </c>
      <c r="J13" s="9" t="s">
        <v>39</v>
      </c>
      <c r="K13" s="1">
        <v>0</v>
      </c>
      <c r="L13" s="10">
        <v>40</v>
      </c>
      <c r="M13" s="3">
        <v>0.56999999999999995</v>
      </c>
      <c r="N13" s="11">
        <v>1.16861541025641E-2</v>
      </c>
      <c r="O13">
        <v>4069</v>
      </c>
      <c r="P13" s="11">
        <v>0.64752284482737277</v>
      </c>
      <c r="Q13" s="11">
        <v>2.7027027027027029E-2</v>
      </c>
      <c r="R13">
        <v>0.57526977966652715</v>
      </c>
      <c r="S13">
        <v>1.147814222640065E-2</v>
      </c>
      <c r="T13" s="9" t="s">
        <v>40</v>
      </c>
      <c r="U13" s="9" t="s">
        <v>46</v>
      </c>
      <c r="V13" s="9" t="s">
        <v>305</v>
      </c>
      <c r="W13" s="9" t="s">
        <v>869</v>
      </c>
      <c r="X13" s="9" t="s">
        <v>976</v>
      </c>
      <c r="Y13" s="1" t="s">
        <v>31</v>
      </c>
      <c r="Z13" s="1" t="s">
        <v>31</v>
      </c>
      <c r="AA13" s="3" t="s">
        <v>31</v>
      </c>
      <c r="AB13" s="11" t="s">
        <v>31</v>
      </c>
      <c r="AC13" s="11" t="s">
        <v>31</v>
      </c>
      <c r="AD13" s="10">
        <v>0</v>
      </c>
      <c r="AE13" s="9" t="s">
        <v>41</v>
      </c>
      <c r="AF13" s="9" t="s">
        <v>35</v>
      </c>
    </row>
    <row r="14" spans="1:32" x14ac:dyDescent="0.25">
      <c r="A14" s="9" t="s">
        <v>513</v>
      </c>
      <c r="B14" s="1" t="s">
        <v>100</v>
      </c>
      <c r="C14" s="1" t="s">
        <v>772</v>
      </c>
      <c r="D14" s="10">
        <v>3</v>
      </c>
      <c r="E14" s="10">
        <v>1999</v>
      </c>
      <c r="F14" s="9" t="s">
        <v>38</v>
      </c>
      <c r="G14" s="9" t="s">
        <v>29</v>
      </c>
      <c r="H14" s="1">
        <v>27</v>
      </c>
      <c r="I14" s="1">
        <v>5.7</v>
      </c>
      <c r="J14" s="9" t="s">
        <v>43</v>
      </c>
      <c r="K14" s="1">
        <v>1</v>
      </c>
      <c r="L14" s="10">
        <v>40</v>
      </c>
      <c r="M14" s="3">
        <v>0.35</v>
      </c>
      <c r="N14" s="11">
        <v>1.9743750000000001E-2</v>
      </c>
      <c r="O14">
        <v>4069</v>
      </c>
      <c r="P14" s="11">
        <v>0.36544375427139619</v>
      </c>
      <c r="Q14" s="11">
        <v>2.7027027027027029E-2</v>
      </c>
      <c r="R14">
        <v>0.35426047602040212</v>
      </c>
      <c r="S14">
        <v>1.960895902467313E-2</v>
      </c>
      <c r="T14" s="9" t="s">
        <v>40</v>
      </c>
      <c r="U14" s="9" t="s">
        <v>46</v>
      </c>
      <c r="V14" s="9" t="s">
        <v>305</v>
      </c>
      <c r="W14" s="9" t="s">
        <v>869</v>
      </c>
      <c r="X14" s="9" t="s">
        <v>976</v>
      </c>
      <c r="Y14" s="1" t="s">
        <v>31</v>
      </c>
      <c r="Z14" s="1" t="s">
        <v>31</v>
      </c>
      <c r="AA14" s="3" t="s">
        <v>31</v>
      </c>
      <c r="AB14" s="11" t="s">
        <v>31</v>
      </c>
      <c r="AC14" s="11" t="s">
        <v>31</v>
      </c>
      <c r="AD14" s="10">
        <v>0</v>
      </c>
      <c r="AE14" s="9" t="s">
        <v>41</v>
      </c>
      <c r="AF14" s="9" t="s">
        <v>35</v>
      </c>
    </row>
    <row r="15" spans="1:32" x14ac:dyDescent="0.25">
      <c r="A15" s="9" t="s">
        <v>850</v>
      </c>
      <c r="B15" s="1" t="s">
        <v>1040</v>
      </c>
      <c r="C15" s="1" t="s">
        <v>892</v>
      </c>
      <c r="D15" s="10">
        <v>2</v>
      </c>
      <c r="E15" s="10">
        <v>1999</v>
      </c>
      <c r="F15" s="9" t="s">
        <v>28</v>
      </c>
      <c r="G15" s="9" t="s">
        <v>29</v>
      </c>
      <c r="H15" s="1">
        <v>43</v>
      </c>
      <c r="I15" s="1">
        <v>10</v>
      </c>
      <c r="J15" s="9" t="s">
        <v>43</v>
      </c>
      <c r="K15" s="1">
        <v>1</v>
      </c>
      <c r="L15" s="10">
        <v>37</v>
      </c>
      <c r="M15" s="3">
        <v>0</v>
      </c>
      <c r="N15" s="11">
        <v>2.777777777777778E-2</v>
      </c>
      <c r="O15" t="s">
        <v>63</v>
      </c>
      <c r="P15" s="11">
        <v>0</v>
      </c>
      <c r="Q15" s="11">
        <v>2.9411764705882349E-2</v>
      </c>
      <c r="R15">
        <v>0</v>
      </c>
      <c r="S15">
        <v>2.777777777777778E-2</v>
      </c>
      <c r="T15" s="9" t="s">
        <v>40</v>
      </c>
      <c r="U15" s="9" t="s">
        <v>50</v>
      </c>
      <c r="V15" s="9" t="s">
        <v>305</v>
      </c>
      <c r="W15" s="9" t="s">
        <v>30</v>
      </c>
      <c r="X15" s="9" t="s">
        <v>307</v>
      </c>
      <c r="Y15" s="1">
        <v>11</v>
      </c>
      <c r="Z15" s="1">
        <v>15</v>
      </c>
      <c r="AA15" s="3">
        <f t="shared" si="0"/>
        <v>0.73333333333333328</v>
      </c>
      <c r="AB15" s="11">
        <v>0</v>
      </c>
      <c r="AC15" s="11" t="s">
        <v>31</v>
      </c>
      <c r="AD15" s="10">
        <v>0</v>
      </c>
      <c r="AE15" s="9" t="s">
        <v>34</v>
      </c>
      <c r="AF15" s="9" t="s">
        <v>63</v>
      </c>
    </row>
    <row r="16" spans="1:32" x14ac:dyDescent="0.25">
      <c r="A16" s="9" t="s">
        <v>850</v>
      </c>
      <c r="B16" s="1" t="s">
        <v>1041</v>
      </c>
      <c r="C16" s="1" t="s">
        <v>773</v>
      </c>
      <c r="D16" s="10">
        <v>2</v>
      </c>
      <c r="E16" s="10">
        <v>1999</v>
      </c>
      <c r="F16" s="9" t="s">
        <v>38</v>
      </c>
      <c r="G16" s="9" t="s">
        <v>29</v>
      </c>
      <c r="H16" s="1">
        <v>42</v>
      </c>
      <c r="I16" s="1">
        <v>10</v>
      </c>
      <c r="J16" s="9" t="s">
        <v>43</v>
      </c>
      <c r="K16" s="1">
        <v>1</v>
      </c>
      <c r="L16" s="10">
        <v>33</v>
      </c>
      <c r="M16" s="3">
        <v>0</v>
      </c>
      <c r="N16" s="11">
        <v>3.125E-2</v>
      </c>
      <c r="O16" t="s">
        <v>63</v>
      </c>
      <c r="P16" s="11">
        <v>0</v>
      </c>
      <c r="Q16" s="11">
        <v>3.3333333333333333E-2</v>
      </c>
      <c r="R16">
        <v>0</v>
      </c>
      <c r="S16">
        <v>3.125E-2</v>
      </c>
      <c r="T16" s="9" t="s">
        <v>40</v>
      </c>
      <c r="U16" s="9" t="s">
        <v>50</v>
      </c>
      <c r="V16" s="9" t="s">
        <v>305</v>
      </c>
      <c r="W16" s="9" t="s">
        <v>30</v>
      </c>
      <c r="X16" s="9" t="s">
        <v>307</v>
      </c>
      <c r="Y16" s="1">
        <v>12</v>
      </c>
      <c r="Z16" s="1">
        <v>15</v>
      </c>
      <c r="AA16" s="3">
        <f t="shared" si="0"/>
        <v>0.8</v>
      </c>
      <c r="AB16" s="11">
        <v>0</v>
      </c>
      <c r="AC16" s="11" t="s">
        <v>31</v>
      </c>
      <c r="AD16" s="10">
        <v>0</v>
      </c>
      <c r="AE16" s="9" t="s">
        <v>34</v>
      </c>
      <c r="AF16" s="9" t="s">
        <v>63</v>
      </c>
    </row>
    <row r="17" spans="1:32" x14ac:dyDescent="0.25">
      <c r="A17" s="9" t="s">
        <v>943</v>
      </c>
      <c r="B17" s="1" t="s">
        <v>113</v>
      </c>
      <c r="C17" s="1" t="s">
        <v>774</v>
      </c>
      <c r="D17" s="10">
        <v>2</v>
      </c>
      <c r="E17" s="10">
        <v>2000</v>
      </c>
      <c r="F17" s="9" t="s">
        <v>38</v>
      </c>
      <c r="G17" s="9" t="s">
        <v>54</v>
      </c>
      <c r="H17" s="1">
        <v>7.75</v>
      </c>
      <c r="I17" s="1" t="s">
        <v>31</v>
      </c>
      <c r="J17" s="9" t="s">
        <v>30</v>
      </c>
      <c r="K17" s="1">
        <v>0.73</v>
      </c>
      <c r="L17" s="10">
        <v>11</v>
      </c>
      <c r="M17" s="3">
        <v>-0.17799999999999999</v>
      </c>
      <c r="N17" s="11">
        <v>9.3763587585599995E-2</v>
      </c>
      <c r="O17" t="s">
        <v>63</v>
      </c>
      <c r="P17" s="11">
        <v>-0.17991648457767601</v>
      </c>
      <c r="Q17" s="11">
        <v>0.125</v>
      </c>
      <c r="R17">
        <v>-0.19054163561652329</v>
      </c>
      <c r="S17">
        <v>9.287059041725404E-2</v>
      </c>
      <c r="T17" s="9" t="s">
        <v>40</v>
      </c>
      <c r="U17" s="9" t="s">
        <v>31</v>
      </c>
      <c r="V17" s="9" t="s">
        <v>305</v>
      </c>
      <c r="W17" s="9" t="s">
        <v>30</v>
      </c>
      <c r="X17" s="9" t="s">
        <v>308</v>
      </c>
      <c r="Y17" s="1" t="s">
        <v>31</v>
      </c>
      <c r="Z17" s="1" t="s">
        <v>31</v>
      </c>
      <c r="AA17" s="3" t="s">
        <v>31</v>
      </c>
      <c r="AB17" s="11" t="s">
        <v>31</v>
      </c>
      <c r="AC17" s="11" t="s">
        <v>31</v>
      </c>
      <c r="AD17" s="10">
        <v>0</v>
      </c>
      <c r="AE17" s="9" t="s">
        <v>34</v>
      </c>
      <c r="AF17" s="9" t="s">
        <v>63</v>
      </c>
    </row>
    <row r="18" spans="1:32" x14ac:dyDescent="0.25">
      <c r="A18" s="9" t="s">
        <v>943</v>
      </c>
      <c r="B18" s="1" t="s">
        <v>116</v>
      </c>
      <c r="C18" s="1" t="s">
        <v>775</v>
      </c>
      <c r="D18" s="10">
        <v>2</v>
      </c>
      <c r="E18" s="10">
        <v>2000</v>
      </c>
      <c r="F18" s="9" t="s">
        <v>38</v>
      </c>
      <c r="G18" s="9" t="s">
        <v>54</v>
      </c>
      <c r="H18" s="1">
        <v>7.75</v>
      </c>
      <c r="I18" s="1" t="s">
        <v>31</v>
      </c>
      <c r="J18" s="9" t="s">
        <v>30</v>
      </c>
      <c r="K18" s="1">
        <v>0.38</v>
      </c>
      <c r="L18" s="10">
        <v>8</v>
      </c>
      <c r="M18" s="3">
        <v>0.34699999999999998</v>
      </c>
      <c r="N18" s="11">
        <v>0.1105257610401429</v>
      </c>
      <c r="O18" t="s">
        <v>63</v>
      </c>
      <c r="P18" s="11">
        <v>0.36202902356696642</v>
      </c>
      <c r="Q18" s="11">
        <v>0.2</v>
      </c>
      <c r="R18">
        <v>0.38338895482073021</v>
      </c>
      <c r="S18">
        <v>0.1039472890670107</v>
      </c>
      <c r="T18" s="9" t="s">
        <v>40</v>
      </c>
      <c r="U18" s="9" t="s">
        <v>31</v>
      </c>
      <c r="V18" s="9" t="s">
        <v>305</v>
      </c>
      <c r="W18" s="9" t="s">
        <v>30</v>
      </c>
      <c r="X18" s="9" t="s">
        <v>308</v>
      </c>
      <c r="Y18" s="1" t="s">
        <v>31</v>
      </c>
      <c r="Z18" s="1" t="s">
        <v>31</v>
      </c>
      <c r="AA18" s="3" t="s">
        <v>31</v>
      </c>
      <c r="AB18" s="11" t="s">
        <v>31</v>
      </c>
      <c r="AC18" s="11" t="s">
        <v>31</v>
      </c>
      <c r="AD18" s="10">
        <v>0</v>
      </c>
      <c r="AE18" s="9" t="s">
        <v>34</v>
      </c>
      <c r="AF18" s="9" t="s">
        <v>63</v>
      </c>
    </row>
    <row r="19" spans="1:32" x14ac:dyDescent="0.25">
      <c r="A19" s="9" t="s">
        <v>94</v>
      </c>
      <c r="B19" s="1" t="s">
        <v>140</v>
      </c>
      <c r="C19" s="1" t="s">
        <v>776</v>
      </c>
      <c r="D19" s="10">
        <v>2</v>
      </c>
      <c r="E19" s="10">
        <v>2000</v>
      </c>
      <c r="F19" s="9" t="s">
        <v>38</v>
      </c>
      <c r="G19" s="9" t="s">
        <v>29</v>
      </c>
      <c r="H19" s="1">
        <v>24.97</v>
      </c>
      <c r="I19" s="1">
        <v>4.47</v>
      </c>
      <c r="J19" s="9" t="s">
        <v>43</v>
      </c>
      <c r="K19" s="1">
        <v>1</v>
      </c>
      <c r="L19" s="10">
        <v>68</v>
      </c>
      <c r="M19" s="3">
        <v>0.311</v>
      </c>
      <c r="N19" s="11">
        <v>1.217780525135821E-2</v>
      </c>
      <c r="O19">
        <v>1106</v>
      </c>
      <c r="P19" s="11">
        <v>0.32165210637502062</v>
      </c>
      <c r="Q19" s="11">
        <v>1.5384615384615391E-2</v>
      </c>
      <c r="R19">
        <v>0.31319549925132101</v>
      </c>
      <c r="S19">
        <v>1.2140881870484141E-2</v>
      </c>
      <c r="T19" s="9" t="s">
        <v>40</v>
      </c>
      <c r="U19" s="9" t="s">
        <v>50</v>
      </c>
      <c r="V19" s="9" t="s">
        <v>305</v>
      </c>
      <c r="W19" s="9" t="s">
        <v>30</v>
      </c>
      <c r="X19" s="9" t="s">
        <v>384</v>
      </c>
      <c r="Y19" s="1">
        <v>11.06</v>
      </c>
      <c r="Z19" s="1">
        <v>15</v>
      </c>
      <c r="AA19" s="3">
        <f t="shared" si="0"/>
        <v>0.7373333333333334</v>
      </c>
      <c r="AB19" s="11">
        <v>0.4056451743559959</v>
      </c>
      <c r="AC19" s="11">
        <v>0.14113167613659089</v>
      </c>
      <c r="AD19" s="10">
        <v>0</v>
      </c>
      <c r="AE19" s="9" t="s">
        <v>41</v>
      </c>
      <c r="AF19" s="9" t="s">
        <v>35</v>
      </c>
    </row>
    <row r="20" spans="1:32" x14ac:dyDescent="0.25">
      <c r="A20" s="9" t="s">
        <v>851</v>
      </c>
      <c r="B20" s="1" t="s">
        <v>1055</v>
      </c>
      <c r="C20" s="1" t="s">
        <v>777</v>
      </c>
      <c r="D20" s="10">
        <v>2</v>
      </c>
      <c r="E20" s="10">
        <v>2001</v>
      </c>
      <c r="F20" s="9" t="s">
        <v>38</v>
      </c>
      <c r="G20" s="9" t="s">
        <v>29</v>
      </c>
      <c r="H20" s="1">
        <v>74.849999999999994</v>
      </c>
      <c r="I20" s="1">
        <v>4.95</v>
      </c>
      <c r="J20" s="9" t="s">
        <v>30</v>
      </c>
      <c r="K20" s="1">
        <v>0.38</v>
      </c>
      <c r="L20" s="10">
        <v>318</v>
      </c>
      <c r="M20" s="3">
        <v>5.8000000000000003E-2</v>
      </c>
      <c r="N20" s="11">
        <v>3.1333858564542589E-3</v>
      </c>
      <c r="O20">
        <v>482</v>
      </c>
      <c r="P20" s="11">
        <v>5.80651689209409E-2</v>
      </c>
      <c r="Q20" s="11">
        <v>3.174603174603175E-3</v>
      </c>
      <c r="R20">
        <v>5.8092116932837792E-2</v>
      </c>
      <c r="S20">
        <v>3.133318613439913E-3</v>
      </c>
      <c r="T20" s="9" t="s">
        <v>40</v>
      </c>
      <c r="U20" s="9" t="s">
        <v>50</v>
      </c>
      <c r="V20" s="9" t="s">
        <v>305</v>
      </c>
      <c r="W20" s="9" t="s">
        <v>869</v>
      </c>
      <c r="X20" s="9" t="s">
        <v>385</v>
      </c>
      <c r="Y20" s="1">
        <v>9</v>
      </c>
      <c r="Z20" s="1" t="s">
        <v>31</v>
      </c>
      <c r="AA20" s="3" t="s">
        <v>31</v>
      </c>
      <c r="AB20" s="11" t="s">
        <v>31</v>
      </c>
      <c r="AC20" s="11" t="s">
        <v>31</v>
      </c>
      <c r="AD20" s="10">
        <v>5</v>
      </c>
      <c r="AE20" s="9" t="s">
        <v>34</v>
      </c>
      <c r="AF20" s="9" t="s">
        <v>35</v>
      </c>
    </row>
    <row r="21" spans="1:32" x14ac:dyDescent="0.25">
      <c r="A21" s="9" t="s">
        <v>518</v>
      </c>
      <c r="B21" s="1" t="s">
        <v>154</v>
      </c>
      <c r="C21" s="1" t="s">
        <v>778</v>
      </c>
      <c r="D21" s="10">
        <v>2</v>
      </c>
      <c r="E21" s="10">
        <v>2002</v>
      </c>
      <c r="F21" s="9" t="s">
        <v>28</v>
      </c>
      <c r="G21" s="9" t="s">
        <v>29</v>
      </c>
      <c r="H21" s="1">
        <v>18.8</v>
      </c>
      <c r="I21" s="1">
        <v>10</v>
      </c>
      <c r="J21" s="9" t="s">
        <v>30</v>
      </c>
      <c r="K21" s="1">
        <v>0.87</v>
      </c>
      <c r="L21" s="10">
        <v>67</v>
      </c>
      <c r="M21" s="3">
        <v>0.1</v>
      </c>
      <c r="N21" s="11">
        <v>1.485E-2</v>
      </c>
      <c r="O21">
        <v>179</v>
      </c>
      <c r="P21" s="11">
        <v>0.10033534773107559</v>
      </c>
      <c r="Q21" s="11">
        <v>1.5625E-2</v>
      </c>
      <c r="R21">
        <v>0.100788516085159</v>
      </c>
      <c r="S21">
        <v>1.4845250630560511E-2</v>
      </c>
      <c r="T21" s="9" t="s">
        <v>40</v>
      </c>
      <c r="U21" s="9" t="s">
        <v>50</v>
      </c>
      <c r="V21" s="9" t="s">
        <v>305</v>
      </c>
      <c r="W21" s="9" t="s">
        <v>31</v>
      </c>
      <c r="X21" s="9" t="s">
        <v>309</v>
      </c>
      <c r="Y21" s="1">
        <v>15.3</v>
      </c>
      <c r="Z21" s="1" t="s">
        <v>31</v>
      </c>
      <c r="AA21" s="3" t="s">
        <v>31</v>
      </c>
      <c r="AB21" s="11" t="s">
        <v>31</v>
      </c>
      <c r="AC21" s="11" t="s">
        <v>31</v>
      </c>
      <c r="AD21" s="10">
        <v>0</v>
      </c>
      <c r="AE21" s="9" t="s">
        <v>34</v>
      </c>
      <c r="AF21" s="9" t="s">
        <v>35</v>
      </c>
    </row>
    <row r="22" spans="1:32" x14ac:dyDescent="0.25">
      <c r="A22" s="9" t="s">
        <v>518</v>
      </c>
      <c r="B22" s="1" t="s">
        <v>146</v>
      </c>
      <c r="C22" s="1" t="s">
        <v>779</v>
      </c>
      <c r="D22" s="10">
        <v>2</v>
      </c>
      <c r="E22" s="10">
        <v>2002</v>
      </c>
      <c r="F22" s="9" t="s">
        <v>38</v>
      </c>
      <c r="G22" s="9" t="s">
        <v>29</v>
      </c>
      <c r="H22" s="1">
        <v>18.899999999999999</v>
      </c>
      <c r="I22" s="1">
        <v>10</v>
      </c>
      <c r="J22" s="9" t="s">
        <v>30</v>
      </c>
      <c r="K22" s="1">
        <v>0.92</v>
      </c>
      <c r="L22" s="10">
        <v>83</v>
      </c>
      <c r="M22" s="3">
        <v>0.09</v>
      </c>
      <c r="N22" s="11">
        <v>1.1998361097560979E-2</v>
      </c>
      <c r="O22">
        <v>179</v>
      </c>
      <c r="P22" s="11">
        <v>9.024418785614681E-2</v>
      </c>
      <c r="Q22" s="11">
        <v>1.2500000000000001E-2</v>
      </c>
      <c r="R22">
        <v>9.0566648688541432E-2</v>
      </c>
      <c r="S22">
        <v>1.199588588181514E-2</v>
      </c>
      <c r="T22" s="9" t="s">
        <v>40</v>
      </c>
      <c r="U22" s="9" t="s">
        <v>50</v>
      </c>
      <c r="V22" s="9" t="s">
        <v>305</v>
      </c>
      <c r="W22" s="9" t="s">
        <v>31</v>
      </c>
      <c r="X22" s="9" t="s">
        <v>309</v>
      </c>
      <c r="Y22" s="1">
        <v>12.5</v>
      </c>
      <c r="Z22" s="1" t="s">
        <v>31</v>
      </c>
      <c r="AA22" s="3" t="s">
        <v>31</v>
      </c>
      <c r="AB22" s="11" t="s">
        <v>31</v>
      </c>
      <c r="AC22" s="11" t="s">
        <v>31</v>
      </c>
      <c r="AD22" s="10">
        <v>0</v>
      </c>
      <c r="AE22" s="9" t="s">
        <v>34</v>
      </c>
      <c r="AF22" s="9" t="s">
        <v>35</v>
      </c>
    </row>
    <row r="23" spans="1:32" x14ac:dyDescent="0.25">
      <c r="A23" s="9" t="s">
        <v>136</v>
      </c>
      <c r="B23" s="1" t="s">
        <v>170</v>
      </c>
      <c r="C23" s="1" t="s">
        <v>780</v>
      </c>
      <c r="D23" s="10">
        <v>2</v>
      </c>
      <c r="E23" s="10">
        <v>2003</v>
      </c>
      <c r="F23" s="9" t="s">
        <v>28</v>
      </c>
      <c r="G23" s="9" t="s">
        <v>54</v>
      </c>
      <c r="H23" s="1">
        <v>16.8</v>
      </c>
      <c r="I23" s="1">
        <v>1.4</v>
      </c>
      <c r="J23" s="9" t="s">
        <v>30</v>
      </c>
      <c r="K23" s="1">
        <v>0.67</v>
      </c>
      <c r="L23" s="10">
        <v>32</v>
      </c>
      <c r="M23" s="3">
        <v>-0.192</v>
      </c>
      <c r="N23" s="11">
        <v>2.992357917729032E-2</v>
      </c>
      <c r="O23" t="s">
        <v>63</v>
      </c>
      <c r="P23" s="11">
        <v>-0.19441289455209981</v>
      </c>
      <c r="Q23" s="11">
        <v>3.4482758620689662E-2</v>
      </c>
      <c r="R23">
        <v>-0.19532053628736759</v>
      </c>
      <c r="S23">
        <v>2.9843716362789541E-2</v>
      </c>
      <c r="T23" s="9" t="s">
        <v>40</v>
      </c>
      <c r="U23" s="9" t="s">
        <v>50</v>
      </c>
      <c r="V23" s="9" t="s">
        <v>305</v>
      </c>
      <c r="W23" s="9" t="s">
        <v>30</v>
      </c>
      <c r="X23" s="9" t="s">
        <v>386</v>
      </c>
      <c r="Y23" s="1" t="s">
        <v>31</v>
      </c>
      <c r="Z23" s="1" t="s">
        <v>31</v>
      </c>
      <c r="AA23" s="3" t="s">
        <v>31</v>
      </c>
      <c r="AB23" s="11" t="s">
        <v>31</v>
      </c>
      <c r="AC23" s="11" t="s">
        <v>31</v>
      </c>
      <c r="AD23" s="10">
        <v>0</v>
      </c>
      <c r="AE23" s="9" t="s">
        <v>34</v>
      </c>
      <c r="AF23" s="9" t="s">
        <v>63</v>
      </c>
    </row>
    <row r="24" spans="1:32" x14ac:dyDescent="0.25">
      <c r="A24" s="9" t="s">
        <v>136</v>
      </c>
      <c r="B24" s="1" t="s">
        <v>166</v>
      </c>
      <c r="C24" s="1" t="s">
        <v>781</v>
      </c>
      <c r="D24" s="10">
        <v>2</v>
      </c>
      <c r="E24" s="10">
        <v>2003</v>
      </c>
      <c r="F24" s="9" t="s">
        <v>38</v>
      </c>
      <c r="G24" s="9" t="s">
        <v>54</v>
      </c>
      <c r="H24" s="1">
        <v>16.399999999999999</v>
      </c>
      <c r="I24" s="1">
        <v>1.7</v>
      </c>
      <c r="J24" s="9" t="s">
        <v>30</v>
      </c>
      <c r="K24" s="1">
        <v>0.6</v>
      </c>
      <c r="L24" s="10">
        <v>22</v>
      </c>
      <c r="M24" s="3">
        <v>-0.17100000000000001</v>
      </c>
      <c r="N24" s="11">
        <v>4.4874906480047633E-2</v>
      </c>
      <c r="O24" t="s">
        <v>63</v>
      </c>
      <c r="P24" s="11">
        <v>-0.1726966042312113</v>
      </c>
      <c r="Q24" s="11">
        <v>5.2631578947368418E-2</v>
      </c>
      <c r="R24">
        <v>-0.1756541761853774</v>
      </c>
      <c r="S24">
        <v>4.47258673397887E-2</v>
      </c>
      <c r="T24" s="9" t="s">
        <v>40</v>
      </c>
      <c r="U24" s="9" t="s">
        <v>50</v>
      </c>
      <c r="V24" s="9" t="s">
        <v>305</v>
      </c>
      <c r="W24" s="9" t="s">
        <v>30</v>
      </c>
      <c r="X24" s="9" t="s">
        <v>386</v>
      </c>
      <c r="Y24" s="1" t="s">
        <v>31</v>
      </c>
      <c r="Z24" s="1" t="s">
        <v>31</v>
      </c>
      <c r="AA24" s="3" t="s">
        <v>31</v>
      </c>
      <c r="AB24" s="11" t="s">
        <v>31</v>
      </c>
      <c r="AC24" s="11" t="s">
        <v>31</v>
      </c>
      <c r="AD24" s="10">
        <v>0</v>
      </c>
      <c r="AE24" s="9" t="s">
        <v>34</v>
      </c>
      <c r="AF24" s="9" t="s">
        <v>63</v>
      </c>
    </row>
    <row r="25" spans="1:32" x14ac:dyDescent="0.25">
      <c r="A25" s="9" t="s">
        <v>522</v>
      </c>
      <c r="B25" s="1" t="s">
        <v>193</v>
      </c>
      <c r="C25" s="1" t="s">
        <v>782</v>
      </c>
      <c r="D25" s="10">
        <v>3</v>
      </c>
      <c r="E25" s="10">
        <v>2003</v>
      </c>
      <c r="F25" s="9" t="s">
        <v>38</v>
      </c>
      <c r="G25" s="9" t="s">
        <v>54</v>
      </c>
      <c r="H25" s="1">
        <v>14.6</v>
      </c>
      <c r="I25" s="1">
        <v>1.5</v>
      </c>
      <c r="J25" s="9" t="s">
        <v>39</v>
      </c>
      <c r="K25" s="1">
        <v>0</v>
      </c>
      <c r="L25" s="10">
        <v>24</v>
      </c>
      <c r="M25" s="3">
        <v>7.0000000000000007E-2</v>
      </c>
      <c r="N25" s="11">
        <v>4.3053217826086947E-2</v>
      </c>
      <c r="O25">
        <v>10</v>
      </c>
      <c r="P25" s="11">
        <v>7.0114670654325154E-2</v>
      </c>
      <c r="Q25" s="11">
        <v>4.7619047619047623E-2</v>
      </c>
      <c r="R25">
        <v>7.1761550889471115E-2</v>
      </c>
      <c r="S25">
        <v>4.3031612141124803E-2</v>
      </c>
      <c r="T25" s="9" t="s">
        <v>40</v>
      </c>
      <c r="U25" s="9" t="s">
        <v>50</v>
      </c>
      <c r="V25" s="9" t="s">
        <v>305</v>
      </c>
      <c r="W25" s="9" t="s">
        <v>870</v>
      </c>
      <c r="X25" s="9" t="s">
        <v>876</v>
      </c>
      <c r="Y25" s="1" t="s">
        <v>31</v>
      </c>
      <c r="Z25" s="1" t="s">
        <v>31</v>
      </c>
      <c r="AA25" s="3" t="s">
        <v>31</v>
      </c>
      <c r="AB25" s="11" t="s">
        <v>31</v>
      </c>
      <c r="AC25" s="11" t="s">
        <v>31</v>
      </c>
      <c r="AD25" s="10">
        <v>0</v>
      </c>
      <c r="AE25" s="9" t="s">
        <v>41</v>
      </c>
      <c r="AF25" s="9" t="s">
        <v>35</v>
      </c>
    </row>
    <row r="26" spans="1:32" x14ac:dyDescent="0.25">
      <c r="A26" s="9" t="s">
        <v>522</v>
      </c>
      <c r="B26" s="1" t="s">
        <v>198</v>
      </c>
      <c r="C26" s="1" t="s">
        <v>783</v>
      </c>
      <c r="D26" s="10">
        <v>3</v>
      </c>
      <c r="E26" s="10">
        <v>2003</v>
      </c>
      <c r="F26" s="9" t="s">
        <v>38</v>
      </c>
      <c r="G26" s="9" t="s">
        <v>54</v>
      </c>
      <c r="H26" s="1">
        <v>14.5</v>
      </c>
      <c r="I26" s="1">
        <v>1.6</v>
      </c>
      <c r="J26" s="9" t="s">
        <v>43</v>
      </c>
      <c r="K26" s="1">
        <v>1</v>
      </c>
      <c r="L26" s="10">
        <v>13</v>
      </c>
      <c r="M26" s="3">
        <v>0.48</v>
      </c>
      <c r="N26" s="11">
        <v>4.9357013333333338E-2</v>
      </c>
      <c r="O26">
        <v>10</v>
      </c>
      <c r="P26" s="11">
        <v>0.5229842775913438</v>
      </c>
      <c r="Q26" s="11">
        <v>0.1</v>
      </c>
      <c r="R26">
        <v>0.49971001229361811</v>
      </c>
      <c r="S26">
        <v>4.6911244955364452E-2</v>
      </c>
      <c r="T26" s="9" t="s">
        <v>40</v>
      </c>
      <c r="U26" s="9" t="s">
        <v>50</v>
      </c>
      <c r="V26" s="9" t="s">
        <v>305</v>
      </c>
      <c r="W26" s="9" t="s">
        <v>870</v>
      </c>
      <c r="X26" s="9" t="s">
        <v>876</v>
      </c>
      <c r="Y26" s="1" t="s">
        <v>31</v>
      </c>
      <c r="Z26" s="1" t="s">
        <v>31</v>
      </c>
      <c r="AA26" s="3" t="s">
        <v>31</v>
      </c>
      <c r="AB26" s="11" t="s">
        <v>31</v>
      </c>
      <c r="AC26" s="11" t="s">
        <v>31</v>
      </c>
      <c r="AD26" s="10">
        <v>0</v>
      </c>
      <c r="AE26" s="9" t="s">
        <v>41</v>
      </c>
      <c r="AF26" s="9" t="s">
        <v>35</v>
      </c>
    </row>
    <row r="27" spans="1:32" x14ac:dyDescent="0.25">
      <c r="A27" s="9" t="s">
        <v>148</v>
      </c>
      <c r="B27" s="1" t="s">
        <v>204</v>
      </c>
      <c r="C27" s="1" t="s">
        <v>784</v>
      </c>
      <c r="D27" s="10">
        <v>2</v>
      </c>
      <c r="E27" s="10">
        <v>2004</v>
      </c>
      <c r="F27" s="9" t="s">
        <v>38</v>
      </c>
      <c r="G27" s="9" t="s">
        <v>54</v>
      </c>
      <c r="H27" s="1">
        <v>15.9</v>
      </c>
      <c r="I27" s="1" t="s">
        <v>31</v>
      </c>
      <c r="J27" s="9" t="s">
        <v>39</v>
      </c>
      <c r="K27" s="1">
        <v>0</v>
      </c>
      <c r="L27" s="10">
        <v>38</v>
      </c>
      <c r="M27" s="3">
        <v>0.21199999999999999</v>
      </c>
      <c r="N27" s="11">
        <v>2.4652215219891891E-2</v>
      </c>
      <c r="O27" t="s">
        <v>63</v>
      </c>
      <c r="P27" s="11">
        <v>0.21526453838569029</v>
      </c>
      <c r="Q27" s="11">
        <v>2.8571428571428571E-2</v>
      </c>
      <c r="R27">
        <v>0.2149896517189003</v>
      </c>
      <c r="S27">
        <v>2.4586357799510239E-2</v>
      </c>
      <c r="T27" s="9" t="s">
        <v>40</v>
      </c>
      <c r="U27" s="9" t="s">
        <v>31</v>
      </c>
      <c r="V27" s="9" t="s">
        <v>305</v>
      </c>
      <c r="W27" s="9" t="s">
        <v>30</v>
      </c>
      <c r="X27" s="9" t="s">
        <v>310</v>
      </c>
      <c r="Y27" s="1" t="s">
        <v>31</v>
      </c>
      <c r="Z27" s="1" t="s">
        <v>31</v>
      </c>
      <c r="AA27" s="3" t="s">
        <v>31</v>
      </c>
      <c r="AB27" s="11" t="s">
        <v>31</v>
      </c>
      <c r="AC27" s="11" t="s">
        <v>31</v>
      </c>
      <c r="AD27" s="10">
        <v>0</v>
      </c>
      <c r="AE27" s="9" t="s">
        <v>34</v>
      </c>
      <c r="AF27" s="9" t="s">
        <v>63</v>
      </c>
    </row>
    <row r="28" spans="1:32" x14ac:dyDescent="0.25">
      <c r="A28" s="9" t="s">
        <v>148</v>
      </c>
      <c r="B28" s="1" t="s">
        <v>207</v>
      </c>
      <c r="C28" s="1" t="s">
        <v>785</v>
      </c>
      <c r="D28" s="10">
        <v>2</v>
      </c>
      <c r="E28" s="10">
        <v>2004</v>
      </c>
      <c r="F28" s="9" t="s">
        <v>38</v>
      </c>
      <c r="G28" s="9" t="s">
        <v>54</v>
      </c>
      <c r="H28" s="1">
        <v>15.9</v>
      </c>
      <c r="I28" s="1" t="s">
        <v>31</v>
      </c>
      <c r="J28" s="9" t="s">
        <v>43</v>
      </c>
      <c r="K28" s="1">
        <v>1</v>
      </c>
      <c r="L28" s="10">
        <v>38</v>
      </c>
      <c r="M28" s="3">
        <v>0.14799999999999999</v>
      </c>
      <c r="N28" s="11">
        <v>2.5855994195027029E-2</v>
      </c>
      <c r="O28" t="s">
        <v>63</v>
      </c>
      <c r="P28" s="11">
        <v>0.149095025025098</v>
      </c>
      <c r="Q28" s="11">
        <v>2.8571428571428571E-2</v>
      </c>
      <c r="R28">
        <v>0.1501409155532028</v>
      </c>
      <c r="S28">
        <v>2.582225854043407E-2</v>
      </c>
      <c r="T28" s="9" t="s">
        <v>40</v>
      </c>
      <c r="U28" s="9" t="s">
        <v>31</v>
      </c>
      <c r="V28" s="9" t="s">
        <v>305</v>
      </c>
      <c r="W28" s="9" t="s">
        <v>30</v>
      </c>
      <c r="X28" s="9" t="s">
        <v>310</v>
      </c>
      <c r="Y28" s="1" t="s">
        <v>31</v>
      </c>
      <c r="Z28" s="1" t="s">
        <v>31</v>
      </c>
      <c r="AA28" s="3" t="s">
        <v>31</v>
      </c>
      <c r="AB28" s="11" t="s">
        <v>31</v>
      </c>
      <c r="AC28" s="11" t="s">
        <v>31</v>
      </c>
      <c r="AD28" s="10">
        <v>0</v>
      </c>
      <c r="AE28" s="9" t="s">
        <v>34</v>
      </c>
      <c r="AF28" s="9" t="s">
        <v>63</v>
      </c>
    </row>
    <row r="29" spans="1:32" x14ac:dyDescent="0.25">
      <c r="A29" s="9" t="s">
        <v>142</v>
      </c>
      <c r="B29" s="1" t="s">
        <v>214</v>
      </c>
      <c r="C29" s="1" t="s">
        <v>786</v>
      </c>
      <c r="D29" s="10">
        <v>2</v>
      </c>
      <c r="E29" s="10">
        <v>2004</v>
      </c>
      <c r="F29" s="9" t="s">
        <v>38</v>
      </c>
      <c r="G29" s="9" t="s">
        <v>54</v>
      </c>
      <c r="H29" s="1">
        <v>18</v>
      </c>
      <c r="I29" s="1">
        <v>0.9</v>
      </c>
      <c r="J29" s="9" t="s">
        <v>39</v>
      </c>
      <c r="K29" s="1">
        <v>0</v>
      </c>
      <c r="L29" s="10">
        <v>49</v>
      </c>
      <c r="M29" s="3">
        <v>0.38300000000000001</v>
      </c>
      <c r="N29" s="11">
        <v>1.5169576306687501E-2</v>
      </c>
      <c r="O29">
        <v>471</v>
      </c>
      <c r="P29" s="11">
        <v>0.40357065387968521</v>
      </c>
      <c r="Q29" s="11">
        <v>2.1739130434782612E-2</v>
      </c>
      <c r="R29">
        <v>0.38662359137631142</v>
      </c>
      <c r="S29">
        <v>1.5070583547844791E-2</v>
      </c>
      <c r="T29" s="9" t="s">
        <v>40</v>
      </c>
      <c r="U29" s="9" t="s">
        <v>50</v>
      </c>
      <c r="V29" s="9" t="s">
        <v>305</v>
      </c>
      <c r="W29" s="9" t="s">
        <v>30</v>
      </c>
      <c r="X29" s="9" t="s">
        <v>307</v>
      </c>
      <c r="Y29" s="1">
        <v>16.7</v>
      </c>
      <c r="Z29" s="1">
        <v>15</v>
      </c>
      <c r="AA29" s="3">
        <f t="shared" si="0"/>
        <v>1.1133333333333333</v>
      </c>
      <c r="AB29" s="11">
        <v>0.34899360052566841</v>
      </c>
      <c r="AC29" s="11">
        <v>0.12636047086753549</v>
      </c>
      <c r="AD29" s="10">
        <v>0</v>
      </c>
      <c r="AE29" s="9" t="s">
        <v>41</v>
      </c>
      <c r="AF29" s="9" t="s">
        <v>35</v>
      </c>
    </row>
    <row r="30" spans="1:32" x14ac:dyDescent="0.25">
      <c r="A30" s="9" t="s">
        <v>142</v>
      </c>
      <c r="B30" s="1" t="s">
        <v>216</v>
      </c>
      <c r="C30" s="1" t="s">
        <v>787</v>
      </c>
      <c r="D30" s="10">
        <v>2</v>
      </c>
      <c r="E30" s="10">
        <v>2004</v>
      </c>
      <c r="F30" s="9" t="s">
        <v>38</v>
      </c>
      <c r="G30" s="9" t="s">
        <v>54</v>
      </c>
      <c r="H30" s="1">
        <v>18</v>
      </c>
      <c r="I30" s="1">
        <v>0.9</v>
      </c>
      <c r="J30" s="9" t="s">
        <v>43</v>
      </c>
      <c r="K30" s="1">
        <v>1</v>
      </c>
      <c r="L30" s="10">
        <v>47</v>
      </c>
      <c r="M30" s="3">
        <v>0.51500000000000001</v>
      </c>
      <c r="N30" s="11">
        <v>1.173683262228261E-2</v>
      </c>
      <c r="O30">
        <v>471</v>
      </c>
      <c r="P30" s="11">
        <v>0.56951091350299321</v>
      </c>
      <c r="Q30" s="11">
        <v>2.2727272727272731E-2</v>
      </c>
      <c r="R30">
        <v>0.51936260480842067</v>
      </c>
      <c r="S30">
        <v>1.159311514345838E-2</v>
      </c>
      <c r="T30" s="9" t="s">
        <v>40</v>
      </c>
      <c r="U30" s="9" t="s">
        <v>50</v>
      </c>
      <c r="V30" s="9" t="s">
        <v>305</v>
      </c>
      <c r="W30" s="9" t="s">
        <v>30</v>
      </c>
      <c r="X30" s="9" t="s">
        <v>307</v>
      </c>
      <c r="Y30" s="1">
        <v>16.3</v>
      </c>
      <c r="Z30" s="1">
        <v>15</v>
      </c>
      <c r="AA30" s="3">
        <f t="shared" si="0"/>
        <v>1.0866666666666667</v>
      </c>
      <c r="AB30" s="11">
        <v>0.48385505053427907</v>
      </c>
      <c r="AC30" s="11">
        <v>0.1251375846838835</v>
      </c>
      <c r="AD30" s="10">
        <v>0</v>
      </c>
      <c r="AE30" s="9" t="s">
        <v>41</v>
      </c>
      <c r="AF30" s="9" t="s">
        <v>35</v>
      </c>
    </row>
    <row r="31" spans="1:32" x14ac:dyDescent="0.25">
      <c r="A31" s="9" t="s">
        <v>157</v>
      </c>
      <c r="B31" s="1" t="s">
        <v>221</v>
      </c>
      <c r="C31" s="1" t="s">
        <v>788</v>
      </c>
      <c r="D31" s="10">
        <v>2</v>
      </c>
      <c r="E31" s="10">
        <v>2004</v>
      </c>
      <c r="F31" s="9" t="s">
        <v>28</v>
      </c>
      <c r="G31" s="9" t="s">
        <v>29</v>
      </c>
      <c r="H31" s="1">
        <v>30.3</v>
      </c>
      <c r="I31" s="1">
        <v>9.1</v>
      </c>
      <c r="J31" s="9" t="s">
        <v>30</v>
      </c>
      <c r="K31" s="1">
        <v>0.87</v>
      </c>
      <c r="L31" s="10">
        <v>15</v>
      </c>
      <c r="M31" s="3">
        <v>0.15</v>
      </c>
      <c r="N31" s="11">
        <v>6.8250446428571435E-2</v>
      </c>
      <c r="O31" t="s">
        <v>63</v>
      </c>
      <c r="P31" s="11">
        <v>0.15114043593646681</v>
      </c>
      <c r="Q31" s="11">
        <v>8.3333333333333329E-2</v>
      </c>
      <c r="R31">
        <v>0.15677096879841729</v>
      </c>
      <c r="S31">
        <v>6.7960697309308357E-2</v>
      </c>
      <c r="T31" s="9" t="s">
        <v>40</v>
      </c>
      <c r="U31" s="9" t="s">
        <v>50</v>
      </c>
      <c r="V31" s="9" t="s">
        <v>305</v>
      </c>
      <c r="W31" s="9" t="s">
        <v>30</v>
      </c>
      <c r="X31" s="9" t="s">
        <v>387</v>
      </c>
      <c r="Y31" s="1" t="s">
        <v>31</v>
      </c>
      <c r="Z31" s="1" t="s">
        <v>31</v>
      </c>
      <c r="AA31" s="3" t="s">
        <v>31</v>
      </c>
      <c r="AB31" s="11" t="s">
        <v>31</v>
      </c>
      <c r="AC31" s="11" t="s">
        <v>31</v>
      </c>
      <c r="AD31" s="10">
        <v>0</v>
      </c>
      <c r="AE31" s="9" t="s">
        <v>34</v>
      </c>
      <c r="AF31" s="9" t="s">
        <v>63</v>
      </c>
    </row>
    <row r="32" spans="1:32" x14ac:dyDescent="0.25">
      <c r="A32" s="9" t="s">
        <v>157</v>
      </c>
      <c r="B32" s="1" t="s">
        <v>218</v>
      </c>
      <c r="C32" s="1" t="s">
        <v>789</v>
      </c>
      <c r="D32" s="10">
        <v>2</v>
      </c>
      <c r="E32" s="10">
        <v>2004</v>
      </c>
      <c r="F32" s="9" t="s">
        <v>38</v>
      </c>
      <c r="G32" s="9" t="s">
        <v>29</v>
      </c>
      <c r="H32" s="1">
        <v>43.62</v>
      </c>
      <c r="I32" s="1">
        <v>4.3099999999999996</v>
      </c>
      <c r="J32" s="9" t="s">
        <v>30</v>
      </c>
      <c r="K32" s="1">
        <v>0.47</v>
      </c>
      <c r="L32" s="10">
        <v>17</v>
      </c>
      <c r="M32" s="3">
        <v>0.27</v>
      </c>
      <c r="N32" s="11">
        <v>5.3719650624999997E-2</v>
      </c>
      <c r="O32" t="s">
        <v>63</v>
      </c>
      <c r="P32" s="11">
        <v>0.27686382265510012</v>
      </c>
      <c r="Q32" s="11">
        <v>7.1428571428571425E-2</v>
      </c>
      <c r="R32">
        <v>0.2796628737069386</v>
      </c>
      <c r="S32">
        <v>5.3105897823401138E-2</v>
      </c>
      <c r="T32" s="9" t="s">
        <v>40</v>
      </c>
      <c r="U32" s="9" t="s">
        <v>50</v>
      </c>
      <c r="V32" s="9" t="s">
        <v>305</v>
      </c>
      <c r="W32" s="9" t="s">
        <v>30</v>
      </c>
      <c r="X32" s="9" t="s">
        <v>387</v>
      </c>
      <c r="Y32" s="1" t="s">
        <v>31</v>
      </c>
      <c r="Z32" s="1" t="s">
        <v>31</v>
      </c>
      <c r="AA32" s="3" t="s">
        <v>31</v>
      </c>
      <c r="AB32" s="11" t="s">
        <v>31</v>
      </c>
      <c r="AC32" s="11" t="s">
        <v>31</v>
      </c>
      <c r="AD32" s="10">
        <v>0</v>
      </c>
      <c r="AE32" s="9" t="s">
        <v>34</v>
      </c>
      <c r="AF32" s="9" t="s">
        <v>63</v>
      </c>
    </row>
    <row r="33" spans="1:32" x14ac:dyDescent="0.25">
      <c r="A33" s="9" t="s">
        <v>525</v>
      </c>
      <c r="B33" s="1" t="s">
        <v>232</v>
      </c>
      <c r="C33" s="1" t="s">
        <v>790</v>
      </c>
      <c r="D33" s="10">
        <v>2</v>
      </c>
      <c r="E33" s="10">
        <v>2004</v>
      </c>
      <c r="F33" s="9" t="s">
        <v>28</v>
      </c>
      <c r="G33" s="9" t="s">
        <v>54</v>
      </c>
      <c r="H33" s="1">
        <v>15.4</v>
      </c>
      <c r="I33" s="1">
        <v>2.2400000000000002</v>
      </c>
      <c r="J33" s="9" t="s">
        <v>43</v>
      </c>
      <c r="K33" s="1">
        <v>1</v>
      </c>
      <c r="L33" s="10">
        <v>16</v>
      </c>
      <c r="M33" s="3">
        <v>9.9000000000000005E-2</v>
      </c>
      <c r="N33" s="11">
        <v>6.536627064006667E-2</v>
      </c>
      <c r="O33" t="s">
        <v>63</v>
      </c>
      <c r="P33" s="11">
        <v>9.9325348397641677E-2</v>
      </c>
      <c r="Q33" s="11">
        <v>7.6923076923076927E-2</v>
      </c>
      <c r="R33">
        <v>0.10315676872038081</v>
      </c>
      <c r="S33">
        <v>6.5255373320197999E-2</v>
      </c>
      <c r="T33" s="9" t="s">
        <v>40</v>
      </c>
      <c r="U33" s="9" t="s">
        <v>50</v>
      </c>
      <c r="V33" s="9" t="s">
        <v>305</v>
      </c>
      <c r="W33" s="9" t="s">
        <v>30</v>
      </c>
      <c r="X33" s="9" t="s">
        <v>388</v>
      </c>
      <c r="Y33" s="1">
        <v>19</v>
      </c>
      <c r="Z33" s="1">
        <v>15</v>
      </c>
      <c r="AA33" s="3">
        <f t="shared" si="0"/>
        <v>1.2666666666666666</v>
      </c>
      <c r="AB33" s="11">
        <v>7.8302588451457142E-2</v>
      </c>
      <c r="AC33" s="11">
        <v>0.21112743925341981</v>
      </c>
      <c r="AD33" s="10">
        <v>0</v>
      </c>
      <c r="AE33" s="9" t="s">
        <v>34</v>
      </c>
      <c r="AF33" s="9" t="s">
        <v>63</v>
      </c>
    </row>
    <row r="34" spans="1:32" x14ac:dyDescent="0.25">
      <c r="A34" s="9" t="s">
        <v>525</v>
      </c>
      <c r="B34" s="1" t="s">
        <v>228</v>
      </c>
      <c r="C34" s="1" t="s">
        <v>791</v>
      </c>
      <c r="D34" s="10">
        <v>2</v>
      </c>
      <c r="E34" s="10">
        <v>2004</v>
      </c>
      <c r="F34" s="9" t="s">
        <v>38</v>
      </c>
      <c r="G34" s="9" t="s">
        <v>54</v>
      </c>
      <c r="H34" s="1">
        <v>15.5</v>
      </c>
      <c r="I34" s="1">
        <v>1.6</v>
      </c>
      <c r="J34" s="9" t="s">
        <v>43</v>
      </c>
      <c r="K34" s="1">
        <v>1</v>
      </c>
      <c r="L34" s="10">
        <v>16</v>
      </c>
      <c r="M34" s="3">
        <v>0.23400000000000001</v>
      </c>
      <c r="N34" s="11">
        <v>5.9565747969066662E-2</v>
      </c>
      <c r="O34" t="s">
        <v>63</v>
      </c>
      <c r="P34" s="11">
        <v>0.23841701736237089</v>
      </c>
      <c r="Q34" s="11">
        <v>7.6923076923076927E-2</v>
      </c>
      <c r="R34">
        <v>0.24328635875124369</v>
      </c>
      <c r="S34">
        <v>5.9008449633859671E-2</v>
      </c>
      <c r="T34" s="9" t="s">
        <v>40</v>
      </c>
      <c r="U34" s="9" t="s">
        <v>50</v>
      </c>
      <c r="V34" s="9" t="s">
        <v>305</v>
      </c>
      <c r="W34" s="9" t="s">
        <v>30</v>
      </c>
      <c r="X34" s="9" t="s">
        <v>388</v>
      </c>
      <c r="Y34" s="1">
        <v>13.9</v>
      </c>
      <c r="Z34" s="1">
        <v>15</v>
      </c>
      <c r="AA34" s="3">
        <f t="shared" si="0"/>
        <v>0.92666666666666664</v>
      </c>
      <c r="AB34" s="11">
        <v>0.25138810518941002</v>
      </c>
      <c r="AC34" s="11">
        <v>0.27665697919573939</v>
      </c>
      <c r="AD34" s="10">
        <v>0</v>
      </c>
      <c r="AE34" s="9" t="s">
        <v>34</v>
      </c>
      <c r="AF34" s="9" t="s">
        <v>63</v>
      </c>
    </row>
    <row r="35" spans="1:32" x14ac:dyDescent="0.25">
      <c r="A35" s="9" t="s">
        <v>176</v>
      </c>
      <c r="B35" s="1" t="s">
        <v>256</v>
      </c>
      <c r="C35" s="1" t="s">
        <v>792</v>
      </c>
      <c r="D35" s="10">
        <v>2</v>
      </c>
      <c r="E35" s="10">
        <v>2006</v>
      </c>
      <c r="F35" s="9" t="s">
        <v>28</v>
      </c>
      <c r="G35" s="9" t="s">
        <v>29</v>
      </c>
      <c r="H35" s="1">
        <v>20.79</v>
      </c>
      <c r="I35" s="1">
        <v>10.58</v>
      </c>
      <c r="J35" s="9" t="s">
        <v>43</v>
      </c>
      <c r="K35" s="1">
        <v>1</v>
      </c>
      <c r="L35" s="10">
        <v>24</v>
      </c>
      <c r="M35" s="3">
        <v>0.31</v>
      </c>
      <c r="N35" s="11">
        <v>3.5523270000000003E-2</v>
      </c>
      <c r="O35" t="s">
        <v>63</v>
      </c>
      <c r="P35" s="11">
        <v>0.32054540930194608</v>
      </c>
      <c r="Q35" s="11">
        <v>4.7619047619047623E-2</v>
      </c>
      <c r="R35">
        <v>0.31700707165663861</v>
      </c>
      <c r="S35">
        <v>3.5178781446146723E-2</v>
      </c>
      <c r="T35" s="9" t="s">
        <v>40</v>
      </c>
      <c r="U35" s="9" t="s">
        <v>31</v>
      </c>
      <c r="V35" s="9" t="s">
        <v>305</v>
      </c>
      <c r="W35" s="9" t="s">
        <v>30</v>
      </c>
      <c r="X35" s="9" t="s">
        <v>389</v>
      </c>
      <c r="Y35" s="1">
        <v>18.84</v>
      </c>
      <c r="Z35" s="1">
        <v>15</v>
      </c>
      <c r="AA35" s="3">
        <f t="shared" si="0"/>
        <v>1.256</v>
      </c>
      <c r="AB35" s="11">
        <v>0.2512750708110949</v>
      </c>
      <c r="AC35" s="11">
        <v>0.1702908299927238</v>
      </c>
      <c r="AD35" s="10">
        <v>0</v>
      </c>
      <c r="AE35" s="9" t="s">
        <v>41</v>
      </c>
      <c r="AF35" s="9" t="s">
        <v>63</v>
      </c>
    </row>
    <row r="36" spans="1:32" x14ac:dyDescent="0.25">
      <c r="A36" s="9" t="s">
        <v>176</v>
      </c>
      <c r="B36" s="1" t="s">
        <v>252</v>
      </c>
      <c r="C36" s="1" t="s">
        <v>793</v>
      </c>
      <c r="D36" s="10">
        <v>2</v>
      </c>
      <c r="E36" s="10">
        <v>2006</v>
      </c>
      <c r="F36" s="9" t="s">
        <v>38</v>
      </c>
      <c r="G36" s="9" t="s">
        <v>29</v>
      </c>
      <c r="H36" s="1">
        <v>21.41</v>
      </c>
      <c r="I36" s="1">
        <v>10.91</v>
      </c>
      <c r="J36" s="9" t="s">
        <v>43</v>
      </c>
      <c r="K36" s="1">
        <v>1</v>
      </c>
      <c r="L36" s="10">
        <v>23</v>
      </c>
      <c r="M36" s="3">
        <v>0.09</v>
      </c>
      <c r="N36" s="11">
        <v>4.4721164090909087E-2</v>
      </c>
      <c r="O36" t="s">
        <v>63</v>
      </c>
      <c r="P36" s="11">
        <v>9.024418785614681E-2</v>
      </c>
      <c r="Q36" s="11">
        <v>0.05</v>
      </c>
      <c r="R36">
        <v>9.2376754790629928E-2</v>
      </c>
      <c r="S36">
        <v>4.4682085925937913E-2</v>
      </c>
      <c r="T36" s="9" t="s">
        <v>40</v>
      </c>
      <c r="U36" s="9" t="s">
        <v>31</v>
      </c>
      <c r="V36" s="9" t="s">
        <v>305</v>
      </c>
      <c r="W36" s="9" t="s">
        <v>30</v>
      </c>
      <c r="X36" s="9" t="s">
        <v>389</v>
      </c>
      <c r="Y36" s="1">
        <v>9.57</v>
      </c>
      <c r="Z36" s="1">
        <v>15</v>
      </c>
      <c r="AA36" s="3">
        <f t="shared" si="0"/>
        <v>0.63800000000000001</v>
      </c>
      <c r="AB36" s="11">
        <v>0.1402408662795627</v>
      </c>
      <c r="AC36" s="11">
        <v>0.33470475651229442</v>
      </c>
      <c r="AD36" s="10">
        <v>0</v>
      </c>
      <c r="AE36" s="9" t="s">
        <v>41</v>
      </c>
      <c r="AF36" s="9" t="s">
        <v>63</v>
      </c>
    </row>
    <row r="37" spans="1:32" x14ac:dyDescent="0.25">
      <c r="A37" s="9" t="s">
        <v>857</v>
      </c>
      <c r="B37" s="1" t="s">
        <v>282</v>
      </c>
      <c r="C37" s="1" t="s">
        <v>794</v>
      </c>
      <c r="D37" s="10">
        <v>2</v>
      </c>
      <c r="E37" s="10">
        <v>2006</v>
      </c>
      <c r="F37" s="9" t="s">
        <v>28</v>
      </c>
      <c r="G37" s="9" t="s">
        <v>54</v>
      </c>
      <c r="H37" s="1">
        <v>10.16</v>
      </c>
      <c r="I37" s="1">
        <v>1.92</v>
      </c>
      <c r="J37" s="9" t="s">
        <v>43</v>
      </c>
      <c r="K37" s="1">
        <v>1</v>
      </c>
      <c r="L37" s="10">
        <v>38</v>
      </c>
      <c r="M37" s="3">
        <v>-1.7999999999999999E-2</v>
      </c>
      <c r="N37" s="11">
        <v>2.70095163507027E-2</v>
      </c>
      <c r="O37" t="s">
        <v>63</v>
      </c>
      <c r="P37" s="11">
        <v>-1.8001944378001091E-2</v>
      </c>
      <c r="Q37" s="11">
        <v>2.8571428571428571E-2</v>
      </c>
      <c r="R37">
        <v>-1.8266530663498471E-2</v>
      </c>
      <c r="S37">
        <v>2.7008994028327939E-2</v>
      </c>
      <c r="T37" s="9" t="s">
        <v>40</v>
      </c>
      <c r="U37" s="9" t="s">
        <v>46</v>
      </c>
      <c r="V37" s="9" t="s">
        <v>305</v>
      </c>
      <c r="W37" s="9" t="s">
        <v>30</v>
      </c>
      <c r="X37" s="9" t="s">
        <v>308</v>
      </c>
      <c r="Y37" s="1">
        <v>16.850000000000001</v>
      </c>
      <c r="Z37" s="1">
        <v>15</v>
      </c>
      <c r="AA37" s="3">
        <f t="shared" si="0"/>
        <v>1.1233333333333335</v>
      </c>
      <c r="AB37" s="11">
        <v>-1.602427761601128E-2</v>
      </c>
      <c r="AC37" s="11">
        <v>0.14835887814549351</v>
      </c>
      <c r="AD37" s="10">
        <v>0</v>
      </c>
      <c r="AE37" s="9" t="s">
        <v>41</v>
      </c>
      <c r="AF37" s="9" t="s">
        <v>63</v>
      </c>
    </row>
    <row r="38" spans="1:32" x14ac:dyDescent="0.25">
      <c r="A38" s="9" t="s">
        <v>529</v>
      </c>
      <c r="B38" s="1" t="s">
        <v>281</v>
      </c>
      <c r="C38" s="1" t="s">
        <v>795</v>
      </c>
      <c r="D38" s="10">
        <v>2</v>
      </c>
      <c r="E38" s="10">
        <v>2006</v>
      </c>
      <c r="F38" s="9" t="s">
        <v>38</v>
      </c>
      <c r="G38" s="9" t="s">
        <v>54</v>
      </c>
      <c r="H38" s="1">
        <v>10.77</v>
      </c>
      <c r="I38" s="1">
        <v>1.31</v>
      </c>
      <c r="J38" s="9" t="s">
        <v>43</v>
      </c>
      <c r="K38" s="1">
        <v>1</v>
      </c>
      <c r="L38" s="10">
        <v>13</v>
      </c>
      <c r="M38" s="3">
        <v>6.3E-2</v>
      </c>
      <c r="N38" s="11">
        <v>8.2673146080083332E-2</v>
      </c>
      <c r="O38" t="s">
        <v>63</v>
      </c>
      <c r="P38" s="11">
        <v>6.3083548051762806E-2</v>
      </c>
      <c r="Q38" s="11">
        <v>0.1</v>
      </c>
      <c r="R38">
        <v>6.6572698942447314E-2</v>
      </c>
      <c r="S38">
        <v>8.2596316121962124E-2</v>
      </c>
      <c r="T38" s="9" t="s">
        <v>40</v>
      </c>
      <c r="U38" s="9" t="s">
        <v>46</v>
      </c>
      <c r="V38" s="9" t="s">
        <v>305</v>
      </c>
      <c r="W38" s="9" t="s">
        <v>30</v>
      </c>
      <c r="X38" s="9" t="s">
        <v>308</v>
      </c>
      <c r="Y38" s="1">
        <v>14.43</v>
      </c>
      <c r="Z38" s="1">
        <v>15</v>
      </c>
      <c r="AA38" s="3">
        <f t="shared" si="0"/>
        <v>0.96199999999999997</v>
      </c>
      <c r="AB38" s="11">
        <v>6.547809794200031E-2</v>
      </c>
      <c r="AC38" s="11">
        <v>0.31264878583992128</v>
      </c>
      <c r="AD38" s="10">
        <v>0</v>
      </c>
      <c r="AE38" s="9" t="s">
        <v>41</v>
      </c>
      <c r="AF38" s="9" t="s">
        <v>63</v>
      </c>
    </row>
    <row r="39" spans="1:32" x14ac:dyDescent="0.25">
      <c r="A39" s="9" t="s">
        <v>529</v>
      </c>
      <c r="B39" s="1" t="s">
        <v>283</v>
      </c>
      <c r="C39" s="1" t="s">
        <v>796</v>
      </c>
      <c r="D39" s="10">
        <v>2</v>
      </c>
      <c r="E39" s="10">
        <v>2006</v>
      </c>
      <c r="F39" s="9" t="s">
        <v>28</v>
      </c>
      <c r="G39" s="9" t="s">
        <v>54</v>
      </c>
      <c r="H39" s="1">
        <v>10.08</v>
      </c>
      <c r="I39" s="1">
        <v>1.48</v>
      </c>
      <c r="J39" s="9" t="s">
        <v>43</v>
      </c>
      <c r="K39" s="1">
        <v>1</v>
      </c>
      <c r="L39" s="10">
        <v>12</v>
      </c>
      <c r="M39" s="3">
        <v>-0.47799999999999998</v>
      </c>
      <c r="N39" s="11">
        <v>5.4112448932363638E-2</v>
      </c>
      <c r="O39" t="s">
        <v>63</v>
      </c>
      <c r="P39" s="11">
        <v>-0.52038875681275409</v>
      </c>
      <c r="Q39" s="11">
        <v>0.1111111111111111</v>
      </c>
      <c r="R39">
        <v>-0.50000686134405758</v>
      </c>
      <c r="S39">
        <v>5.1135427996397739E-2</v>
      </c>
      <c r="T39" s="9" t="s">
        <v>40</v>
      </c>
      <c r="U39" s="9" t="s">
        <v>46</v>
      </c>
      <c r="V39" s="9" t="s">
        <v>305</v>
      </c>
      <c r="W39" s="9" t="s">
        <v>30</v>
      </c>
      <c r="X39" s="9" t="s">
        <v>308</v>
      </c>
      <c r="Y39" s="1">
        <v>9.5399999999999991</v>
      </c>
      <c r="Z39" s="1">
        <v>15</v>
      </c>
      <c r="AA39" s="3">
        <f t="shared" si="0"/>
        <v>0.6359999999999999</v>
      </c>
      <c r="AB39" s="11">
        <v>-0.6501391075394567</v>
      </c>
      <c r="AC39" s="11">
        <v>0.28269744426653409</v>
      </c>
      <c r="AD39" s="10">
        <v>0</v>
      </c>
      <c r="AE39" s="9" t="s">
        <v>41</v>
      </c>
      <c r="AF39" s="9" t="s">
        <v>63</v>
      </c>
    </row>
    <row r="40" spans="1:32" x14ac:dyDescent="0.25">
      <c r="A40" s="9" t="s">
        <v>852</v>
      </c>
      <c r="B40" s="1" t="s">
        <v>1058</v>
      </c>
      <c r="C40" s="1" t="s">
        <v>797</v>
      </c>
      <c r="D40" s="10">
        <v>2</v>
      </c>
      <c r="E40" s="10">
        <v>2007</v>
      </c>
      <c r="F40" s="9" t="s">
        <v>28</v>
      </c>
      <c r="G40" s="9" t="s">
        <v>29</v>
      </c>
      <c r="H40" s="1">
        <v>29.2</v>
      </c>
      <c r="I40" s="1">
        <v>9.1999999999999993</v>
      </c>
      <c r="J40" s="9" t="s">
        <v>30</v>
      </c>
      <c r="K40" s="1">
        <v>0.45</v>
      </c>
      <c r="L40" s="10">
        <v>39</v>
      </c>
      <c r="M40" s="3">
        <v>9.6243579778564403E-2</v>
      </c>
      <c r="N40" s="11">
        <v>2.5830530175271999E-2</v>
      </c>
      <c r="O40" s="4">
        <v>1100</v>
      </c>
      <c r="P40" s="11">
        <v>9.6542404855828726E-2</v>
      </c>
      <c r="Q40" s="11">
        <v>2.777777777777778E-2</v>
      </c>
      <c r="R40">
        <v>9.7614473690075976E-2</v>
      </c>
      <c r="S40">
        <v>2.581667428930395E-2</v>
      </c>
      <c r="T40" s="9" t="s">
        <v>40</v>
      </c>
      <c r="U40" s="9" t="s">
        <v>31</v>
      </c>
      <c r="V40" s="9" t="s">
        <v>305</v>
      </c>
      <c r="W40" s="9" t="s">
        <v>30</v>
      </c>
      <c r="X40" s="9" t="s">
        <v>306</v>
      </c>
      <c r="Y40" s="1">
        <v>8.6</v>
      </c>
      <c r="Z40" s="1">
        <v>15</v>
      </c>
      <c r="AA40" s="3">
        <f t="shared" si="0"/>
        <v>0.57333333333333336</v>
      </c>
      <c r="AB40" s="11">
        <v>0.16630116768803621</v>
      </c>
      <c r="AC40" s="11">
        <v>0.27750022708037969</v>
      </c>
      <c r="AD40" s="10">
        <v>0</v>
      </c>
      <c r="AE40" s="9" t="s">
        <v>34</v>
      </c>
      <c r="AF40" s="9" t="s">
        <v>35</v>
      </c>
    </row>
    <row r="41" spans="1:32" x14ac:dyDescent="0.25">
      <c r="A41" s="9" t="s">
        <v>852</v>
      </c>
      <c r="B41" s="1" t="s">
        <v>1051</v>
      </c>
      <c r="C41" s="1" t="s">
        <v>798</v>
      </c>
      <c r="D41" s="10">
        <v>2</v>
      </c>
      <c r="E41" s="10">
        <v>2007</v>
      </c>
      <c r="F41" s="9" t="s">
        <v>38</v>
      </c>
      <c r="G41" s="9" t="s">
        <v>29</v>
      </c>
      <c r="H41" s="1" t="s">
        <v>31</v>
      </c>
      <c r="I41" s="1" t="s">
        <v>31</v>
      </c>
      <c r="J41" s="9" t="s">
        <v>31</v>
      </c>
      <c r="K41" s="1" t="s">
        <v>31</v>
      </c>
      <c r="L41" s="10">
        <v>16</v>
      </c>
      <c r="M41" s="3">
        <v>0.41494877839518601</v>
      </c>
      <c r="N41" s="11">
        <v>4.5685455468582561E-2</v>
      </c>
      <c r="O41">
        <v>1100</v>
      </c>
      <c r="P41" s="11">
        <v>0.44157460435522761</v>
      </c>
      <c r="Q41" s="11">
        <v>7.6923076923076927E-2</v>
      </c>
      <c r="R41">
        <v>0.42902139351673818</v>
      </c>
      <c r="S41">
        <v>4.4383942291735617E-2</v>
      </c>
      <c r="T41" s="9" t="s">
        <v>40</v>
      </c>
      <c r="U41" s="9" t="s">
        <v>31</v>
      </c>
      <c r="V41" s="9" t="s">
        <v>305</v>
      </c>
      <c r="W41" s="9" t="s">
        <v>30</v>
      </c>
      <c r="X41" s="9" t="s">
        <v>306</v>
      </c>
      <c r="Y41" s="1">
        <v>12.7</v>
      </c>
      <c r="Z41" s="1">
        <v>15</v>
      </c>
      <c r="AA41" s="3">
        <f t="shared" si="0"/>
        <v>0.84666666666666657</v>
      </c>
      <c r="AB41" s="11">
        <v>0.47423526712856001</v>
      </c>
      <c r="AC41" s="11">
        <v>0.26021137797353228</v>
      </c>
      <c r="AD41" s="10">
        <v>0</v>
      </c>
      <c r="AE41" s="9" t="s">
        <v>34</v>
      </c>
      <c r="AF41" s="9" t="s">
        <v>35</v>
      </c>
    </row>
    <row r="42" spans="1:32" x14ac:dyDescent="0.25">
      <c r="A42" s="9" t="s">
        <v>531</v>
      </c>
      <c r="B42" s="1" t="s">
        <v>294</v>
      </c>
      <c r="C42" s="1" t="s">
        <v>799</v>
      </c>
      <c r="D42" s="10">
        <v>2</v>
      </c>
      <c r="E42" s="10">
        <v>2007</v>
      </c>
      <c r="F42" s="9" t="s">
        <v>28</v>
      </c>
      <c r="G42" s="9" t="s">
        <v>54</v>
      </c>
      <c r="H42" s="1">
        <v>10.75</v>
      </c>
      <c r="I42" s="1">
        <v>2.33</v>
      </c>
      <c r="J42" s="9" t="s">
        <v>31</v>
      </c>
      <c r="K42" s="1" t="s">
        <v>31</v>
      </c>
      <c r="L42" s="10">
        <v>21</v>
      </c>
      <c r="M42" s="3">
        <v>0.38</v>
      </c>
      <c r="N42" s="11">
        <v>3.6602568000000002E-2</v>
      </c>
      <c r="O42" t="s">
        <v>63</v>
      </c>
      <c r="P42" s="11">
        <v>0.40005965005605648</v>
      </c>
      <c r="Q42" s="11">
        <v>5.5555555555555552E-2</v>
      </c>
      <c r="R42">
        <v>0.3894969339782669</v>
      </c>
      <c r="S42">
        <v>3.5979977605388583E-2</v>
      </c>
      <c r="T42" s="9" t="s">
        <v>40</v>
      </c>
      <c r="U42" s="9" t="s">
        <v>31</v>
      </c>
      <c r="V42" s="9" t="s">
        <v>305</v>
      </c>
      <c r="W42" s="9" t="s">
        <v>869</v>
      </c>
      <c r="X42" s="9" t="s">
        <v>977</v>
      </c>
      <c r="Y42" s="1">
        <v>13</v>
      </c>
      <c r="Z42" s="1">
        <v>15</v>
      </c>
      <c r="AA42" s="3">
        <f t="shared" si="0"/>
        <v>0.8666666666666667</v>
      </c>
      <c r="AB42" s="11">
        <v>0.42833370625232509</v>
      </c>
      <c r="AC42" s="11">
        <v>0.22827520280722741</v>
      </c>
      <c r="AD42" s="10">
        <v>0</v>
      </c>
      <c r="AE42" s="9" t="s">
        <v>34</v>
      </c>
      <c r="AF42" s="9" t="s">
        <v>63</v>
      </c>
    </row>
    <row r="43" spans="1:32" x14ac:dyDescent="0.25">
      <c r="A43" s="9" t="s">
        <v>531</v>
      </c>
      <c r="B43" s="1" t="s">
        <v>290</v>
      </c>
      <c r="C43" s="1" t="s">
        <v>800</v>
      </c>
      <c r="D43" s="10">
        <v>2</v>
      </c>
      <c r="E43" s="10">
        <v>2007</v>
      </c>
      <c r="F43" s="9" t="s">
        <v>38</v>
      </c>
      <c r="G43" s="9" t="s">
        <v>54</v>
      </c>
      <c r="H43" s="1">
        <v>10.5</v>
      </c>
      <c r="I43" s="1">
        <v>1.92</v>
      </c>
      <c r="J43" s="9" t="s">
        <v>31</v>
      </c>
      <c r="K43" s="1" t="s">
        <v>31</v>
      </c>
      <c r="L43" s="10">
        <v>20</v>
      </c>
      <c r="M43" s="3">
        <v>-0.22</v>
      </c>
      <c r="N43" s="11">
        <v>4.7660134736842108E-2</v>
      </c>
      <c r="O43" t="s">
        <v>63</v>
      </c>
      <c r="P43" s="11">
        <v>-0.22365610902183239</v>
      </c>
      <c r="Q43" s="11">
        <v>5.8823529411764712E-2</v>
      </c>
      <c r="R43">
        <v>-0.2265900950363213</v>
      </c>
      <c r="S43">
        <v>4.7365787822099083E-2</v>
      </c>
      <c r="T43" s="9" t="s">
        <v>40</v>
      </c>
      <c r="U43" s="9" t="s">
        <v>31</v>
      </c>
      <c r="V43" s="9" t="s">
        <v>305</v>
      </c>
      <c r="W43" s="9" t="s">
        <v>869</v>
      </c>
      <c r="X43" s="9" t="s">
        <v>977</v>
      </c>
      <c r="Y43" s="1">
        <v>11</v>
      </c>
      <c r="Z43" s="1">
        <v>15</v>
      </c>
      <c r="AA43" s="3">
        <f t="shared" si="0"/>
        <v>0.73333333333333328</v>
      </c>
      <c r="AB43" s="11">
        <v>-0.2939481756261077</v>
      </c>
      <c r="AC43" s="11">
        <v>0.2949429917479649</v>
      </c>
      <c r="AD43" s="10">
        <v>0</v>
      </c>
      <c r="AE43" s="9" t="s">
        <v>34</v>
      </c>
      <c r="AF43" s="9" t="s">
        <v>63</v>
      </c>
    </row>
    <row r="44" spans="1:32" x14ac:dyDescent="0.25">
      <c r="A44" s="9" t="s">
        <v>534</v>
      </c>
      <c r="B44" s="1" t="s">
        <v>475</v>
      </c>
      <c r="C44" s="1" t="s">
        <v>801</v>
      </c>
      <c r="D44" s="10">
        <v>2</v>
      </c>
      <c r="E44" s="10">
        <v>2007</v>
      </c>
      <c r="F44" s="9" t="s">
        <v>28</v>
      </c>
      <c r="G44" s="9" t="s">
        <v>29</v>
      </c>
      <c r="H44" s="1">
        <v>40.6</v>
      </c>
      <c r="I44" s="1">
        <v>10.4</v>
      </c>
      <c r="J44" s="9" t="s">
        <v>30</v>
      </c>
      <c r="K44" s="1">
        <v>0.9</v>
      </c>
      <c r="L44" s="10">
        <v>44</v>
      </c>
      <c r="M44" s="3">
        <v>0.33800000000000002</v>
      </c>
      <c r="N44" s="11">
        <v>1.8245667245023259E-2</v>
      </c>
      <c r="O44" t="s">
        <v>63</v>
      </c>
      <c r="P44" s="11">
        <v>0.35183284237558282</v>
      </c>
      <c r="Q44" s="11">
        <v>2.4390243902439029E-2</v>
      </c>
      <c r="R44">
        <v>0.34174021904538682</v>
      </c>
      <c r="S44">
        <v>1.8141076820920018E-2</v>
      </c>
      <c r="T44" s="9" t="s">
        <v>40</v>
      </c>
      <c r="U44" s="9" t="s">
        <v>46</v>
      </c>
      <c r="V44" s="9" t="s">
        <v>305</v>
      </c>
      <c r="W44" s="9" t="s">
        <v>30</v>
      </c>
      <c r="X44" s="9" t="s">
        <v>311</v>
      </c>
      <c r="Y44" s="1">
        <v>11.5</v>
      </c>
      <c r="Z44" s="1">
        <v>15</v>
      </c>
      <c r="AA44" s="3">
        <f t="shared" si="0"/>
        <v>0.76666666666666672</v>
      </c>
      <c r="AB44" s="11">
        <v>0.42420298318713062</v>
      </c>
      <c r="AC44" s="11">
        <v>0.1687394476035799</v>
      </c>
      <c r="AD44" s="10">
        <v>0</v>
      </c>
      <c r="AE44" s="9" t="s">
        <v>34</v>
      </c>
      <c r="AF44" s="9" t="s">
        <v>63</v>
      </c>
    </row>
    <row r="45" spans="1:32" x14ac:dyDescent="0.25">
      <c r="A45" s="9" t="s">
        <v>534</v>
      </c>
      <c r="B45" s="1" t="s">
        <v>473</v>
      </c>
      <c r="C45" s="1" t="s">
        <v>802</v>
      </c>
      <c r="D45" s="10">
        <v>2</v>
      </c>
      <c r="E45" s="10">
        <v>2007</v>
      </c>
      <c r="F45" s="9" t="s">
        <v>38</v>
      </c>
      <c r="G45" s="9" t="s">
        <v>29</v>
      </c>
      <c r="H45" s="1">
        <v>40.799999999999997</v>
      </c>
      <c r="I45" s="1">
        <v>9.4</v>
      </c>
      <c r="J45" s="9" t="s">
        <v>30</v>
      </c>
      <c r="K45" s="1">
        <v>0.9</v>
      </c>
      <c r="L45" s="10">
        <v>43</v>
      </c>
      <c r="M45" s="3">
        <v>0.28499999999999998</v>
      </c>
      <c r="N45" s="11">
        <v>2.0098750014880949E-2</v>
      </c>
      <c r="O45" t="s">
        <v>63</v>
      </c>
      <c r="P45" s="11">
        <v>0.29311572731765623</v>
      </c>
      <c r="Q45" s="11">
        <v>2.5000000000000001E-2</v>
      </c>
      <c r="R45">
        <v>0.2883617392855054</v>
      </c>
      <c r="S45">
        <v>2.001450837314284E-2</v>
      </c>
      <c r="T45" s="9" t="s">
        <v>40</v>
      </c>
      <c r="U45" s="9" t="s">
        <v>46</v>
      </c>
      <c r="V45" s="9" t="s">
        <v>305</v>
      </c>
      <c r="W45" s="9" t="s">
        <v>30</v>
      </c>
      <c r="X45" s="9" t="s">
        <v>311</v>
      </c>
      <c r="Y45" s="1">
        <v>17.399999999999999</v>
      </c>
      <c r="Z45" s="1">
        <v>15</v>
      </c>
      <c r="AA45" s="3">
        <f t="shared" si="0"/>
        <v>1.1599999999999999</v>
      </c>
      <c r="AB45" s="11">
        <v>0.24829320116377859</v>
      </c>
      <c r="AC45" s="11">
        <v>0.13319518887404899</v>
      </c>
      <c r="AD45" s="10">
        <v>0</v>
      </c>
      <c r="AE45" s="9" t="s">
        <v>34</v>
      </c>
      <c r="AF45" s="9" t="s">
        <v>63</v>
      </c>
    </row>
    <row r="46" spans="1:32" x14ac:dyDescent="0.25">
      <c r="A46" s="9" t="s">
        <v>536</v>
      </c>
      <c r="B46" s="1" t="s">
        <v>207</v>
      </c>
      <c r="C46" s="1" t="s">
        <v>803</v>
      </c>
      <c r="D46" s="10">
        <v>2</v>
      </c>
      <c r="E46" s="10">
        <v>2007</v>
      </c>
      <c r="F46" s="9" t="s">
        <v>28</v>
      </c>
      <c r="G46" s="9" t="s">
        <v>29</v>
      </c>
      <c r="H46" s="1">
        <v>40.9</v>
      </c>
      <c r="I46" s="1" t="s">
        <v>31</v>
      </c>
      <c r="J46" s="9" t="s">
        <v>39</v>
      </c>
      <c r="K46" s="1">
        <v>0</v>
      </c>
      <c r="L46" s="10">
        <v>68</v>
      </c>
      <c r="M46" s="3">
        <v>0.29099999999999998</v>
      </c>
      <c r="N46" s="11">
        <v>1.2504610026283581E-2</v>
      </c>
      <c r="O46" t="s">
        <v>63</v>
      </c>
      <c r="P46" s="11">
        <v>0.2996584321572574</v>
      </c>
      <c r="Q46" s="11">
        <v>1.5384615384615391E-2</v>
      </c>
      <c r="R46">
        <v>0.29308259450516111</v>
      </c>
      <c r="S46">
        <v>1.247139627104853E-2</v>
      </c>
      <c r="T46" s="9" t="s">
        <v>40</v>
      </c>
      <c r="U46" s="9" t="s">
        <v>46</v>
      </c>
      <c r="V46" s="9" t="s">
        <v>305</v>
      </c>
      <c r="W46" s="9" t="s">
        <v>869</v>
      </c>
      <c r="X46" s="9" t="s">
        <v>385</v>
      </c>
      <c r="Y46" s="1" t="s">
        <v>31</v>
      </c>
      <c r="Z46" s="1" t="s">
        <v>31</v>
      </c>
      <c r="AA46" s="3" t="s">
        <v>31</v>
      </c>
      <c r="AB46" s="11" t="s">
        <v>31</v>
      </c>
      <c r="AC46" s="11" t="s">
        <v>31</v>
      </c>
      <c r="AD46" s="10">
        <v>0</v>
      </c>
      <c r="AE46" s="9" t="s">
        <v>34</v>
      </c>
      <c r="AF46" s="9" t="s">
        <v>63</v>
      </c>
    </row>
    <row r="47" spans="1:32" x14ac:dyDescent="0.25">
      <c r="A47" s="9" t="s">
        <v>536</v>
      </c>
      <c r="B47" s="1" t="s">
        <v>478</v>
      </c>
      <c r="C47" s="1" t="s">
        <v>804</v>
      </c>
      <c r="D47" s="10">
        <v>2</v>
      </c>
      <c r="E47" s="10">
        <v>2007</v>
      </c>
      <c r="F47" s="9" t="s">
        <v>38</v>
      </c>
      <c r="G47" s="9" t="s">
        <v>29</v>
      </c>
      <c r="H47" s="1">
        <v>34.32</v>
      </c>
      <c r="I47" s="1" t="s">
        <v>31</v>
      </c>
      <c r="J47" s="9" t="s">
        <v>39</v>
      </c>
      <c r="K47" s="1">
        <v>0</v>
      </c>
      <c r="L47" s="10">
        <v>22</v>
      </c>
      <c r="M47" s="3">
        <v>0.30399999999999999</v>
      </c>
      <c r="N47" s="11">
        <v>3.9224224621714279E-2</v>
      </c>
      <c r="O47" t="s">
        <v>63</v>
      </c>
      <c r="P47" s="11">
        <v>0.31392104107608942</v>
      </c>
      <c r="Q47" s="11">
        <v>5.2631578947368418E-2</v>
      </c>
      <c r="R47">
        <v>0.31166870267362379</v>
      </c>
      <c r="S47">
        <v>3.8817186199271499E-2</v>
      </c>
      <c r="T47" s="9" t="s">
        <v>40</v>
      </c>
      <c r="U47" s="9" t="s">
        <v>46</v>
      </c>
      <c r="V47" s="9" t="s">
        <v>305</v>
      </c>
      <c r="W47" s="9" t="s">
        <v>869</v>
      </c>
      <c r="X47" s="9" t="s">
        <v>385</v>
      </c>
      <c r="Y47" s="1" t="s">
        <v>31</v>
      </c>
      <c r="Z47" s="1" t="s">
        <v>31</v>
      </c>
      <c r="AA47" s="3" t="s">
        <v>31</v>
      </c>
      <c r="AB47" s="11" t="s">
        <v>31</v>
      </c>
      <c r="AC47" s="11" t="s">
        <v>31</v>
      </c>
      <c r="AD47" s="10">
        <v>0</v>
      </c>
      <c r="AE47" s="9" t="s">
        <v>34</v>
      </c>
      <c r="AF47" s="9" t="s">
        <v>63</v>
      </c>
    </row>
    <row r="48" spans="1:32" x14ac:dyDescent="0.25">
      <c r="A48" s="9" t="s">
        <v>536</v>
      </c>
      <c r="B48" s="1" t="s">
        <v>479</v>
      </c>
      <c r="C48" s="1" t="s">
        <v>805</v>
      </c>
      <c r="D48" s="10">
        <v>2</v>
      </c>
      <c r="E48" s="10">
        <v>2007</v>
      </c>
      <c r="F48" s="9" t="s">
        <v>28</v>
      </c>
      <c r="G48" s="9" t="s">
        <v>29</v>
      </c>
      <c r="H48" s="1">
        <v>39.65</v>
      </c>
      <c r="I48" s="1" t="s">
        <v>31</v>
      </c>
      <c r="J48" s="9" t="s">
        <v>43</v>
      </c>
      <c r="K48" s="1">
        <v>1</v>
      </c>
      <c r="L48" s="10">
        <v>203</v>
      </c>
      <c r="M48" s="3">
        <v>0.16700000000000001</v>
      </c>
      <c r="N48" s="11">
        <v>4.678216813470297E-3</v>
      </c>
      <c r="O48" t="s">
        <v>63</v>
      </c>
      <c r="P48" s="11">
        <v>0.16857899505985671</v>
      </c>
      <c r="Q48" s="11">
        <v>5.0000000000000001E-3</v>
      </c>
      <c r="R48">
        <v>0.1674082768955204</v>
      </c>
      <c r="S48">
        <v>4.6769028121350573E-3</v>
      </c>
      <c r="T48" s="9" t="s">
        <v>40</v>
      </c>
      <c r="U48" s="9" t="s">
        <v>46</v>
      </c>
      <c r="V48" s="9" t="s">
        <v>305</v>
      </c>
      <c r="W48" s="9" t="s">
        <v>869</v>
      </c>
      <c r="X48" s="9" t="s">
        <v>385</v>
      </c>
      <c r="Y48" s="1" t="s">
        <v>31</v>
      </c>
      <c r="Z48" s="1" t="s">
        <v>31</v>
      </c>
      <c r="AA48" s="3" t="s">
        <v>31</v>
      </c>
      <c r="AB48" s="11" t="s">
        <v>31</v>
      </c>
      <c r="AC48" s="11" t="s">
        <v>31</v>
      </c>
      <c r="AD48" s="10">
        <v>0</v>
      </c>
      <c r="AE48" s="9" t="s">
        <v>34</v>
      </c>
      <c r="AF48" s="9" t="s">
        <v>63</v>
      </c>
    </row>
    <row r="49" spans="1:32" x14ac:dyDescent="0.25">
      <c r="A49" s="9" t="s">
        <v>536</v>
      </c>
      <c r="B49" s="1" t="s">
        <v>404</v>
      </c>
      <c r="C49" s="1" t="s">
        <v>806</v>
      </c>
      <c r="D49" s="10">
        <v>2</v>
      </c>
      <c r="E49" s="10">
        <v>2007</v>
      </c>
      <c r="F49" s="9" t="s">
        <v>38</v>
      </c>
      <c r="G49" s="9" t="s">
        <v>29</v>
      </c>
      <c r="H49" s="1">
        <v>37.770000000000003</v>
      </c>
      <c r="I49" s="1" t="s">
        <v>31</v>
      </c>
      <c r="J49" s="9" t="s">
        <v>43</v>
      </c>
      <c r="K49" s="1">
        <v>1</v>
      </c>
      <c r="L49" s="10">
        <v>35</v>
      </c>
      <c r="M49" s="3">
        <v>0.17199999999999999</v>
      </c>
      <c r="N49" s="11">
        <v>2.7697270972235299E-2</v>
      </c>
      <c r="O49" t="s">
        <v>63</v>
      </c>
      <c r="P49" s="11">
        <v>0.1737269078758491</v>
      </c>
      <c r="Q49" s="11">
        <v>3.125E-2</v>
      </c>
      <c r="R49">
        <v>0.17470725911557911</v>
      </c>
      <c r="S49">
        <v>2.7643716998418989E-2</v>
      </c>
      <c r="T49" s="9" t="s">
        <v>40</v>
      </c>
      <c r="U49" s="9" t="s">
        <v>46</v>
      </c>
      <c r="V49" s="9" t="s">
        <v>305</v>
      </c>
      <c r="W49" s="9" t="s">
        <v>869</v>
      </c>
      <c r="X49" s="9" t="s">
        <v>385</v>
      </c>
      <c r="Y49" s="1" t="s">
        <v>31</v>
      </c>
      <c r="Z49" s="1" t="s">
        <v>31</v>
      </c>
      <c r="AA49" s="3" t="s">
        <v>31</v>
      </c>
      <c r="AB49" s="11" t="s">
        <v>31</v>
      </c>
      <c r="AC49" s="11" t="s">
        <v>31</v>
      </c>
      <c r="AD49" s="10">
        <v>0</v>
      </c>
      <c r="AE49" s="9" t="s">
        <v>34</v>
      </c>
      <c r="AF49" s="9" t="s">
        <v>63</v>
      </c>
    </row>
    <row r="50" spans="1:32" x14ac:dyDescent="0.25">
      <c r="A50" s="9" t="s">
        <v>537</v>
      </c>
      <c r="B50" s="1" t="s">
        <v>480</v>
      </c>
      <c r="C50" s="1" t="s">
        <v>807</v>
      </c>
      <c r="D50" s="10">
        <v>2</v>
      </c>
      <c r="E50" s="10">
        <v>2007</v>
      </c>
      <c r="F50" s="9" t="s">
        <v>38</v>
      </c>
      <c r="G50" s="9" t="s">
        <v>54</v>
      </c>
      <c r="H50" s="1">
        <v>13.1</v>
      </c>
      <c r="I50" s="1">
        <v>3.1</v>
      </c>
      <c r="J50" s="9" t="s">
        <v>43</v>
      </c>
      <c r="K50" s="1">
        <v>1</v>
      </c>
      <c r="L50" s="10">
        <v>22</v>
      </c>
      <c r="M50" s="3">
        <v>0.25</v>
      </c>
      <c r="N50" s="11">
        <v>4.1852678571428568E-2</v>
      </c>
      <c r="O50">
        <v>489</v>
      </c>
      <c r="P50" s="11">
        <v>0.25541281188299542</v>
      </c>
      <c r="Q50" s="11">
        <v>5.2631578947368418E-2</v>
      </c>
      <c r="R50">
        <v>0.25654104459352312</v>
      </c>
      <c r="S50">
        <v>4.1557370301422127E-2</v>
      </c>
      <c r="T50" s="9" t="s">
        <v>40</v>
      </c>
      <c r="U50" s="9" t="s">
        <v>50</v>
      </c>
      <c r="V50" s="9" t="s">
        <v>305</v>
      </c>
      <c r="W50" s="9" t="s">
        <v>30</v>
      </c>
      <c r="X50" s="9" t="s">
        <v>390</v>
      </c>
      <c r="Y50" s="1">
        <v>12</v>
      </c>
      <c r="Z50" s="1">
        <v>15</v>
      </c>
      <c r="AA50" s="3">
        <f t="shared" si="0"/>
        <v>0.8</v>
      </c>
      <c r="AB50" s="11">
        <v>0.30714755841697561</v>
      </c>
      <c r="AC50" s="11">
        <v>0.25696370794212542</v>
      </c>
      <c r="AD50" s="10">
        <v>2</v>
      </c>
      <c r="AE50" s="9" t="s">
        <v>41</v>
      </c>
      <c r="AF50" s="9" t="s">
        <v>35</v>
      </c>
    </row>
    <row r="51" spans="1:32" x14ac:dyDescent="0.25">
      <c r="A51" s="9" t="s">
        <v>538</v>
      </c>
      <c r="B51" s="1" t="s">
        <v>481</v>
      </c>
      <c r="C51" s="1" t="s">
        <v>808</v>
      </c>
      <c r="D51" s="10">
        <v>2</v>
      </c>
      <c r="E51" s="10">
        <v>2008</v>
      </c>
      <c r="F51" s="9" t="s">
        <v>38</v>
      </c>
      <c r="G51" s="9" t="s">
        <v>29</v>
      </c>
      <c r="H51" s="1">
        <v>31.5</v>
      </c>
      <c r="I51" s="1">
        <v>11.1</v>
      </c>
      <c r="J51" s="9" t="s">
        <v>30</v>
      </c>
      <c r="K51" s="1">
        <v>0.56000000000000005</v>
      </c>
      <c r="L51" s="10">
        <v>27</v>
      </c>
      <c r="M51" s="3">
        <v>0.183</v>
      </c>
      <c r="N51" s="11">
        <v>3.5928596658499998E-2</v>
      </c>
      <c r="O51" t="s">
        <v>63</v>
      </c>
      <c r="P51" s="11">
        <v>0.185084884559192</v>
      </c>
      <c r="Q51" s="11">
        <v>4.1666666666666657E-2</v>
      </c>
      <c r="R51">
        <v>0.18687200428746539</v>
      </c>
      <c r="S51">
        <v>3.5822199787083668E-2</v>
      </c>
      <c r="T51" s="9" t="s">
        <v>40</v>
      </c>
      <c r="U51" s="9" t="s">
        <v>31</v>
      </c>
      <c r="V51" s="9" t="s">
        <v>305</v>
      </c>
      <c r="W51" s="9" t="s">
        <v>30</v>
      </c>
      <c r="X51" s="9" t="s">
        <v>307</v>
      </c>
      <c r="Y51" s="1">
        <v>15.9</v>
      </c>
      <c r="Z51" s="1">
        <v>15</v>
      </c>
      <c r="AA51" s="3">
        <f t="shared" si="0"/>
        <v>1.06</v>
      </c>
      <c r="AB51" s="11">
        <v>0.17296038857048859</v>
      </c>
      <c r="AC51" s="11">
        <v>0.18652275197530499</v>
      </c>
      <c r="AD51" s="10">
        <v>3</v>
      </c>
      <c r="AE51" s="9" t="s">
        <v>41</v>
      </c>
      <c r="AF51" s="9" t="s">
        <v>63</v>
      </c>
    </row>
    <row r="52" spans="1:32" x14ac:dyDescent="0.25">
      <c r="A52" s="9" t="s">
        <v>853</v>
      </c>
      <c r="B52" s="1" t="s">
        <v>1061</v>
      </c>
      <c r="C52" s="1" t="s">
        <v>809</v>
      </c>
      <c r="D52" s="10">
        <v>2</v>
      </c>
      <c r="E52" s="10">
        <v>2009</v>
      </c>
      <c r="F52" s="9" t="s">
        <v>28</v>
      </c>
      <c r="G52" s="9" t="s">
        <v>54</v>
      </c>
      <c r="H52" s="1">
        <v>14.5</v>
      </c>
      <c r="I52" s="1">
        <v>1.5</v>
      </c>
      <c r="J52" s="9" t="s">
        <v>30</v>
      </c>
      <c r="K52" s="1">
        <v>0.08</v>
      </c>
      <c r="L52" s="10">
        <v>12</v>
      </c>
      <c r="M52" s="3">
        <v>0.38200000000000001</v>
      </c>
      <c r="N52" s="11">
        <v>6.6313255797818202E-2</v>
      </c>
      <c r="O52" t="s">
        <v>63</v>
      </c>
      <c r="P52" s="11">
        <v>0.40239927343496218</v>
      </c>
      <c r="Q52" s="11">
        <v>0.1111111111111111</v>
      </c>
      <c r="R52">
        <v>0.40196141918074002</v>
      </c>
      <c r="S52">
        <v>6.390544215068375E-2</v>
      </c>
      <c r="T52" s="9" t="s">
        <v>40</v>
      </c>
      <c r="U52" s="9" t="s">
        <v>31</v>
      </c>
      <c r="V52" s="9" t="s">
        <v>305</v>
      </c>
      <c r="W52" s="9" t="s">
        <v>869</v>
      </c>
      <c r="X52" s="9" t="s">
        <v>394</v>
      </c>
      <c r="Y52" s="1" t="s">
        <v>31</v>
      </c>
      <c r="Z52" s="1" t="s">
        <v>31</v>
      </c>
      <c r="AA52" s="3" t="s">
        <v>31</v>
      </c>
      <c r="AB52" s="11" t="s">
        <v>31</v>
      </c>
      <c r="AC52" s="11" t="s">
        <v>31</v>
      </c>
      <c r="AD52" s="10">
        <v>0</v>
      </c>
      <c r="AE52" s="9" t="s">
        <v>34</v>
      </c>
      <c r="AF52" s="9" t="s">
        <v>63</v>
      </c>
    </row>
    <row r="53" spans="1:32" x14ac:dyDescent="0.25">
      <c r="A53" s="9" t="s">
        <v>853</v>
      </c>
      <c r="B53" s="1" t="s">
        <v>1062</v>
      </c>
      <c r="C53" s="1" t="s">
        <v>810</v>
      </c>
      <c r="D53" s="10">
        <v>2</v>
      </c>
      <c r="E53" s="10">
        <v>2009</v>
      </c>
      <c r="F53" s="9" t="s">
        <v>38</v>
      </c>
      <c r="G53" s="9" t="s">
        <v>54</v>
      </c>
      <c r="H53" s="1">
        <v>14.6</v>
      </c>
      <c r="I53" s="1">
        <v>3.2</v>
      </c>
      <c r="J53" s="9" t="s">
        <v>30</v>
      </c>
      <c r="K53" s="1">
        <v>0.11</v>
      </c>
      <c r="L53" s="10">
        <v>9</v>
      </c>
      <c r="M53" s="3">
        <v>0.55000000000000004</v>
      </c>
      <c r="N53" s="11">
        <v>6.0813281249999997E-2</v>
      </c>
      <c r="O53" t="s">
        <v>63</v>
      </c>
      <c r="P53" s="11">
        <v>0.61838131357446358</v>
      </c>
      <c r="Q53" s="11">
        <v>0.16666666666666671</v>
      </c>
      <c r="R53">
        <v>0.58413369825303119</v>
      </c>
      <c r="S53">
        <v>5.4250174395030729E-2</v>
      </c>
      <c r="T53" s="9" t="s">
        <v>40</v>
      </c>
      <c r="U53" s="9" t="s">
        <v>31</v>
      </c>
      <c r="V53" s="9" t="s">
        <v>305</v>
      </c>
      <c r="W53" s="9" t="s">
        <v>869</v>
      </c>
      <c r="X53" s="9" t="s">
        <v>394</v>
      </c>
      <c r="Y53" s="1" t="s">
        <v>31</v>
      </c>
      <c r="Z53" s="1" t="s">
        <v>31</v>
      </c>
      <c r="AA53" s="3" t="s">
        <v>31</v>
      </c>
      <c r="AB53" s="11" t="s">
        <v>31</v>
      </c>
      <c r="AC53" s="11" t="s">
        <v>31</v>
      </c>
      <c r="AD53" s="10">
        <v>0</v>
      </c>
      <c r="AE53" s="9" t="s">
        <v>34</v>
      </c>
      <c r="AF53" s="9" t="s">
        <v>63</v>
      </c>
    </row>
    <row r="54" spans="1:32" x14ac:dyDescent="0.25">
      <c r="A54" s="9" t="s">
        <v>541</v>
      </c>
      <c r="B54" s="1" t="s">
        <v>488</v>
      </c>
      <c r="C54" s="1" t="s">
        <v>811</v>
      </c>
      <c r="D54" s="10">
        <v>2</v>
      </c>
      <c r="E54" s="10">
        <v>2009</v>
      </c>
      <c r="F54" s="9" t="s">
        <v>28</v>
      </c>
      <c r="G54" s="9" t="s">
        <v>54</v>
      </c>
      <c r="H54" s="1">
        <v>10.4</v>
      </c>
      <c r="I54" s="1">
        <v>1.24</v>
      </c>
      <c r="J54" s="9" t="s">
        <v>30</v>
      </c>
      <c r="K54" s="1">
        <v>0.56999999999999995</v>
      </c>
      <c r="L54" s="10">
        <v>47</v>
      </c>
      <c r="M54" s="3">
        <v>0.19800000000000001</v>
      </c>
      <c r="N54" s="11">
        <v>2.006802073078261E-2</v>
      </c>
      <c r="O54" t="s">
        <v>63</v>
      </c>
      <c r="P54" s="11">
        <v>0.20065008540443999</v>
      </c>
      <c r="Q54" s="11">
        <v>2.2727272727272731E-2</v>
      </c>
      <c r="R54">
        <v>0.20021999869185261</v>
      </c>
      <c r="S54">
        <v>2.0031107735438931E-2</v>
      </c>
      <c r="T54" s="9" t="s">
        <v>40</v>
      </c>
      <c r="U54" s="9" t="s">
        <v>50</v>
      </c>
      <c r="V54" s="9" t="s">
        <v>305</v>
      </c>
      <c r="W54" s="9" t="s">
        <v>869</v>
      </c>
      <c r="X54" s="9" t="s">
        <v>977</v>
      </c>
      <c r="Y54" s="1">
        <v>13.9</v>
      </c>
      <c r="Z54" s="1">
        <v>15</v>
      </c>
      <c r="AA54" s="3">
        <f t="shared" si="0"/>
        <v>0.92666666666666664</v>
      </c>
      <c r="AB54" s="11">
        <v>0.2129832479865591</v>
      </c>
      <c r="AC54" s="11">
        <v>0.15616984708927481</v>
      </c>
      <c r="AD54" s="10">
        <v>0</v>
      </c>
      <c r="AE54" s="9" t="s">
        <v>34</v>
      </c>
      <c r="AF54" s="9" t="s">
        <v>63</v>
      </c>
    </row>
    <row r="55" spans="1:32" x14ac:dyDescent="0.25">
      <c r="A55" s="9" t="s">
        <v>541</v>
      </c>
      <c r="B55" s="1" t="s">
        <v>487</v>
      </c>
      <c r="C55" s="1" t="s">
        <v>812</v>
      </c>
      <c r="D55" s="10">
        <v>2</v>
      </c>
      <c r="E55" s="10">
        <v>2009</v>
      </c>
      <c r="F55" s="9" t="s">
        <v>38</v>
      </c>
      <c r="G55" s="9" t="s">
        <v>54</v>
      </c>
      <c r="H55" s="1">
        <v>10.5</v>
      </c>
      <c r="I55" s="1">
        <v>1.27</v>
      </c>
      <c r="J55" s="9" t="s">
        <v>30</v>
      </c>
      <c r="K55" s="1">
        <v>0.53</v>
      </c>
      <c r="L55" s="10">
        <v>66</v>
      </c>
      <c r="M55" s="3">
        <v>0.123</v>
      </c>
      <c r="N55" s="11">
        <v>1.4922629025246161E-2</v>
      </c>
      <c r="O55" t="s">
        <v>63</v>
      </c>
      <c r="P55" s="11">
        <v>0.1236259811831301</v>
      </c>
      <c r="Q55" s="11">
        <v>1.5873015873015869E-2</v>
      </c>
      <c r="R55">
        <v>0.12398027903591879</v>
      </c>
      <c r="S55">
        <v>1.491529310508268E-2</v>
      </c>
      <c r="T55" s="9" t="s">
        <v>40</v>
      </c>
      <c r="U55" s="9" t="s">
        <v>50</v>
      </c>
      <c r="V55" s="9" t="s">
        <v>305</v>
      </c>
      <c r="W55" s="9" t="s">
        <v>869</v>
      </c>
      <c r="X55" s="9" t="s">
        <v>391</v>
      </c>
      <c r="Y55" s="1">
        <v>11.5</v>
      </c>
      <c r="Z55" s="1">
        <v>15</v>
      </c>
      <c r="AA55" s="3">
        <f t="shared" si="0"/>
        <v>0.76666666666666672</v>
      </c>
      <c r="AB55" s="11">
        <v>0.15959036421140529</v>
      </c>
      <c r="AC55" s="11">
        <v>0.15926396135452631</v>
      </c>
      <c r="AD55" s="10">
        <v>0</v>
      </c>
      <c r="AE55" s="9" t="s">
        <v>34</v>
      </c>
      <c r="AF55" s="9" t="s">
        <v>63</v>
      </c>
    </row>
    <row r="56" spans="1:32" x14ac:dyDescent="0.25">
      <c r="A56" s="9" t="s">
        <v>543</v>
      </c>
      <c r="B56" s="1" t="s">
        <v>489</v>
      </c>
      <c r="C56" s="1" t="s">
        <v>813</v>
      </c>
      <c r="D56" s="10">
        <v>2</v>
      </c>
      <c r="E56" s="10">
        <v>2009</v>
      </c>
      <c r="F56" s="9" t="s">
        <v>38</v>
      </c>
      <c r="G56" s="9" t="s">
        <v>54</v>
      </c>
      <c r="H56" s="1">
        <v>9.1</v>
      </c>
      <c r="I56" s="1">
        <v>0.1</v>
      </c>
      <c r="J56" s="9" t="s">
        <v>30</v>
      </c>
      <c r="K56" s="1">
        <v>0.5</v>
      </c>
      <c r="L56" s="10">
        <v>209</v>
      </c>
      <c r="M56" s="3">
        <v>0.28000000000000003</v>
      </c>
      <c r="N56" s="11">
        <v>4.0833969230769226E-3</v>
      </c>
      <c r="O56">
        <v>186</v>
      </c>
      <c r="P56" s="11">
        <v>0.28768207245178101</v>
      </c>
      <c r="Q56" s="11">
        <v>4.8543689320388354E-3</v>
      </c>
      <c r="R56">
        <v>0.28062960411750898</v>
      </c>
      <c r="S56">
        <v>4.0802696231294492E-3</v>
      </c>
      <c r="T56" s="9" t="s">
        <v>40</v>
      </c>
      <c r="U56" s="9" t="s">
        <v>50</v>
      </c>
      <c r="V56" s="9" t="s">
        <v>305</v>
      </c>
      <c r="W56" s="9" t="s">
        <v>869</v>
      </c>
      <c r="X56" s="9" t="s">
        <v>978</v>
      </c>
      <c r="Y56" s="1">
        <v>12</v>
      </c>
      <c r="Z56" s="1">
        <v>15</v>
      </c>
      <c r="AA56" s="3">
        <f t="shared" si="0"/>
        <v>0.8</v>
      </c>
      <c r="AB56" s="11">
        <v>0.34252872381068972</v>
      </c>
      <c r="AC56" s="11">
        <v>7.8177707272815755E-2</v>
      </c>
      <c r="AD56" s="10">
        <v>1</v>
      </c>
      <c r="AE56" s="9" t="s">
        <v>41</v>
      </c>
      <c r="AF56" s="9" t="s">
        <v>35</v>
      </c>
    </row>
    <row r="57" spans="1:32" x14ac:dyDescent="0.25">
      <c r="A57" s="9" t="s">
        <v>543</v>
      </c>
      <c r="B57" s="1" t="s">
        <v>489</v>
      </c>
      <c r="C57" s="1" t="s">
        <v>814</v>
      </c>
      <c r="D57" s="10">
        <v>3</v>
      </c>
      <c r="E57" s="10">
        <v>2009</v>
      </c>
      <c r="F57" s="9" t="s">
        <v>38</v>
      </c>
      <c r="G57" s="9" t="s">
        <v>54</v>
      </c>
      <c r="H57" s="1">
        <v>9.1</v>
      </c>
      <c r="I57" s="1">
        <v>0.1</v>
      </c>
      <c r="J57" s="9" t="s">
        <v>30</v>
      </c>
      <c r="K57" s="1">
        <v>0.5</v>
      </c>
      <c r="L57" s="10">
        <v>209</v>
      </c>
      <c r="M57" s="3">
        <v>0.12</v>
      </c>
      <c r="N57" s="11">
        <v>4.6702276923076928E-3</v>
      </c>
      <c r="O57">
        <v>186</v>
      </c>
      <c r="P57" s="11">
        <v>0.1205810284084441</v>
      </c>
      <c r="Q57" s="11">
        <v>4.8543689320388354E-3</v>
      </c>
      <c r="R57">
        <v>0.12028877312044051</v>
      </c>
      <c r="S57">
        <v>4.6695701218202948E-3</v>
      </c>
      <c r="T57" s="9" t="s">
        <v>40</v>
      </c>
      <c r="U57" s="9" t="s">
        <v>50</v>
      </c>
      <c r="V57" s="9" t="s">
        <v>305</v>
      </c>
      <c r="W57" s="9" t="s">
        <v>870</v>
      </c>
      <c r="X57" s="9" t="s">
        <v>979</v>
      </c>
      <c r="Y57" s="1">
        <v>14</v>
      </c>
      <c r="Z57" s="1">
        <v>15</v>
      </c>
      <c r="AA57" s="3">
        <f t="shared" si="0"/>
        <v>0.93333333333333335</v>
      </c>
      <c r="AB57" s="11">
        <v>0.1284346791226797</v>
      </c>
      <c r="AC57" s="11">
        <v>7.3695658680161008E-2</v>
      </c>
      <c r="AD57" s="10">
        <v>1</v>
      </c>
      <c r="AE57" s="9" t="s">
        <v>41</v>
      </c>
      <c r="AF57" s="9" t="s">
        <v>35</v>
      </c>
    </row>
    <row r="58" spans="1:32" x14ac:dyDescent="0.25">
      <c r="A58" s="9" t="s">
        <v>544</v>
      </c>
      <c r="B58" s="1" t="s">
        <v>490</v>
      </c>
      <c r="C58" s="1" t="s">
        <v>815</v>
      </c>
      <c r="D58" s="10">
        <v>2</v>
      </c>
      <c r="E58" s="10">
        <v>2009</v>
      </c>
      <c r="F58" s="9" t="s">
        <v>28</v>
      </c>
      <c r="G58" s="9" t="s">
        <v>29</v>
      </c>
      <c r="H58" s="1">
        <v>32</v>
      </c>
      <c r="I58" s="1">
        <v>7</v>
      </c>
      <c r="J58" s="9" t="s">
        <v>39</v>
      </c>
      <c r="K58" s="1">
        <v>0</v>
      </c>
      <c r="L58" s="10">
        <v>10</v>
      </c>
      <c r="M58" s="3">
        <v>0.23400000000000001</v>
      </c>
      <c r="N58" s="11">
        <v>9.9276246615111099E-2</v>
      </c>
      <c r="O58" t="s">
        <v>63</v>
      </c>
      <c r="P58" s="11">
        <v>0.23841701736237089</v>
      </c>
      <c r="Q58" s="11">
        <v>0.1428571428571429</v>
      </c>
      <c r="R58">
        <v>0.25258587613786537</v>
      </c>
      <c r="S58">
        <v>9.7385682497673265E-2</v>
      </c>
      <c r="T58" s="9" t="s">
        <v>40</v>
      </c>
      <c r="U58" s="9" t="s">
        <v>31</v>
      </c>
      <c r="V58" s="9" t="s">
        <v>305</v>
      </c>
      <c r="W58" s="9" t="s">
        <v>30</v>
      </c>
      <c r="X58" s="9" t="s">
        <v>393</v>
      </c>
      <c r="Y58" s="1">
        <v>16</v>
      </c>
      <c r="Z58" s="1">
        <v>15</v>
      </c>
      <c r="AA58" s="3">
        <f t="shared" si="0"/>
        <v>1.0666666666666667</v>
      </c>
      <c r="AB58" s="11">
        <v>0.22010593187377059</v>
      </c>
      <c r="AC58" s="11">
        <v>0.32548583056458219</v>
      </c>
      <c r="AD58" s="10">
        <v>0</v>
      </c>
      <c r="AE58" s="9" t="s">
        <v>34</v>
      </c>
      <c r="AF58" s="9" t="s">
        <v>63</v>
      </c>
    </row>
    <row r="59" spans="1:32" x14ac:dyDescent="0.25">
      <c r="A59" s="9" t="s">
        <v>544</v>
      </c>
      <c r="B59" s="1" t="s">
        <v>491</v>
      </c>
      <c r="C59" s="1" t="s">
        <v>816</v>
      </c>
      <c r="D59" s="10">
        <v>2</v>
      </c>
      <c r="E59" s="10">
        <v>2009</v>
      </c>
      <c r="F59" s="9" t="s">
        <v>38</v>
      </c>
      <c r="G59" s="9" t="s">
        <v>29</v>
      </c>
      <c r="H59" s="1">
        <v>33</v>
      </c>
      <c r="I59" s="1">
        <v>7</v>
      </c>
      <c r="J59" s="9" t="s">
        <v>39</v>
      </c>
      <c r="K59" s="1">
        <v>0</v>
      </c>
      <c r="L59" s="10">
        <v>25</v>
      </c>
      <c r="M59" s="3">
        <v>0.23699999999999999</v>
      </c>
      <c r="N59" s="11">
        <v>3.7117373190041672E-2</v>
      </c>
      <c r="O59" t="s">
        <v>63</v>
      </c>
      <c r="P59" s="11">
        <v>0.2415931705540155</v>
      </c>
      <c r="Q59" s="11">
        <v>4.5454545454545463E-2</v>
      </c>
      <c r="R59">
        <v>0.24235226381825531</v>
      </c>
      <c r="S59">
        <v>3.6915854833532512E-2</v>
      </c>
      <c r="T59" s="9" t="s">
        <v>40</v>
      </c>
      <c r="U59" s="9" t="s">
        <v>31</v>
      </c>
      <c r="V59" s="9" t="s">
        <v>305</v>
      </c>
      <c r="W59" s="9" t="s">
        <v>30</v>
      </c>
      <c r="X59" s="9" t="s">
        <v>393</v>
      </c>
      <c r="Y59" s="1">
        <v>16</v>
      </c>
      <c r="Z59" s="1">
        <v>15</v>
      </c>
      <c r="AA59" s="3">
        <f t="shared" si="0"/>
        <v>1.0666666666666667</v>
      </c>
      <c r="AB59" s="11">
        <v>0.22294700466260209</v>
      </c>
      <c r="AC59" s="11">
        <v>0.19186711070275561</v>
      </c>
      <c r="AD59" s="10">
        <v>0</v>
      </c>
      <c r="AE59" s="9" t="s">
        <v>34</v>
      </c>
      <c r="AF59" s="9" t="s">
        <v>63</v>
      </c>
    </row>
    <row r="60" spans="1:32" x14ac:dyDescent="0.25">
      <c r="A60" s="9" t="s">
        <v>544</v>
      </c>
      <c r="B60" s="1" t="s">
        <v>492</v>
      </c>
      <c r="C60" s="1" t="s">
        <v>817</v>
      </c>
      <c r="D60" s="10">
        <v>2</v>
      </c>
      <c r="E60" s="10">
        <v>2009</v>
      </c>
      <c r="F60" s="9" t="s">
        <v>28</v>
      </c>
      <c r="G60" s="9" t="s">
        <v>29</v>
      </c>
      <c r="H60" s="1">
        <v>32</v>
      </c>
      <c r="I60" s="1">
        <v>5</v>
      </c>
      <c r="J60" s="9" t="s">
        <v>39</v>
      </c>
      <c r="K60" s="1">
        <v>0</v>
      </c>
      <c r="L60" s="10">
        <v>13</v>
      </c>
      <c r="M60" s="3">
        <v>0.157</v>
      </c>
      <c r="N60" s="11">
        <v>7.9275797766749992E-2</v>
      </c>
      <c r="O60" t="s">
        <v>63</v>
      </c>
      <c r="P60" s="11">
        <v>0.1583093845959106</v>
      </c>
      <c r="Q60" s="11">
        <v>0.1</v>
      </c>
      <c r="R60">
        <v>0.16566131676039161</v>
      </c>
      <c r="S60">
        <v>7.8822150948681488E-2</v>
      </c>
      <c r="T60" s="9" t="s">
        <v>40</v>
      </c>
      <c r="U60" s="9" t="s">
        <v>31</v>
      </c>
      <c r="V60" s="9" t="s">
        <v>305</v>
      </c>
      <c r="W60" s="9" t="s">
        <v>30</v>
      </c>
      <c r="X60" s="9" t="s">
        <v>393</v>
      </c>
      <c r="Y60" s="1">
        <v>17</v>
      </c>
      <c r="Z60" s="1">
        <v>15</v>
      </c>
      <c r="AA60" s="3">
        <f t="shared" si="0"/>
        <v>1.1333333333333333</v>
      </c>
      <c r="AB60" s="11">
        <v>0.138909055182735</v>
      </c>
      <c r="AC60" s="11">
        <v>0.26490622495579558</v>
      </c>
      <c r="AD60" s="10">
        <v>0</v>
      </c>
      <c r="AE60" s="9" t="s">
        <v>34</v>
      </c>
      <c r="AF60" s="9" t="s">
        <v>63</v>
      </c>
    </row>
    <row r="61" spans="1:32" x14ac:dyDescent="0.25">
      <c r="A61" s="9" t="s">
        <v>854</v>
      </c>
      <c r="B61" s="1" t="s">
        <v>1063</v>
      </c>
      <c r="C61" s="1" t="s">
        <v>818</v>
      </c>
      <c r="D61" s="10">
        <v>2</v>
      </c>
      <c r="E61" s="10">
        <v>2010</v>
      </c>
      <c r="F61" s="9" t="s">
        <v>38</v>
      </c>
      <c r="G61" s="9" t="s">
        <v>54</v>
      </c>
      <c r="H61" s="1">
        <v>11.4</v>
      </c>
      <c r="I61" s="1" t="s">
        <v>31</v>
      </c>
      <c r="J61" s="9" t="s">
        <v>30</v>
      </c>
      <c r="K61" s="1">
        <v>0.52</v>
      </c>
      <c r="L61" s="10">
        <v>142</v>
      </c>
      <c r="M61" s="3">
        <v>0.42</v>
      </c>
      <c r="N61" s="11">
        <v>4.8107585815602844E-3</v>
      </c>
      <c r="O61">
        <v>140</v>
      </c>
      <c r="P61" s="11">
        <v>0.44769202352742071</v>
      </c>
      <c r="Q61" s="11">
        <v>7.1942446043165471E-3</v>
      </c>
      <c r="R61">
        <v>0.42125192008167939</v>
      </c>
      <c r="S61">
        <v>4.7984629135342629E-3</v>
      </c>
      <c r="T61" s="9" t="s">
        <v>40</v>
      </c>
      <c r="U61" s="9" t="s">
        <v>50</v>
      </c>
      <c r="V61" s="9" t="s">
        <v>305</v>
      </c>
      <c r="W61" s="9" t="s">
        <v>30</v>
      </c>
      <c r="X61" s="9" t="s">
        <v>312</v>
      </c>
      <c r="Y61" s="1">
        <v>11.5</v>
      </c>
      <c r="Z61" s="1">
        <v>15</v>
      </c>
      <c r="AA61" s="3">
        <f t="shared" si="0"/>
        <v>0.76666666666666672</v>
      </c>
      <c r="AB61" s="11">
        <v>0.51679098014993474</v>
      </c>
      <c r="AC61" s="11">
        <v>8.3985481750554508E-2</v>
      </c>
      <c r="AD61" s="10">
        <v>2</v>
      </c>
      <c r="AE61" s="9" t="s">
        <v>41</v>
      </c>
      <c r="AF61" s="9" t="s">
        <v>35</v>
      </c>
    </row>
    <row r="62" spans="1:32" x14ac:dyDescent="0.25">
      <c r="A62" s="9" t="s">
        <v>545</v>
      </c>
      <c r="B62" s="1" t="s">
        <v>495</v>
      </c>
      <c r="C62" s="1" t="s">
        <v>819</v>
      </c>
      <c r="D62" s="10">
        <v>2</v>
      </c>
      <c r="E62" s="10">
        <v>2010</v>
      </c>
      <c r="F62" s="9" t="s">
        <v>28</v>
      </c>
      <c r="G62" s="9" t="s">
        <v>29</v>
      </c>
      <c r="H62" s="1">
        <v>36.090000000000003</v>
      </c>
      <c r="I62" s="1" t="s">
        <v>31</v>
      </c>
      <c r="J62" s="9" t="s">
        <v>30</v>
      </c>
      <c r="K62" s="1">
        <v>0.35</v>
      </c>
      <c r="L62" s="10">
        <v>77</v>
      </c>
      <c r="M62" s="3">
        <v>8.8999999999999996E-2</v>
      </c>
      <c r="N62" s="11">
        <v>1.2950272924223689E-2</v>
      </c>
      <c r="O62" t="s">
        <v>63</v>
      </c>
      <c r="P62" s="11">
        <v>8.9236112836501069E-2</v>
      </c>
      <c r="Q62" s="11">
        <v>1.3513513513513511E-2</v>
      </c>
      <c r="R62">
        <v>8.9606664857917198E-2</v>
      </c>
      <c r="S62">
        <v>1.294744423365728E-2</v>
      </c>
      <c r="T62" s="9" t="s">
        <v>40</v>
      </c>
      <c r="U62" s="9" t="s">
        <v>31</v>
      </c>
      <c r="V62" s="9" t="s">
        <v>305</v>
      </c>
      <c r="W62" s="9" t="s">
        <v>30</v>
      </c>
      <c r="X62" s="9" t="s">
        <v>310</v>
      </c>
      <c r="Y62" s="1" t="s">
        <v>31</v>
      </c>
      <c r="Z62" s="1" t="s">
        <v>31</v>
      </c>
      <c r="AA62" s="3" t="s">
        <v>31</v>
      </c>
      <c r="AB62" s="11" t="s">
        <v>31</v>
      </c>
      <c r="AC62" s="11" t="s">
        <v>31</v>
      </c>
      <c r="AD62" s="10">
        <v>0</v>
      </c>
      <c r="AE62" s="9" t="s">
        <v>34</v>
      </c>
      <c r="AF62" s="9" t="s">
        <v>63</v>
      </c>
    </row>
    <row r="63" spans="1:32" x14ac:dyDescent="0.25">
      <c r="A63" s="9" t="s">
        <v>545</v>
      </c>
      <c r="B63" s="1" t="s">
        <v>494</v>
      </c>
      <c r="C63" s="1" t="s">
        <v>820</v>
      </c>
      <c r="D63" s="10">
        <v>2</v>
      </c>
      <c r="E63" s="10">
        <v>2010</v>
      </c>
      <c r="F63" s="9" t="s">
        <v>38</v>
      </c>
      <c r="G63" s="9" t="s">
        <v>29</v>
      </c>
      <c r="H63" s="1">
        <v>33.340000000000003</v>
      </c>
      <c r="I63" s="1">
        <v>12.6</v>
      </c>
      <c r="J63" s="9" t="s">
        <v>30</v>
      </c>
      <c r="K63" s="1">
        <v>0.42</v>
      </c>
      <c r="L63" s="10">
        <v>67</v>
      </c>
      <c r="M63" s="3">
        <v>0.33200000000000002</v>
      </c>
      <c r="N63" s="11">
        <v>1.199547469963636E-2</v>
      </c>
      <c r="O63" t="s">
        <v>63</v>
      </c>
      <c r="P63" s="11">
        <v>0.34507433878184451</v>
      </c>
      <c r="Q63" s="11">
        <v>1.5625E-2</v>
      </c>
      <c r="R63">
        <v>0.33434420987168623</v>
      </c>
      <c r="S63">
        <v>1.1953394239030409E-2</v>
      </c>
      <c r="T63" s="9" t="s">
        <v>40</v>
      </c>
      <c r="U63" s="9" t="s">
        <v>31</v>
      </c>
      <c r="V63" s="9" t="s">
        <v>305</v>
      </c>
      <c r="W63" s="9" t="s">
        <v>30</v>
      </c>
      <c r="X63" s="9" t="s">
        <v>310</v>
      </c>
      <c r="Y63" s="1" t="s">
        <v>31</v>
      </c>
      <c r="Z63" s="1" t="s">
        <v>31</v>
      </c>
      <c r="AA63" s="3" t="s">
        <v>31</v>
      </c>
      <c r="AB63" s="11" t="s">
        <v>31</v>
      </c>
      <c r="AC63" s="11" t="s">
        <v>31</v>
      </c>
      <c r="AD63" s="10">
        <v>0</v>
      </c>
      <c r="AE63" s="9" t="s">
        <v>34</v>
      </c>
      <c r="AF63" s="9" t="s">
        <v>63</v>
      </c>
    </row>
    <row r="64" spans="1:32" x14ac:dyDescent="0.25">
      <c r="A64" s="9" t="s">
        <v>546</v>
      </c>
      <c r="B64" s="1" t="s">
        <v>497</v>
      </c>
      <c r="C64" s="1" t="s">
        <v>821</v>
      </c>
      <c r="D64" s="10">
        <v>2</v>
      </c>
      <c r="E64" s="10">
        <v>2010</v>
      </c>
      <c r="F64" s="9" t="s">
        <v>38</v>
      </c>
      <c r="G64" s="9" t="s">
        <v>54</v>
      </c>
      <c r="H64" s="1">
        <v>15.75</v>
      </c>
      <c r="I64" s="1">
        <v>1.1299999999999999</v>
      </c>
      <c r="J64" s="9" t="s">
        <v>39</v>
      </c>
      <c r="K64" s="1">
        <v>0</v>
      </c>
      <c r="L64" s="10">
        <v>24</v>
      </c>
      <c r="M64" s="3">
        <v>0</v>
      </c>
      <c r="N64" s="11">
        <v>4.3478260869565223E-2</v>
      </c>
      <c r="O64" t="s">
        <v>63</v>
      </c>
      <c r="P64" s="11">
        <v>0</v>
      </c>
      <c r="Q64" s="11">
        <v>4.7619047619047623E-2</v>
      </c>
      <c r="R64">
        <v>0</v>
      </c>
      <c r="S64">
        <v>4.3478260869565223E-2</v>
      </c>
      <c r="T64" s="9" t="s">
        <v>40</v>
      </c>
      <c r="U64" s="9" t="s">
        <v>50</v>
      </c>
      <c r="V64" s="9" t="s">
        <v>305</v>
      </c>
      <c r="W64" s="9" t="s">
        <v>30</v>
      </c>
      <c r="X64" s="9" t="s">
        <v>395</v>
      </c>
      <c r="Y64" s="1">
        <v>13</v>
      </c>
      <c r="Z64" s="1">
        <v>15</v>
      </c>
      <c r="AA64" s="3">
        <f t="shared" si="0"/>
        <v>0.8666666666666667</v>
      </c>
      <c r="AB64" s="11">
        <v>0</v>
      </c>
      <c r="AC64" s="11" t="s">
        <v>31</v>
      </c>
      <c r="AD64" s="10">
        <v>4</v>
      </c>
      <c r="AE64" s="9" t="s">
        <v>34</v>
      </c>
      <c r="AF64" s="9" t="s">
        <v>63</v>
      </c>
    </row>
    <row r="65" spans="1:32" x14ac:dyDescent="0.25">
      <c r="A65" s="9" t="s">
        <v>546</v>
      </c>
      <c r="B65" s="1" t="s">
        <v>981</v>
      </c>
      <c r="C65" s="1" t="s">
        <v>822</v>
      </c>
      <c r="D65" s="10">
        <v>2</v>
      </c>
      <c r="E65" s="10">
        <v>2010</v>
      </c>
      <c r="F65" s="9" t="s">
        <v>38</v>
      </c>
      <c r="G65" s="9" t="s">
        <v>54</v>
      </c>
      <c r="H65" s="1">
        <v>15.75</v>
      </c>
      <c r="I65" s="1">
        <v>1.1299999999999999</v>
      </c>
      <c r="J65" s="9" t="s">
        <v>43</v>
      </c>
      <c r="K65" s="1">
        <v>1</v>
      </c>
      <c r="L65" s="10">
        <v>26</v>
      </c>
      <c r="M65" s="3">
        <v>0.187</v>
      </c>
      <c r="N65" s="11">
        <v>3.7251393238439998E-2</v>
      </c>
      <c r="O65">
        <v>360</v>
      </c>
      <c r="P65" s="11">
        <v>0.1892266425309288</v>
      </c>
      <c r="Q65" s="11">
        <v>4.3478260869565223E-2</v>
      </c>
      <c r="R65">
        <v>0.19113065765839679</v>
      </c>
      <c r="S65">
        <v>3.7130906085134918E-2</v>
      </c>
      <c r="T65" s="9" t="s">
        <v>40</v>
      </c>
      <c r="U65" s="9" t="s">
        <v>50</v>
      </c>
      <c r="V65" s="9" t="s">
        <v>305</v>
      </c>
      <c r="W65" s="9" t="s">
        <v>30</v>
      </c>
      <c r="X65" s="9" t="s">
        <v>395</v>
      </c>
      <c r="Y65" s="1">
        <v>14.8</v>
      </c>
      <c r="Z65" s="1">
        <v>15</v>
      </c>
      <c r="AA65" s="3">
        <f t="shared" si="0"/>
        <v>0.98666666666666669</v>
      </c>
      <c r="AB65" s="11">
        <v>0.18943692440896959</v>
      </c>
      <c r="AC65" s="11">
        <v>0.20294343499163109</v>
      </c>
      <c r="AD65" s="10">
        <v>4</v>
      </c>
      <c r="AE65" s="9" t="s">
        <v>34</v>
      </c>
      <c r="AF65" s="9" t="s">
        <v>35</v>
      </c>
    </row>
    <row r="66" spans="1:32" x14ac:dyDescent="0.25">
      <c r="A66" s="9" t="s">
        <v>548</v>
      </c>
      <c r="B66" s="1" t="s">
        <v>984</v>
      </c>
      <c r="C66" s="1" t="s">
        <v>823</v>
      </c>
      <c r="D66" s="10">
        <v>2</v>
      </c>
      <c r="E66" s="10">
        <v>2010</v>
      </c>
      <c r="F66" s="9" t="s">
        <v>38</v>
      </c>
      <c r="G66" s="9" t="s">
        <v>54</v>
      </c>
      <c r="H66" s="1">
        <v>11.8</v>
      </c>
      <c r="I66" s="1">
        <v>3.8</v>
      </c>
      <c r="J66" s="9" t="s">
        <v>30</v>
      </c>
      <c r="K66" s="1">
        <v>0.48</v>
      </c>
      <c r="L66" s="10">
        <v>649</v>
      </c>
      <c r="M66" s="3">
        <v>0.14000000000000001</v>
      </c>
      <c r="N66" s="11">
        <v>1.4833088888888889E-3</v>
      </c>
      <c r="O66">
        <v>132</v>
      </c>
      <c r="P66" s="11">
        <v>0.14092557607049391</v>
      </c>
      <c r="Q66" s="11">
        <v>1.5479876160990711E-3</v>
      </c>
      <c r="R66">
        <v>0.1401064339080523</v>
      </c>
      <c r="S66">
        <v>1.4832186788681799E-3</v>
      </c>
      <c r="T66" s="9" t="s">
        <v>40</v>
      </c>
      <c r="U66" s="9" t="s">
        <v>50</v>
      </c>
      <c r="V66" s="9" t="s">
        <v>305</v>
      </c>
      <c r="W66" s="9" t="s">
        <v>30</v>
      </c>
      <c r="X66" s="9" t="s">
        <v>390</v>
      </c>
      <c r="Y66" s="1" t="s">
        <v>31</v>
      </c>
      <c r="Z66" s="1" t="s">
        <v>31</v>
      </c>
      <c r="AA66" s="3" t="s">
        <v>31</v>
      </c>
      <c r="AB66" s="11" t="s">
        <v>31</v>
      </c>
      <c r="AC66" s="11" t="s">
        <v>31</v>
      </c>
      <c r="AD66" s="10">
        <v>0</v>
      </c>
      <c r="AE66" s="9" t="s">
        <v>41</v>
      </c>
      <c r="AF66" s="9" t="s">
        <v>35</v>
      </c>
    </row>
    <row r="67" spans="1:32" x14ac:dyDescent="0.25">
      <c r="A67" s="9" t="s">
        <v>255</v>
      </c>
      <c r="B67" s="1" t="s">
        <v>992</v>
      </c>
      <c r="C67" s="1" t="s">
        <v>824</v>
      </c>
      <c r="D67" s="10">
        <v>2</v>
      </c>
      <c r="E67" s="10">
        <v>2012</v>
      </c>
      <c r="F67" s="9" t="s">
        <v>38</v>
      </c>
      <c r="G67" s="9" t="s">
        <v>54</v>
      </c>
      <c r="H67" s="1">
        <v>15.1</v>
      </c>
      <c r="I67" s="1">
        <v>0.75</v>
      </c>
      <c r="J67" s="9" t="s">
        <v>43</v>
      </c>
      <c r="K67" s="1">
        <v>1</v>
      </c>
      <c r="L67" s="10">
        <v>30</v>
      </c>
      <c r="M67" s="3">
        <v>0.34</v>
      </c>
      <c r="N67" s="11">
        <v>2.6971150344827589E-2</v>
      </c>
      <c r="O67">
        <v>1060</v>
      </c>
      <c r="P67" s="11">
        <v>0.35409252896224302</v>
      </c>
      <c r="Q67" s="11">
        <v>3.7037037037037042E-2</v>
      </c>
      <c r="R67">
        <v>0.34577500725214738</v>
      </c>
      <c r="S67">
        <v>2.673013680553004E-2</v>
      </c>
      <c r="T67" s="9" t="s">
        <v>40</v>
      </c>
      <c r="U67" s="9" t="s">
        <v>50</v>
      </c>
      <c r="V67" s="9" t="s">
        <v>305</v>
      </c>
      <c r="W67" s="9" t="s">
        <v>30</v>
      </c>
      <c r="X67" s="9" t="s">
        <v>312</v>
      </c>
      <c r="Y67" s="1">
        <v>13.84</v>
      </c>
      <c r="Z67" s="1">
        <v>15</v>
      </c>
      <c r="AA67" s="3">
        <f t="shared" si="0"/>
        <v>0.92266666666666663</v>
      </c>
      <c r="AB67" s="11">
        <v>0.36483250852279808</v>
      </c>
      <c r="AC67" s="11">
        <v>0.18692993299121341</v>
      </c>
      <c r="AD67" s="10">
        <v>0</v>
      </c>
      <c r="AE67" s="9" t="s">
        <v>34</v>
      </c>
      <c r="AF67" s="9" t="s">
        <v>35</v>
      </c>
    </row>
    <row r="68" spans="1:32" x14ac:dyDescent="0.25">
      <c r="A68" s="9" t="s">
        <v>313</v>
      </c>
      <c r="B68" s="1" t="s">
        <v>848</v>
      </c>
      <c r="C68" s="1" t="s">
        <v>825</v>
      </c>
      <c r="D68" s="10">
        <v>3</v>
      </c>
      <c r="E68" s="10">
        <v>2013</v>
      </c>
      <c r="F68" s="9" t="s">
        <v>28</v>
      </c>
      <c r="G68" s="9" t="s">
        <v>54</v>
      </c>
      <c r="H68" s="1">
        <v>10.66</v>
      </c>
      <c r="I68" s="1">
        <v>1.64</v>
      </c>
      <c r="J68" s="9" t="s">
        <v>30</v>
      </c>
      <c r="K68" s="1">
        <v>0.57999999999999996</v>
      </c>
      <c r="L68" s="10">
        <v>47</v>
      </c>
      <c r="M68" s="3">
        <v>0</v>
      </c>
      <c r="N68" s="11">
        <v>2.1739130434782612E-2</v>
      </c>
      <c r="O68">
        <v>447</v>
      </c>
      <c r="P68" s="11">
        <v>0</v>
      </c>
      <c r="Q68" s="11">
        <v>2.2727272727272731E-2</v>
      </c>
      <c r="R68">
        <v>0</v>
      </c>
      <c r="S68">
        <v>2.1739130434782612E-2</v>
      </c>
      <c r="T68" s="9" t="s">
        <v>40</v>
      </c>
      <c r="U68" s="9" t="s">
        <v>50</v>
      </c>
      <c r="V68" s="9" t="s">
        <v>305</v>
      </c>
      <c r="W68" s="9" t="s">
        <v>870</v>
      </c>
      <c r="X68" s="9" t="s">
        <v>397</v>
      </c>
      <c r="Y68" s="1">
        <v>14.8</v>
      </c>
      <c r="Z68" s="1">
        <v>15</v>
      </c>
      <c r="AA68" s="3">
        <f t="shared" ref="AA68:AA109" si="1">Y68/Z68</f>
        <v>0.98666666666666669</v>
      </c>
      <c r="AB68" s="11">
        <v>0</v>
      </c>
      <c r="AC68" s="11" t="s">
        <v>31</v>
      </c>
      <c r="AD68" s="10">
        <v>0</v>
      </c>
      <c r="AE68" s="9" t="s">
        <v>34</v>
      </c>
      <c r="AF68" s="9" t="s">
        <v>35</v>
      </c>
    </row>
    <row r="69" spans="1:32" x14ac:dyDescent="0.25">
      <c r="A69" s="9" t="s">
        <v>313</v>
      </c>
      <c r="B69" s="1" t="s">
        <v>848</v>
      </c>
      <c r="C69" s="1" t="s">
        <v>826</v>
      </c>
      <c r="D69" s="10">
        <v>3</v>
      </c>
      <c r="E69" s="10">
        <v>2013</v>
      </c>
      <c r="F69" s="9" t="s">
        <v>28</v>
      </c>
      <c r="G69" s="9" t="s">
        <v>54</v>
      </c>
      <c r="H69" s="1">
        <v>10.67</v>
      </c>
      <c r="I69" s="1">
        <v>1.42</v>
      </c>
      <c r="J69" s="9" t="s">
        <v>30</v>
      </c>
      <c r="K69" s="1">
        <v>0.68</v>
      </c>
      <c r="L69" s="10">
        <v>32</v>
      </c>
      <c r="M69" s="3">
        <v>0</v>
      </c>
      <c r="N69" s="11">
        <v>3.2258064516129031E-2</v>
      </c>
      <c r="O69">
        <v>447</v>
      </c>
      <c r="P69" s="11">
        <v>0</v>
      </c>
      <c r="Q69" s="11">
        <v>3.4482758620689662E-2</v>
      </c>
      <c r="R69">
        <v>0</v>
      </c>
      <c r="S69">
        <v>3.2258064516129031E-2</v>
      </c>
      <c r="T69" s="9" t="s">
        <v>40</v>
      </c>
      <c r="U69" s="9" t="s">
        <v>50</v>
      </c>
      <c r="V69" s="9" t="s">
        <v>305</v>
      </c>
      <c r="W69" s="9" t="s">
        <v>870</v>
      </c>
      <c r="X69" s="9" t="s">
        <v>397</v>
      </c>
      <c r="Y69" s="1">
        <v>12.11</v>
      </c>
      <c r="Z69" s="1">
        <v>15</v>
      </c>
      <c r="AA69" s="3">
        <f t="shared" si="1"/>
        <v>0.80733333333333335</v>
      </c>
      <c r="AB69" s="11">
        <v>0</v>
      </c>
      <c r="AC69" s="11" t="s">
        <v>31</v>
      </c>
      <c r="AD69" s="10">
        <v>0</v>
      </c>
      <c r="AE69" s="9" t="s">
        <v>34</v>
      </c>
      <c r="AF69" s="9" t="s">
        <v>35</v>
      </c>
    </row>
    <row r="70" spans="1:32" x14ac:dyDescent="0.25">
      <c r="A70" s="9" t="s">
        <v>313</v>
      </c>
      <c r="B70" s="1" t="s">
        <v>848</v>
      </c>
      <c r="C70" s="1" t="s">
        <v>827</v>
      </c>
      <c r="D70" s="10">
        <v>3</v>
      </c>
      <c r="E70" s="10">
        <v>2013</v>
      </c>
      <c r="F70" s="9" t="s">
        <v>28</v>
      </c>
      <c r="G70" s="9" t="s">
        <v>54</v>
      </c>
      <c r="H70" s="1">
        <v>10.14</v>
      </c>
      <c r="I70" s="1">
        <v>1.52</v>
      </c>
      <c r="J70" s="9" t="s">
        <v>30</v>
      </c>
      <c r="K70" s="1">
        <v>0.57999999999999996</v>
      </c>
      <c r="L70" s="10">
        <v>27</v>
      </c>
      <c r="M70" s="3">
        <v>0</v>
      </c>
      <c r="N70" s="11">
        <v>3.8461538461538457E-2</v>
      </c>
      <c r="O70">
        <v>447</v>
      </c>
      <c r="P70" s="11">
        <v>0</v>
      </c>
      <c r="Q70" s="11">
        <v>4.1666666666666657E-2</v>
      </c>
      <c r="R70">
        <v>0</v>
      </c>
      <c r="S70">
        <v>3.8461538461538457E-2</v>
      </c>
      <c r="T70" s="9" t="s">
        <v>40</v>
      </c>
      <c r="U70" s="9" t="s">
        <v>50</v>
      </c>
      <c r="V70" s="9" t="s">
        <v>305</v>
      </c>
      <c r="W70" s="9" t="s">
        <v>870</v>
      </c>
      <c r="X70" s="9" t="s">
        <v>397</v>
      </c>
      <c r="Y70" s="1">
        <v>12.16</v>
      </c>
      <c r="Z70" s="1">
        <v>15</v>
      </c>
      <c r="AA70" s="3">
        <f t="shared" si="1"/>
        <v>0.81066666666666665</v>
      </c>
      <c r="AB70" s="11">
        <v>0</v>
      </c>
      <c r="AC70" s="11" t="s">
        <v>31</v>
      </c>
      <c r="AD70" s="10">
        <v>0</v>
      </c>
      <c r="AE70" s="9" t="s">
        <v>34</v>
      </c>
      <c r="AF70" s="9" t="s">
        <v>35</v>
      </c>
    </row>
    <row r="71" spans="1:32" x14ac:dyDescent="0.25">
      <c r="A71" s="9" t="s">
        <v>259</v>
      </c>
      <c r="B71" s="1" t="s">
        <v>496</v>
      </c>
      <c r="C71" s="1" t="s">
        <v>828</v>
      </c>
      <c r="D71" s="10">
        <v>3</v>
      </c>
      <c r="E71" s="10">
        <v>2013</v>
      </c>
      <c r="F71" s="9" t="s">
        <v>38</v>
      </c>
      <c r="G71" s="9" t="s">
        <v>29</v>
      </c>
      <c r="H71" s="1">
        <v>72.47</v>
      </c>
      <c r="I71" s="1">
        <v>0.73</v>
      </c>
      <c r="J71" s="9" t="s">
        <v>39</v>
      </c>
      <c r="K71" s="1">
        <v>1</v>
      </c>
      <c r="L71" s="10">
        <v>293</v>
      </c>
      <c r="M71" s="3">
        <v>0.25</v>
      </c>
      <c r="N71" s="11">
        <v>3.009952910958904E-3</v>
      </c>
      <c r="O71">
        <v>2729</v>
      </c>
      <c r="P71" s="11">
        <v>0.25541281188299542</v>
      </c>
      <c r="Q71" s="11">
        <v>3.4482758620689659E-3</v>
      </c>
      <c r="R71">
        <v>0.25040564451204778</v>
      </c>
      <c r="S71">
        <v>3.0086496265311329E-3</v>
      </c>
      <c r="T71" s="9" t="s">
        <v>40</v>
      </c>
      <c r="U71" s="9" t="s">
        <v>50</v>
      </c>
      <c r="V71" s="9" t="s">
        <v>305</v>
      </c>
      <c r="W71" s="9" t="s">
        <v>869</v>
      </c>
      <c r="X71" s="9" t="s">
        <v>894</v>
      </c>
      <c r="Y71" s="1" t="s">
        <v>31</v>
      </c>
      <c r="Z71" s="1" t="s">
        <v>31</v>
      </c>
      <c r="AA71" s="3" t="s">
        <v>31</v>
      </c>
      <c r="AB71" s="11" t="s">
        <v>31</v>
      </c>
      <c r="AC71" s="11" t="s">
        <v>31</v>
      </c>
      <c r="AD71" s="10">
        <v>0</v>
      </c>
      <c r="AE71" s="9" t="s">
        <v>41</v>
      </c>
      <c r="AF71" s="9" t="s">
        <v>35</v>
      </c>
    </row>
    <row r="72" spans="1:32" x14ac:dyDescent="0.25">
      <c r="A72" s="9" t="s">
        <v>259</v>
      </c>
      <c r="B72" s="1" t="s">
        <v>496</v>
      </c>
      <c r="C72" s="1" t="s">
        <v>829</v>
      </c>
      <c r="D72" s="10">
        <v>3</v>
      </c>
      <c r="E72" s="10">
        <v>2013</v>
      </c>
      <c r="F72" s="9" t="s">
        <v>38</v>
      </c>
      <c r="G72" s="9" t="s">
        <v>29</v>
      </c>
      <c r="H72" s="1">
        <v>72.599999999999994</v>
      </c>
      <c r="I72" s="1">
        <v>0.7</v>
      </c>
      <c r="J72" s="9" t="s">
        <v>43</v>
      </c>
      <c r="K72" s="1">
        <v>0</v>
      </c>
      <c r="L72" s="10">
        <v>327</v>
      </c>
      <c r="M72" s="3">
        <v>0.25</v>
      </c>
      <c r="N72" s="11">
        <v>2.6960314417177919E-3</v>
      </c>
      <c r="O72">
        <v>2729</v>
      </c>
      <c r="P72" s="11">
        <v>0.25541281188299542</v>
      </c>
      <c r="Q72" s="11">
        <v>3.08641975308642E-3</v>
      </c>
      <c r="R72">
        <v>0.2503629309991352</v>
      </c>
      <c r="S72">
        <v>2.694987080346331E-3</v>
      </c>
      <c r="T72" s="9" t="s">
        <v>40</v>
      </c>
      <c r="U72" s="9" t="s">
        <v>50</v>
      </c>
      <c r="V72" s="9" t="s">
        <v>305</v>
      </c>
      <c r="W72" s="9" t="s">
        <v>869</v>
      </c>
      <c r="X72" s="9" t="s">
        <v>894</v>
      </c>
      <c r="Y72" s="1" t="s">
        <v>31</v>
      </c>
      <c r="Z72" s="1" t="s">
        <v>31</v>
      </c>
      <c r="AA72" s="3" t="s">
        <v>31</v>
      </c>
      <c r="AB72" s="11" t="s">
        <v>31</v>
      </c>
      <c r="AC72" s="11" t="s">
        <v>31</v>
      </c>
      <c r="AD72" s="10">
        <v>0</v>
      </c>
      <c r="AE72" s="9" t="s">
        <v>41</v>
      </c>
      <c r="AF72" s="9" t="s">
        <v>35</v>
      </c>
    </row>
    <row r="73" spans="1:32" x14ac:dyDescent="0.25">
      <c r="A73" s="9" t="s">
        <v>259</v>
      </c>
      <c r="B73" s="1" t="s">
        <v>496</v>
      </c>
      <c r="C73" s="1" t="s">
        <v>830</v>
      </c>
      <c r="D73" s="10">
        <v>3</v>
      </c>
      <c r="E73" s="10">
        <v>2013</v>
      </c>
      <c r="F73" s="9" t="s">
        <v>38</v>
      </c>
      <c r="G73" s="9" t="s">
        <v>29</v>
      </c>
      <c r="H73" s="1">
        <v>72.47</v>
      </c>
      <c r="I73" s="1">
        <v>0.73</v>
      </c>
      <c r="J73" s="9" t="s">
        <v>39</v>
      </c>
      <c r="K73" s="1">
        <v>1</v>
      </c>
      <c r="L73" s="10">
        <v>293</v>
      </c>
      <c r="M73" s="3">
        <v>0.14000000000000001</v>
      </c>
      <c r="N73" s="11">
        <v>3.291726575342466E-3</v>
      </c>
      <c r="O73">
        <v>2729</v>
      </c>
      <c r="P73" s="11">
        <v>0.14092557607049391</v>
      </c>
      <c r="Q73" s="11">
        <v>3.4482758620689659E-3</v>
      </c>
      <c r="R73">
        <v>0.14023763567282899</v>
      </c>
      <c r="S73">
        <v>3.291279404176057E-3</v>
      </c>
      <c r="T73" s="9" t="s">
        <v>40</v>
      </c>
      <c r="U73" s="9" t="s">
        <v>50</v>
      </c>
      <c r="V73" s="9" t="s">
        <v>305</v>
      </c>
      <c r="W73" s="9" t="s">
        <v>869</v>
      </c>
      <c r="X73" s="9" t="s">
        <v>895</v>
      </c>
      <c r="Y73" s="1" t="s">
        <v>31</v>
      </c>
      <c r="Z73" s="1" t="s">
        <v>31</v>
      </c>
      <c r="AA73" s="3" t="s">
        <v>31</v>
      </c>
      <c r="AB73" s="11" t="s">
        <v>31</v>
      </c>
      <c r="AC73" s="11" t="s">
        <v>31</v>
      </c>
      <c r="AD73" s="10">
        <v>0</v>
      </c>
      <c r="AE73" s="9" t="s">
        <v>41</v>
      </c>
      <c r="AF73" s="9" t="s">
        <v>35</v>
      </c>
    </row>
    <row r="74" spans="1:32" x14ac:dyDescent="0.25">
      <c r="A74" s="9" t="s">
        <v>259</v>
      </c>
      <c r="B74" s="1" t="s">
        <v>496</v>
      </c>
      <c r="C74" s="1" t="s">
        <v>831</v>
      </c>
      <c r="D74" s="10">
        <v>3</v>
      </c>
      <c r="E74" s="10">
        <v>2013</v>
      </c>
      <c r="F74" s="9" t="s">
        <v>38</v>
      </c>
      <c r="G74" s="9" t="s">
        <v>29</v>
      </c>
      <c r="H74" s="1">
        <v>72.599999999999994</v>
      </c>
      <c r="I74" s="1">
        <v>0.7</v>
      </c>
      <c r="J74" s="9" t="s">
        <v>43</v>
      </c>
      <c r="K74" s="1">
        <v>0</v>
      </c>
      <c r="L74" s="10">
        <v>327</v>
      </c>
      <c r="M74" s="3">
        <v>0.18</v>
      </c>
      <c r="N74" s="11">
        <v>2.8719317791411039E-3</v>
      </c>
      <c r="O74">
        <v>2729</v>
      </c>
      <c r="P74" s="11">
        <v>0.18198268860070571</v>
      </c>
      <c r="Q74" s="11">
        <v>3.08641975308642E-3</v>
      </c>
      <c r="R74">
        <v>0.18026975699350381</v>
      </c>
      <c r="S74">
        <v>2.8713548971734701E-3</v>
      </c>
      <c r="T74" s="9" t="s">
        <v>40</v>
      </c>
      <c r="U74" s="9" t="s">
        <v>50</v>
      </c>
      <c r="V74" s="9" t="s">
        <v>305</v>
      </c>
      <c r="W74" s="9" t="s">
        <v>869</v>
      </c>
      <c r="X74" s="9" t="s">
        <v>895</v>
      </c>
      <c r="Y74" s="1" t="s">
        <v>31</v>
      </c>
      <c r="Z74" s="1" t="s">
        <v>31</v>
      </c>
      <c r="AA74" s="3" t="s">
        <v>31</v>
      </c>
      <c r="AB74" s="11" t="s">
        <v>31</v>
      </c>
      <c r="AC74" s="11" t="s">
        <v>31</v>
      </c>
      <c r="AD74" s="10">
        <v>0</v>
      </c>
      <c r="AE74" s="9" t="s">
        <v>41</v>
      </c>
      <c r="AF74" s="9" t="s">
        <v>35</v>
      </c>
    </row>
    <row r="75" spans="1:32" x14ac:dyDescent="0.25">
      <c r="A75" s="9" t="s">
        <v>259</v>
      </c>
      <c r="B75" s="1" t="s">
        <v>496</v>
      </c>
      <c r="C75" s="1" t="s">
        <v>832</v>
      </c>
      <c r="D75" s="10">
        <v>3</v>
      </c>
      <c r="E75" s="10">
        <v>2013</v>
      </c>
      <c r="F75" s="9" t="s">
        <v>38</v>
      </c>
      <c r="G75" s="9" t="s">
        <v>29</v>
      </c>
      <c r="H75" s="1">
        <v>72.47</v>
      </c>
      <c r="I75" s="1">
        <v>0.73</v>
      </c>
      <c r="J75" s="9" t="s">
        <v>39</v>
      </c>
      <c r="K75" s="1">
        <v>1</v>
      </c>
      <c r="L75" s="10">
        <v>293</v>
      </c>
      <c r="M75" s="3">
        <v>0.22</v>
      </c>
      <c r="N75" s="11">
        <v>3.101173150684932E-3</v>
      </c>
      <c r="O75">
        <v>2729</v>
      </c>
      <c r="P75" s="11">
        <v>0.22365610902183239</v>
      </c>
      <c r="Q75" s="11">
        <v>3.4482758620689659E-3</v>
      </c>
      <c r="R75">
        <v>0.22036237597578531</v>
      </c>
      <c r="S75">
        <v>3.100133147268268E-3</v>
      </c>
      <c r="T75" s="9" t="s">
        <v>40</v>
      </c>
      <c r="U75" s="9" t="s">
        <v>50</v>
      </c>
      <c r="V75" s="9" t="s">
        <v>305</v>
      </c>
      <c r="W75" s="9" t="s">
        <v>870</v>
      </c>
      <c r="X75" s="9" t="s">
        <v>876</v>
      </c>
      <c r="Y75" s="1" t="s">
        <v>31</v>
      </c>
      <c r="Z75" s="1" t="s">
        <v>31</v>
      </c>
      <c r="AA75" s="3" t="s">
        <v>31</v>
      </c>
      <c r="AB75" s="11" t="s">
        <v>31</v>
      </c>
      <c r="AC75" s="11" t="s">
        <v>31</v>
      </c>
      <c r="AD75" s="10">
        <v>0</v>
      </c>
      <c r="AE75" s="9" t="s">
        <v>41</v>
      </c>
      <c r="AF75" s="9" t="s">
        <v>35</v>
      </c>
    </row>
    <row r="76" spans="1:32" x14ac:dyDescent="0.25">
      <c r="A76" s="9" t="s">
        <v>259</v>
      </c>
      <c r="B76" s="1" t="s">
        <v>496</v>
      </c>
      <c r="C76" s="1" t="s">
        <v>833</v>
      </c>
      <c r="D76" s="10">
        <v>3</v>
      </c>
      <c r="E76" s="10">
        <v>2013</v>
      </c>
      <c r="F76" s="9" t="s">
        <v>38</v>
      </c>
      <c r="G76" s="9" t="s">
        <v>29</v>
      </c>
      <c r="H76" s="1">
        <v>72.599999999999994</v>
      </c>
      <c r="I76" s="1">
        <v>0.7</v>
      </c>
      <c r="J76" s="9" t="s">
        <v>43</v>
      </c>
      <c r="K76" s="1">
        <v>0</v>
      </c>
      <c r="L76" s="10">
        <v>327</v>
      </c>
      <c r="M76" s="3">
        <v>0.33</v>
      </c>
      <c r="N76" s="11">
        <v>2.4357644478527609E-3</v>
      </c>
      <c r="O76">
        <v>2729</v>
      </c>
      <c r="P76" s="11">
        <v>0.34282825441539388</v>
      </c>
      <c r="Q76" s="11">
        <v>3.08641975308642E-3</v>
      </c>
      <c r="R76">
        <v>0.3304552103312518</v>
      </c>
      <c r="S76">
        <v>2.4341211319764832E-3</v>
      </c>
      <c r="T76" s="9" t="s">
        <v>40</v>
      </c>
      <c r="U76" s="9" t="s">
        <v>50</v>
      </c>
      <c r="V76" s="9" t="s">
        <v>305</v>
      </c>
      <c r="W76" s="9" t="s">
        <v>870</v>
      </c>
      <c r="X76" s="9" t="s">
        <v>876</v>
      </c>
      <c r="Y76" s="1" t="s">
        <v>31</v>
      </c>
      <c r="Z76" s="1" t="s">
        <v>31</v>
      </c>
      <c r="AA76" s="3" t="s">
        <v>31</v>
      </c>
      <c r="AB76" s="11" t="s">
        <v>31</v>
      </c>
      <c r="AC76" s="11" t="s">
        <v>31</v>
      </c>
      <c r="AD76" s="10">
        <v>0</v>
      </c>
      <c r="AE76" s="9" t="s">
        <v>41</v>
      </c>
      <c r="AF76" s="9" t="s">
        <v>35</v>
      </c>
    </row>
    <row r="77" spans="1:32" x14ac:dyDescent="0.25">
      <c r="A77" s="9" t="s">
        <v>259</v>
      </c>
      <c r="B77" s="1" t="s">
        <v>496</v>
      </c>
      <c r="C77" s="1" t="s">
        <v>834</v>
      </c>
      <c r="D77" s="10">
        <v>3</v>
      </c>
      <c r="E77" s="10">
        <v>2013</v>
      </c>
      <c r="F77" s="9" t="s">
        <v>38</v>
      </c>
      <c r="G77" s="9" t="s">
        <v>29</v>
      </c>
      <c r="H77" s="1">
        <v>72.47</v>
      </c>
      <c r="I77" s="1">
        <v>0.73</v>
      </c>
      <c r="J77" s="9" t="s">
        <v>39</v>
      </c>
      <c r="K77" s="1">
        <v>1</v>
      </c>
      <c r="L77" s="10">
        <v>293</v>
      </c>
      <c r="M77" s="3">
        <v>0.17</v>
      </c>
      <c r="N77" s="11">
        <v>3.2295726369863009E-3</v>
      </c>
      <c r="O77">
        <v>2729</v>
      </c>
      <c r="P77" s="11">
        <v>0.1716666635005791</v>
      </c>
      <c r="Q77" s="11">
        <v>3.4482758620689659E-3</v>
      </c>
      <c r="R77">
        <v>0.17028579953376641</v>
      </c>
      <c r="S77">
        <v>3.228925800226577E-3</v>
      </c>
      <c r="T77" s="9" t="s">
        <v>40</v>
      </c>
      <c r="U77" s="9" t="s">
        <v>50</v>
      </c>
      <c r="V77" s="9" t="s">
        <v>305</v>
      </c>
      <c r="W77" s="9" t="s">
        <v>870</v>
      </c>
      <c r="X77" s="9" t="s">
        <v>896</v>
      </c>
      <c r="Y77" s="1" t="s">
        <v>31</v>
      </c>
      <c r="Z77" s="1" t="s">
        <v>31</v>
      </c>
      <c r="AA77" s="3" t="s">
        <v>31</v>
      </c>
      <c r="AB77" s="11" t="s">
        <v>31</v>
      </c>
      <c r="AC77" s="11" t="s">
        <v>31</v>
      </c>
      <c r="AD77" s="10">
        <v>0</v>
      </c>
      <c r="AE77" s="9" t="s">
        <v>41</v>
      </c>
      <c r="AF77" s="9" t="s">
        <v>35</v>
      </c>
    </row>
    <row r="78" spans="1:32" x14ac:dyDescent="0.25">
      <c r="A78" s="9" t="s">
        <v>259</v>
      </c>
      <c r="B78" s="1" t="s">
        <v>496</v>
      </c>
      <c r="C78" s="1" t="s">
        <v>835</v>
      </c>
      <c r="D78" s="10">
        <v>3</v>
      </c>
      <c r="E78" s="10">
        <v>2013</v>
      </c>
      <c r="F78" s="9" t="s">
        <v>38</v>
      </c>
      <c r="G78" s="9" t="s">
        <v>29</v>
      </c>
      <c r="H78" s="1">
        <v>72.599999999999994</v>
      </c>
      <c r="I78" s="1">
        <v>0.7</v>
      </c>
      <c r="J78" s="9" t="s">
        <v>43</v>
      </c>
      <c r="K78" s="1">
        <v>0</v>
      </c>
      <c r="L78" s="10">
        <v>327</v>
      </c>
      <c r="M78" s="3">
        <v>0.34</v>
      </c>
      <c r="N78" s="11">
        <v>2.399274110429448E-3</v>
      </c>
      <c r="O78">
        <v>2729</v>
      </c>
      <c r="P78" s="11">
        <v>0.35409252896224302</v>
      </c>
      <c r="Q78" s="11">
        <v>3.08641975308642E-3</v>
      </c>
      <c r="R78">
        <v>0.34046545641502768</v>
      </c>
      <c r="S78">
        <v>2.3975559312189058E-3</v>
      </c>
      <c r="T78" s="9" t="s">
        <v>40</v>
      </c>
      <c r="U78" s="9" t="s">
        <v>50</v>
      </c>
      <c r="V78" s="9" t="s">
        <v>305</v>
      </c>
      <c r="W78" s="9" t="s">
        <v>870</v>
      </c>
      <c r="X78" s="9" t="s">
        <v>896</v>
      </c>
      <c r="Y78" s="1" t="s">
        <v>31</v>
      </c>
      <c r="Z78" s="1" t="s">
        <v>31</v>
      </c>
      <c r="AA78" s="3" t="s">
        <v>31</v>
      </c>
      <c r="AB78" s="11" t="s">
        <v>31</v>
      </c>
      <c r="AC78" s="11" t="s">
        <v>31</v>
      </c>
      <c r="AD78" s="10">
        <v>0</v>
      </c>
      <c r="AE78" s="9" t="s">
        <v>41</v>
      </c>
      <c r="AF78" s="9" t="s">
        <v>35</v>
      </c>
    </row>
    <row r="79" spans="1:32" x14ac:dyDescent="0.25">
      <c r="A79" s="9" t="s">
        <v>551</v>
      </c>
      <c r="B79" s="1" t="s">
        <v>995</v>
      </c>
      <c r="C79" s="1" t="s">
        <v>836</v>
      </c>
      <c r="D79" s="10">
        <v>3</v>
      </c>
      <c r="E79" s="10">
        <v>2013</v>
      </c>
      <c r="F79" s="9" t="s">
        <v>28</v>
      </c>
      <c r="G79" s="9" t="s">
        <v>54</v>
      </c>
      <c r="H79" s="1">
        <v>14.6</v>
      </c>
      <c r="I79" s="1">
        <v>4.2</v>
      </c>
      <c r="J79" s="9" t="s">
        <v>30</v>
      </c>
      <c r="K79" s="1">
        <v>0.49</v>
      </c>
      <c r="L79" s="10">
        <v>108</v>
      </c>
      <c r="M79" s="3">
        <v>0.21</v>
      </c>
      <c r="N79" s="11">
        <v>8.5396711214953264E-3</v>
      </c>
      <c r="O79">
        <v>696</v>
      </c>
      <c r="P79" s="11">
        <v>0.21317134656485981</v>
      </c>
      <c r="Q79" s="11">
        <v>9.5238095238095247E-3</v>
      </c>
      <c r="R79">
        <v>0.2109664599496914</v>
      </c>
      <c r="S79">
        <v>8.5324034112372396E-3</v>
      </c>
      <c r="T79" s="9" t="s">
        <v>40</v>
      </c>
      <c r="U79" s="9" t="s">
        <v>50</v>
      </c>
      <c r="V79" s="9" t="s">
        <v>305</v>
      </c>
      <c r="W79" s="9" t="s">
        <v>869</v>
      </c>
      <c r="X79" s="9" t="s">
        <v>396</v>
      </c>
      <c r="Y79" s="1">
        <v>18.7</v>
      </c>
      <c r="Z79" s="1">
        <v>15</v>
      </c>
      <c r="AA79" s="3">
        <f t="shared" si="1"/>
        <v>1.2466666666666666</v>
      </c>
      <c r="AB79" s="11">
        <v>0.16978944583346761</v>
      </c>
      <c r="AC79" s="11">
        <v>7.8006031045540963E-2</v>
      </c>
      <c r="AD79" s="10">
        <v>0</v>
      </c>
      <c r="AE79" s="9" t="s">
        <v>41</v>
      </c>
      <c r="AF79" s="9" t="s">
        <v>35</v>
      </c>
    </row>
    <row r="80" spans="1:32" x14ac:dyDescent="0.25">
      <c r="A80" s="9" t="s">
        <v>551</v>
      </c>
      <c r="B80" s="1" t="s">
        <v>994</v>
      </c>
      <c r="C80" s="1" t="s">
        <v>837</v>
      </c>
      <c r="D80" s="10">
        <v>3</v>
      </c>
      <c r="E80" s="10">
        <v>2013</v>
      </c>
      <c r="F80" s="9" t="s">
        <v>38</v>
      </c>
      <c r="G80" s="9" t="s">
        <v>54</v>
      </c>
      <c r="H80" s="1">
        <v>14.9</v>
      </c>
      <c r="I80" s="1">
        <v>3.2</v>
      </c>
      <c r="J80" s="9" t="s">
        <v>30</v>
      </c>
      <c r="K80" s="1">
        <v>0.53</v>
      </c>
      <c r="L80" s="10">
        <v>36</v>
      </c>
      <c r="M80" s="3">
        <v>0.3</v>
      </c>
      <c r="N80" s="11">
        <v>2.366E-2</v>
      </c>
      <c r="O80">
        <v>696</v>
      </c>
      <c r="P80" s="11">
        <v>0.30951960420311181</v>
      </c>
      <c r="Q80" s="11">
        <v>3.03030303030303E-2</v>
      </c>
      <c r="R80">
        <v>0.3042697123088357</v>
      </c>
      <c r="S80">
        <v>2.3526027184300729E-2</v>
      </c>
      <c r="T80" s="9" t="s">
        <v>40</v>
      </c>
      <c r="U80" s="9" t="s">
        <v>50</v>
      </c>
      <c r="V80" s="9" t="s">
        <v>305</v>
      </c>
      <c r="W80" s="9" t="s">
        <v>869</v>
      </c>
      <c r="X80" s="9" t="s">
        <v>396</v>
      </c>
      <c r="Y80" s="1">
        <v>15.1</v>
      </c>
      <c r="Z80" s="1">
        <v>15</v>
      </c>
      <c r="AA80" s="3">
        <f t="shared" si="1"/>
        <v>1.0066666666666666</v>
      </c>
      <c r="AB80" s="11">
        <v>0.29819043857244709</v>
      </c>
      <c r="AC80" s="11">
        <v>0.16280584444002899</v>
      </c>
      <c r="AD80" s="10">
        <v>0</v>
      </c>
      <c r="AE80" s="9" t="s">
        <v>41</v>
      </c>
      <c r="AF80" s="9" t="s">
        <v>35</v>
      </c>
    </row>
    <row r="81" spans="1:32" x14ac:dyDescent="0.25">
      <c r="A81" s="9" t="s">
        <v>551</v>
      </c>
      <c r="B81" s="1" t="s">
        <v>995</v>
      </c>
      <c r="C81" s="1" t="s">
        <v>838</v>
      </c>
      <c r="D81" s="10">
        <v>3</v>
      </c>
      <c r="E81" s="10">
        <v>2013</v>
      </c>
      <c r="F81" s="9" t="s">
        <v>28</v>
      </c>
      <c r="G81" s="9" t="s">
        <v>54</v>
      </c>
      <c r="H81" s="1">
        <v>14.6</v>
      </c>
      <c r="I81" s="1">
        <v>4.2</v>
      </c>
      <c r="J81" s="9" t="s">
        <v>30</v>
      </c>
      <c r="K81" s="1">
        <v>0.49</v>
      </c>
      <c r="L81" s="10">
        <v>108</v>
      </c>
      <c r="M81" s="3">
        <v>0.09</v>
      </c>
      <c r="N81" s="11">
        <v>9.1950057009345804E-3</v>
      </c>
      <c r="O81">
        <v>696</v>
      </c>
      <c r="P81" s="11">
        <v>9.024418785614681E-2</v>
      </c>
      <c r="Q81" s="11">
        <v>9.5238095238095247E-3</v>
      </c>
      <c r="R81">
        <v>9.0430137306691874E-2</v>
      </c>
      <c r="S81">
        <v>9.1935668582648223E-3</v>
      </c>
      <c r="T81" s="9" t="s">
        <v>40</v>
      </c>
      <c r="U81" s="9" t="s">
        <v>50</v>
      </c>
      <c r="V81" s="9" t="s">
        <v>305</v>
      </c>
      <c r="W81" s="9" t="s">
        <v>870</v>
      </c>
      <c r="X81" s="9" t="s">
        <v>897</v>
      </c>
      <c r="Y81" s="1">
        <v>16.3</v>
      </c>
      <c r="Z81" s="1">
        <v>15</v>
      </c>
      <c r="AA81" s="3">
        <f t="shared" si="1"/>
        <v>1.0866666666666667</v>
      </c>
      <c r="AB81" s="11">
        <v>8.2873504218203539E-2</v>
      </c>
      <c r="AC81" s="11">
        <v>8.9185301250763016E-2</v>
      </c>
      <c r="AD81" s="10">
        <v>0</v>
      </c>
      <c r="AE81" s="9" t="s">
        <v>41</v>
      </c>
      <c r="AF81" s="9" t="s">
        <v>35</v>
      </c>
    </row>
    <row r="82" spans="1:32" x14ac:dyDescent="0.25">
      <c r="A82" s="9" t="s">
        <v>551</v>
      </c>
      <c r="B82" s="1" t="s">
        <v>994</v>
      </c>
      <c r="C82" s="1" t="s">
        <v>839</v>
      </c>
      <c r="D82" s="10">
        <v>3</v>
      </c>
      <c r="E82" s="10">
        <v>2013</v>
      </c>
      <c r="F82" s="9" t="s">
        <v>38</v>
      </c>
      <c r="G82" s="9" t="s">
        <v>54</v>
      </c>
      <c r="H82" s="1">
        <v>14.9</v>
      </c>
      <c r="I82" s="1">
        <v>3.2</v>
      </c>
      <c r="J82" s="9" t="s">
        <v>30</v>
      </c>
      <c r="K82" s="1">
        <v>0.53</v>
      </c>
      <c r="L82" s="10">
        <v>36</v>
      </c>
      <c r="M82" s="3">
        <v>-0.12</v>
      </c>
      <c r="N82" s="11">
        <v>2.7754496E-2</v>
      </c>
      <c r="O82">
        <v>696</v>
      </c>
      <c r="P82" s="11">
        <v>-0.1205810284084441</v>
      </c>
      <c r="Q82" s="11">
        <v>3.03030303030303E-2</v>
      </c>
      <c r="R82">
        <v>-0.1218601957242859</v>
      </c>
      <c r="S82">
        <v>2.7729163004084411E-2</v>
      </c>
      <c r="T82" s="9" t="s">
        <v>40</v>
      </c>
      <c r="U82" s="9" t="s">
        <v>50</v>
      </c>
      <c r="V82" s="9" t="s">
        <v>305</v>
      </c>
      <c r="W82" s="9" t="s">
        <v>870</v>
      </c>
      <c r="X82" s="9" t="s">
        <v>897</v>
      </c>
      <c r="Y82" s="1">
        <v>12.6</v>
      </c>
      <c r="Z82" s="1">
        <v>15</v>
      </c>
      <c r="AA82" s="3">
        <f t="shared" si="1"/>
        <v>0.84</v>
      </c>
      <c r="AB82" s="11">
        <v>-0.14242991252936241</v>
      </c>
      <c r="AC82" s="11">
        <v>0.2008765984342242</v>
      </c>
      <c r="AD82" s="10">
        <v>0</v>
      </c>
      <c r="AE82" s="9" t="s">
        <v>41</v>
      </c>
      <c r="AF82" s="9" t="s">
        <v>35</v>
      </c>
    </row>
    <row r="83" spans="1:32" x14ac:dyDescent="0.25">
      <c r="A83" s="9" t="s">
        <v>552</v>
      </c>
      <c r="B83" s="1" t="s">
        <v>997</v>
      </c>
      <c r="C83" s="1" t="s">
        <v>840</v>
      </c>
      <c r="D83" s="10">
        <v>3</v>
      </c>
      <c r="E83" s="10">
        <v>2014</v>
      </c>
      <c r="F83" s="9" t="s">
        <v>28</v>
      </c>
      <c r="G83" s="9" t="s">
        <v>29</v>
      </c>
      <c r="H83" s="1">
        <v>20.3</v>
      </c>
      <c r="I83" s="1">
        <v>0.99</v>
      </c>
      <c r="J83" s="9" t="s">
        <v>30</v>
      </c>
      <c r="K83" s="1">
        <v>0.41</v>
      </c>
      <c r="L83" s="10">
        <v>43</v>
      </c>
      <c r="M83" s="3">
        <v>0.47799999999999998</v>
      </c>
      <c r="N83" s="11">
        <v>1.417230805371429E-2</v>
      </c>
      <c r="O83">
        <v>584</v>
      </c>
      <c r="P83" s="11">
        <v>0.52038875681275421</v>
      </c>
      <c r="Q83" s="11">
        <v>2.5000000000000001E-2</v>
      </c>
      <c r="R83">
        <v>0.4826934041306099</v>
      </c>
      <c r="S83">
        <v>1.400713945480947E-2</v>
      </c>
      <c r="T83" s="9" t="s">
        <v>40</v>
      </c>
      <c r="U83" s="9" t="s">
        <v>46</v>
      </c>
      <c r="V83" s="9" t="s">
        <v>305</v>
      </c>
      <c r="W83" s="9" t="s">
        <v>869</v>
      </c>
      <c r="X83" s="9" t="s">
        <v>398</v>
      </c>
      <c r="Y83" s="1">
        <v>16.04</v>
      </c>
      <c r="Z83" s="1">
        <v>15</v>
      </c>
      <c r="AA83" s="3">
        <f t="shared" si="1"/>
        <v>1.0693333333333332</v>
      </c>
      <c r="AB83" s="11">
        <v>0.45355610088531612</v>
      </c>
      <c r="AC83" s="11">
        <v>0.13400348695592221</v>
      </c>
      <c r="AD83" s="10">
        <v>2</v>
      </c>
      <c r="AE83" s="9" t="s">
        <v>41</v>
      </c>
      <c r="AF83" s="9" t="s">
        <v>35</v>
      </c>
    </row>
    <row r="84" spans="1:32" x14ac:dyDescent="0.25">
      <c r="A84" s="9" t="s">
        <v>552</v>
      </c>
      <c r="B84" s="1" t="s">
        <v>997</v>
      </c>
      <c r="C84" s="1" t="s">
        <v>841</v>
      </c>
      <c r="D84" s="10">
        <v>3</v>
      </c>
      <c r="E84" s="10">
        <v>2014</v>
      </c>
      <c r="F84" s="9" t="s">
        <v>28</v>
      </c>
      <c r="G84" s="9" t="s">
        <v>29</v>
      </c>
      <c r="H84" s="1">
        <v>20.3</v>
      </c>
      <c r="I84" s="1">
        <v>0.99</v>
      </c>
      <c r="J84" s="9" t="s">
        <v>30</v>
      </c>
      <c r="K84" s="1">
        <v>0.41</v>
      </c>
      <c r="L84" s="10">
        <v>43</v>
      </c>
      <c r="M84" s="3">
        <v>0.48</v>
      </c>
      <c r="N84" s="11">
        <v>1.4102003809523809E-2</v>
      </c>
      <c r="O84">
        <v>584</v>
      </c>
      <c r="P84" s="11">
        <v>0.5229842775913438</v>
      </c>
      <c r="Q84" s="11">
        <v>2.5000000000000001E-2</v>
      </c>
      <c r="R84">
        <v>0.4847008094763362</v>
      </c>
      <c r="S84">
        <v>1.3936301093799289E-2</v>
      </c>
      <c r="T84" s="9" t="s">
        <v>40</v>
      </c>
      <c r="U84" s="9" t="s">
        <v>46</v>
      </c>
      <c r="V84" s="9" t="s">
        <v>305</v>
      </c>
      <c r="W84" s="9" t="s">
        <v>870</v>
      </c>
      <c r="X84" s="9" t="s">
        <v>980</v>
      </c>
      <c r="Y84" s="1" t="s">
        <v>31</v>
      </c>
      <c r="Z84" s="1" t="s">
        <v>31</v>
      </c>
      <c r="AA84" s="3" t="s">
        <v>31</v>
      </c>
      <c r="AB84" s="11" t="s">
        <v>31</v>
      </c>
      <c r="AC84" s="11" t="s">
        <v>31</v>
      </c>
      <c r="AD84" s="10">
        <v>2</v>
      </c>
      <c r="AE84" s="9" t="s">
        <v>41</v>
      </c>
      <c r="AF84" s="9" t="s">
        <v>35</v>
      </c>
    </row>
    <row r="85" spans="1:32" x14ac:dyDescent="0.25">
      <c r="A85" s="9" t="s">
        <v>555</v>
      </c>
      <c r="B85" s="1" t="s">
        <v>498</v>
      </c>
      <c r="C85" s="1" t="s">
        <v>842</v>
      </c>
      <c r="D85" s="10">
        <v>3</v>
      </c>
      <c r="E85" s="10">
        <v>2014</v>
      </c>
      <c r="F85" s="9" t="s">
        <v>38</v>
      </c>
      <c r="G85" s="9" t="s">
        <v>54</v>
      </c>
      <c r="H85" s="1">
        <v>11.6</v>
      </c>
      <c r="I85" s="1">
        <v>3.6</v>
      </c>
      <c r="J85" s="9" t="s">
        <v>43</v>
      </c>
      <c r="K85" s="1">
        <v>1</v>
      </c>
      <c r="L85" s="10">
        <v>142</v>
      </c>
      <c r="M85" s="3">
        <v>0.28899999999999998</v>
      </c>
      <c r="N85" s="11">
        <v>5.95697700312766E-3</v>
      </c>
      <c r="O85">
        <v>57</v>
      </c>
      <c r="P85" s="11">
        <v>0.29747478656797322</v>
      </c>
      <c r="Q85" s="11">
        <v>7.1942446043165471E-3</v>
      </c>
      <c r="R85">
        <v>0.28996005287484822</v>
      </c>
      <c r="S85">
        <v>5.9497535404045548E-3</v>
      </c>
      <c r="T85" s="9" t="s">
        <v>40</v>
      </c>
      <c r="U85" s="9" t="s">
        <v>50</v>
      </c>
      <c r="V85" s="9" t="s">
        <v>305</v>
      </c>
      <c r="W85" s="9" t="s">
        <v>30</v>
      </c>
      <c r="X85" s="9" t="s">
        <v>390</v>
      </c>
      <c r="Y85" s="1">
        <v>12.78</v>
      </c>
      <c r="Z85" s="1">
        <v>15</v>
      </c>
      <c r="AA85" s="3">
        <f t="shared" si="1"/>
        <v>0.85199999999999998</v>
      </c>
      <c r="AB85" s="11">
        <v>0.33397646301028672</v>
      </c>
      <c r="AC85" s="11">
        <v>9.0642209929603104E-2</v>
      </c>
      <c r="AD85" s="10">
        <v>0</v>
      </c>
      <c r="AE85" s="9" t="s">
        <v>34</v>
      </c>
      <c r="AF85" s="9" t="s">
        <v>35</v>
      </c>
    </row>
    <row r="86" spans="1:32" x14ac:dyDescent="0.25">
      <c r="A86" s="9" t="s">
        <v>555</v>
      </c>
      <c r="B86" s="1" t="s">
        <v>499</v>
      </c>
      <c r="C86" s="1" t="s">
        <v>1069</v>
      </c>
      <c r="D86" s="10">
        <v>3</v>
      </c>
      <c r="E86" s="10">
        <v>2014</v>
      </c>
      <c r="F86" s="9" t="s">
        <v>38</v>
      </c>
      <c r="G86" s="9" t="s">
        <v>54</v>
      </c>
      <c r="H86" s="1">
        <v>11.3</v>
      </c>
      <c r="I86" s="1">
        <v>3.5</v>
      </c>
      <c r="J86" s="9" t="s">
        <v>39</v>
      </c>
      <c r="K86" s="1">
        <v>0</v>
      </c>
      <c r="L86" s="10">
        <v>161</v>
      </c>
      <c r="M86" s="3">
        <v>0.185</v>
      </c>
      <c r="N86" s="11">
        <v>5.8295084414062507E-3</v>
      </c>
      <c r="O86">
        <v>57</v>
      </c>
      <c r="P86" s="11">
        <v>0.1871549701641845</v>
      </c>
      <c r="Q86" s="11">
        <v>6.3291139240506328E-3</v>
      </c>
      <c r="R86">
        <v>0.18556962770336599</v>
      </c>
      <c r="S86">
        <v>5.8269604413566656E-3</v>
      </c>
      <c r="T86" s="9" t="s">
        <v>40</v>
      </c>
      <c r="U86" s="9" t="s">
        <v>50</v>
      </c>
      <c r="V86" s="9" t="s">
        <v>305</v>
      </c>
      <c r="W86" s="9" t="s">
        <v>30</v>
      </c>
      <c r="X86" s="9" t="s">
        <v>390</v>
      </c>
      <c r="Y86" s="1">
        <v>12.58</v>
      </c>
      <c r="Z86" s="1">
        <v>15</v>
      </c>
      <c r="AA86" s="3">
        <f t="shared" si="1"/>
        <v>0.83866666666666667</v>
      </c>
      <c r="AB86" s="11">
        <v>0.21901326102191501</v>
      </c>
      <c r="AC86" s="11">
        <v>9.095241422887286E-2</v>
      </c>
      <c r="AD86" s="10">
        <v>0</v>
      </c>
      <c r="AE86" s="9" t="s">
        <v>34</v>
      </c>
      <c r="AF86" s="9" t="s">
        <v>35</v>
      </c>
    </row>
    <row r="87" spans="1:32" x14ac:dyDescent="0.25">
      <c r="A87" s="9" t="s">
        <v>559</v>
      </c>
      <c r="B87" s="1" t="s">
        <v>731</v>
      </c>
      <c r="C87" s="1" t="s">
        <v>1070</v>
      </c>
      <c r="D87" s="10">
        <v>3</v>
      </c>
      <c r="E87" s="10">
        <v>2015</v>
      </c>
      <c r="F87" s="9" t="s">
        <v>38</v>
      </c>
      <c r="G87" s="9" t="s">
        <v>29</v>
      </c>
      <c r="H87" s="1">
        <v>26.2</v>
      </c>
      <c r="I87" s="1">
        <v>5</v>
      </c>
      <c r="J87" s="9" t="s">
        <v>30</v>
      </c>
      <c r="K87" s="1">
        <v>0.51</v>
      </c>
      <c r="L87" s="10">
        <v>285</v>
      </c>
      <c r="M87" s="3">
        <v>0.3</v>
      </c>
      <c r="N87" s="11">
        <v>2.9158450704225348E-3</v>
      </c>
      <c r="O87">
        <v>1415</v>
      </c>
      <c r="P87" s="11">
        <v>0.30951960420311181</v>
      </c>
      <c r="Q87" s="11">
        <v>3.5460992907801422E-3</v>
      </c>
      <c r="R87">
        <v>0.30048584401700218</v>
      </c>
      <c r="S87">
        <v>2.9139757529798218E-3</v>
      </c>
      <c r="T87" s="9" t="s">
        <v>40</v>
      </c>
      <c r="U87" s="9" t="s">
        <v>50</v>
      </c>
      <c r="V87" s="9" t="s">
        <v>305</v>
      </c>
      <c r="W87" s="9" t="s">
        <v>869</v>
      </c>
      <c r="X87" s="9" t="s">
        <v>399</v>
      </c>
      <c r="Y87" s="1">
        <v>13.18</v>
      </c>
      <c r="Z87" s="1">
        <v>15</v>
      </c>
      <c r="AA87" s="3">
        <f t="shared" si="1"/>
        <v>0.8786666666666666</v>
      </c>
      <c r="AB87" s="11">
        <v>0.33697865964584273</v>
      </c>
      <c r="AC87" s="11">
        <v>6.2046774868319943E-2</v>
      </c>
      <c r="AD87" s="10">
        <v>2</v>
      </c>
      <c r="AE87" s="9" t="s">
        <v>34</v>
      </c>
      <c r="AF87" s="9" t="s">
        <v>35</v>
      </c>
    </row>
    <row r="88" spans="1:32" x14ac:dyDescent="0.25">
      <c r="A88" s="9" t="s">
        <v>559</v>
      </c>
      <c r="B88" s="1" t="s">
        <v>733</v>
      </c>
      <c r="C88" s="1" t="s">
        <v>1071</v>
      </c>
      <c r="D88" s="10">
        <v>3</v>
      </c>
      <c r="E88" s="10">
        <v>2015</v>
      </c>
      <c r="F88" s="9" t="s">
        <v>38</v>
      </c>
      <c r="G88" s="9" t="s">
        <v>29</v>
      </c>
      <c r="H88" s="1">
        <v>21.7</v>
      </c>
      <c r="I88" s="1">
        <v>2.9</v>
      </c>
      <c r="J88" s="9" t="s">
        <v>30</v>
      </c>
      <c r="K88" s="1">
        <v>0.54</v>
      </c>
      <c r="L88" s="10">
        <v>125</v>
      </c>
      <c r="M88" s="3">
        <v>0.04</v>
      </c>
      <c r="N88" s="11">
        <v>8.0387303225806436E-3</v>
      </c>
      <c r="O88">
        <v>1415</v>
      </c>
      <c r="P88" s="11">
        <v>4.0021353836768282E-2</v>
      </c>
      <c r="Q88" s="11">
        <v>8.1967213114754103E-3</v>
      </c>
      <c r="R88">
        <v>4.0165359331861453E-2</v>
      </c>
      <c r="S88">
        <v>8.0385168581830462E-3</v>
      </c>
      <c r="T88" s="9" t="s">
        <v>40</v>
      </c>
      <c r="U88" s="9" t="s">
        <v>50</v>
      </c>
      <c r="V88" s="9" t="s">
        <v>305</v>
      </c>
      <c r="W88" s="9" t="s">
        <v>30</v>
      </c>
      <c r="X88" s="9" t="s">
        <v>390</v>
      </c>
      <c r="Y88" s="1">
        <v>13.76</v>
      </c>
      <c r="Z88" s="1">
        <v>15</v>
      </c>
      <c r="AA88" s="3">
        <f t="shared" si="1"/>
        <v>0.91733333333333333</v>
      </c>
      <c r="AB88" s="11">
        <v>4.3598082176507041E-2</v>
      </c>
      <c r="AC88" s="11">
        <v>9.8169428573993994E-2</v>
      </c>
      <c r="AD88" s="10">
        <v>2</v>
      </c>
      <c r="AE88" s="9" t="s">
        <v>34</v>
      </c>
      <c r="AF88" s="9" t="s">
        <v>35</v>
      </c>
    </row>
    <row r="89" spans="1:32" x14ac:dyDescent="0.25">
      <c r="A89" s="9" t="s">
        <v>559</v>
      </c>
      <c r="B89" s="1" t="s">
        <v>732</v>
      </c>
      <c r="C89" s="1" t="s">
        <v>1072</v>
      </c>
      <c r="D89" s="10">
        <v>3</v>
      </c>
      <c r="E89" s="10">
        <v>2015</v>
      </c>
      <c r="F89" s="9" t="s">
        <v>38</v>
      </c>
      <c r="G89" s="9" t="s">
        <v>29</v>
      </c>
      <c r="H89" s="1">
        <v>23.5</v>
      </c>
      <c r="I89" s="1">
        <v>5.0999999999999996</v>
      </c>
      <c r="J89" s="9" t="s">
        <v>43</v>
      </c>
      <c r="K89" s="1">
        <v>1</v>
      </c>
      <c r="L89" s="10">
        <v>107</v>
      </c>
      <c r="M89" s="3">
        <v>0.04</v>
      </c>
      <c r="N89" s="11">
        <v>9.4037977358490555E-3</v>
      </c>
      <c r="O89">
        <v>1415</v>
      </c>
      <c r="P89" s="11">
        <v>4.0021353836768282E-2</v>
      </c>
      <c r="Q89" s="11">
        <v>9.6153846153846159E-3</v>
      </c>
      <c r="R89">
        <v>4.0194325391971548E-2</v>
      </c>
      <c r="S89">
        <v>9.403504174750596E-3</v>
      </c>
      <c r="T89" s="9" t="s">
        <v>40</v>
      </c>
      <c r="U89" s="9" t="s">
        <v>50</v>
      </c>
      <c r="V89" s="9" t="s">
        <v>305</v>
      </c>
      <c r="W89" s="9" t="s">
        <v>869</v>
      </c>
      <c r="X89" s="9" t="s">
        <v>400</v>
      </c>
      <c r="Y89" s="1">
        <v>12.76</v>
      </c>
      <c r="Z89" s="1">
        <v>15</v>
      </c>
      <c r="AA89" s="3">
        <f t="shared" si="1"/>
        <v>0.85066666666666668</v>
      </c>
      <c r="AB89" s="11">
        <v>4.7007583465407843E-2</v>
      </c>
      <c r="AC89" s="11">
        <v>0.1145249921895217</v>
      </c>
      <c r="AD89" s="10">
        <v>2</v>
      </c>
      <c r="AE89" s="9" t="s">
        <v>34</v>
      </c>
      <c r="AF89" s="9" t="s">
        <v>35</v>
      </c>
    </row>
    <row r="90" spans="1:32" x14ac:dyDescent="0.25">
      <c r="A90" s="9" t="s">
        <v>560</v>
      </c>
      <c r="B90" s="1" t="s">
        <v>735</v>
      </c>
      <c r="C90" s="1" t="s">
        <v>1073</v>
      </c>
      <c r="D90" s="10">
        <v>3</v>
      </c>
      <c r="E90" s="10">
        <v>2015</v>
      </c>
      <c r="F90" s="9" t="s">
        <v>28</v>
      </c>
      <c r="G90" s="9" t="s">
        <v>54</v>
      </c>
      <c r="H90" s="1">
        <v>16.600000000000001</v>
      </c>
      <c r="I90" s="1" t="s">
        <v>31</v>
      </c>
      <c r="J90" s="9" t="s">
        <v>30</v>
      </c>
      <c r="K90" s="1">
        <v>0.88</v>
      </c>
      <c r="L90" s="10">
        <v>241</v>
      </c>
      <c r="M90" s="3">
        <v>0.17</v>
      </c>
      <c r="N90" s="11">
        <v>3.9293133749999992E-3</v>
      </c>
      <c r="O90">
        <v>131</v>
      </c>
      <c r="P90" s="11">
        <v>0.1716666635005791</v>
      </c>
      <c r="Q90" s="11">
        <v>4.2016806722689074E-3</v>
      </c>
      <c r="R90">
        <v>0.17034855496539519</v>
      </c>
      <c r="S90">
        <v>3.9283534189160727E-3</v>
      </c>
      <c r="T90" s="9" t="s">
        <v>40</v>
      </c>
      <c r="U90" s="9" t="s">
        <v>50</v>
      </c>
      <c r="V90" s="9" t="s">
        <v>305</v>
      </c>
      <c r="W90" s="9" t="s">
        <v>31</v>
      </c>
      <c r="X90" s="9" t="s">
        <v>309</v>
      </c>
      <c r="Y90" s="1">
        <v>17</v>
      </c>
      <c r="Z90" s="1">
        <v>15</v>
      </c>
      <c r="AA90" s="3">
        <f t="shared" si="1"/>
        <v>1.1333333333333333</v>
      </c>
      <c r="AB90" s="11">
        <v>0.15048231635721149</v>
      </c>
      <c r="AC90" s="11">
        <v>5.6788185201559302E-2</v>
      </c>
      <c r="AD90" s="10">
        <v>0</v>
      </c>
      <c r="AE90" s="9" t="s">
        <v>41</v>
      </c>
      <c r="AF90" s="9" t="s">
        <v>35</v>
      </c>
    </row>
    <row r="91" spans="1:32" x14ac:dyDescent="0.25">
      <c r="A91" s="9" t="s">
        <v>560</v>
      </c>
      <c r="B91" s="1" t="s">
        <v>734</v>
      </c>
      <c r="C91" s="1" t="s">
        <v>1074</v>
      </c>
      <c r="D91" s="10">
        <v>3</v>
      </c>
      <c r="E91" s="10">
        <v>2015</v>
      </c>
      <c r="F91" s="9" t="s">
        <v>38</v>
      </c>
      <c r="G91" s="9" t="s">
        <v>54</v>
      </c>
      <c r="H91" s="1">
        <v>17</v>
      </c>
      <c r="I91" s="1" t="s">
        <v>31</v>
      </c>
      <c r="J91" s="9" t="s">
        <v>30</v>
      </c>
      <c r="K91" s="1">
        <v>0.83</v>
      </c>
      <c r="L91" s="10">
        <v>297</v>
      </c>
      <c r="M91" s="3">
        <v>0.18</v>
      </c>
      <c r="N91" s="11">
        <v>3.1630059459459461E-3</v>
      </c>
      <c r="O91">
        <v>131</v>
      </c>
      <c r="P91" s="11">
        <v>0.18198268860070571</v>
      </c>
      <c r="Q91" s="11">
        <v>3.4013605442176869E-3</v>
      </c>
      <c r="R91">
        <v>0.18029739367304939</v>
      </c>
      <c r="S91">
        <v>3.1623054543286479E-3</v>
      </c>
      <c r="T91" s="9" t="s">
        <v>40</v>
      </c>
      <c r="U91" s="9" t="s">
        <v>50</v>
      </c>
      <c r="V91" s="9" t="s">
        <v>305</v>
      </c>
      <c r="W91" s="9" t="s">
        <v>31</v>
      </c>
      <c r="X91" s="9" t="s">
        <v>309</v>
      </c>
      <c r="Y91" s="1">
        <v>13</v>
      </c>
      <c r="Z91" s="1">
        <v>15</v>
      </c>
      <c r="AA91" s="3">
        <f t="shared" si="1"/>
        <v>0.8666666666666667</v>
      </c>
      <c r="AB91" s="11">
        <v>0.20658630325414429</v>
      </c>
      <c r="AC91" s="11">
        <v>6.5032158019425704E-2</v>
      </c>
      <c r="AD91" s="10">
        <v>0</v>
      </c>
      <c r="AE91" s="9" t="s">
        <v>41</v>
      </c>
      <c r="AF91" s="9" t="s">
        <v>35</v>
      </c>
    </row>
    <row r="92" spans="1:32" x14ac:dyDescent="0.25">
      <c r="A92" s="9" t="s">
        <v>563</v>
      </c>
      <c r="B92" s="1" t="s">
        <v>738</v>
      </c>
      <c r="C92" s="1" t="s">
        <v>1075</v>
      </c>
      <c r="D92" s="10">
        <v>3</v>
      </c>
      <c r="E92" s="10">
        <v>2016</v>
      </c>
      <c r="F92" s="9" t="s">
        <v>28</v>
      </c>
      <c r="G92" s="9" t="s">
        <v>29</v>
      </c>
      <c r="H92" s="1">
        <v>25.1</v>
      </c>
      <c r="I92" s="1">
        <v>12.05</v>
      </c>
      <c r="J92" s="9" t="s">
        <v>62</v>
      </c>
      <c r="K92" s="1">
        <v>0.67</v>
      </c>
      <c r="L92" s="10">
        <v>30</v>
      </c>
      <c r="M92" s="3">
        <v>0.72</v>
      </c>
      <c r="N92" s="11">
        <v>7.9978813793103454E-3</v>
      </c>
      <c r="O92">
        <v>90</v>
      </c>
      <c r="P92" s="11">
        <v>0.90764498331912447</v>
      </c>
      <c r="Q92" s="11">
        <v>3.7037037037037042E-2</v>
      </c>
      <c r="R92">
        <v>0.726431048501744</v>
      </c>
      <c r="S92">
        <v>7.6919081502320437E-3</v>
      </c>
      <c r="T92" s="9" t="s">
        <v>40</v>
      </c>
      <c r="U92" s="9" t="s">
        <v>46</v>
      </c>
      <c r="V92" s="9" t="s">
        <v>305</v>
      </c>
      <c r="W92" s="9" t="s">
        <v>30</v>
      </c>
      <c r="X92" s="9" t="s">
        <v>390</v>
      </c>
      <c r="Y92" s="1">
        <v>24.45</v>
      </c>
      <c r="Z92" s="1">
        <v>15</v>
      </c>
      <c r="AA92" s="3">
        <f t="shared" si="1"/>
        <v>1.63</v>
      </c>
      <c r="AB92" s="11">
        <v>0.5369602246313584</v>
      </c>
      <c r="AC92" s="11">
        <v>0.1445334244014819</v>
      </c>
      <c r="AD92" s="10">
        <v>2</v>
      </c>
      <c r="AE92" s="9" t="s">
        <v>41</v>
      </c>
      <c r="AF92" s="9" t="s">
        <v>35</v>
      </c>
    </row>
    <row r="93" spans="1:32" x14ac:dyDescent="0.25">
      <c r="A93" s="9" t="s">
        <v>564</v>
      </c>
      <c r="B93" s="1" t="s">
        <v>739</v>
      </c>
      <c r="C93" s="1" t="s">
        <v>1076</v>
      </c>
      <c r="D93" s="10">
        <v>3</v>
      </c>
      <c r="E93" s="10">
        <v>2016</v>
      </c>
      <c r="F93" s="9" t="s">
        <v>38</v>
      </c>
      <c r="G93" s="9" t="s">
        <v>29</v>
      </c>
      <c r="H93" s="1">
        <v>32.700000000000003</v>
      </c>
      <c r="I93" s="1">
        <v>13.6</v>
      </c>
      <c r="J93" s="9" t="s">
        <v>30</v>
      </c>
      <c r="K93" s="1">
        <v>0.42</v>
      </c>
      <c r="L93" s="10">
        <v>164</v>
      </c>
      <c r="M93" s="3">
        <v>0.31</v>
      </c>
      <c r="N93" s="11">
        <v>5.0124859509202459E-3</v>
      </c>
      <c r="O93">
        <v>1049</v>
      </c>
      <c r="P93" s="11">
        <v>0.32054540930194608</v>
      </c>
      <c r="Q93" s="11">
        <v>6.2111801242236021E-3</v>
      </c>
      <c r="R93">
        <v>0.31087581927823649</v>
      </c>
      <c r="S93">
        <v>5.0064568664093499E-3</v>
      </c>
      <c r="T93" s="9" t="s">
        <v>40</v>
      </c>
      <c r="U93" s="9" t="s">
        <v>50</v>
      </c>
      <c r="V93" s="9" t="s">
        <v>305</v>
      </c>
      <c r="W93" s="9" t="s">
        <v>869</v>
      </c>
      <c r="X93" s="9" t="s">
        <v>894</v>
      </c>
      <c r="Y93" s="1">
        <v>14.5</v>
      </c>
      <c r="Z93" s="1">
        <v>15</v>
      </c>
      <c r="AA93" s="3">
        <f t="shared" si="1"/>
        <v>0.96666666666666667</v>
      </c>
      <c r="AB93" s="11">
        <v>0.31961406914378981</v>
      </c>
      <c r="AC93" s="11">
        <v>7.6497766594252156E-2</v>
      </c>
      <c r="AD93" s="10">
        <v>0</v>
      </c>
      <c r="AE93" s="9" t="s">
        <v>41</v>
      </c>
      <c r="AF93" s="9" t="s">
        <v>35</v>
      </c>
    </row>
    <row r="94" spans="1:32" x14ac:dyDescent="0.25">
      <c r="A94" s="9" t="s">
        <v>564</v>
      </c>
      <c r="B94" s="1" t="s">
        <v>739</v>
      </c>
      <c r="C94" s="1" t="s">
        <v>1077</v>
      </c>
      <c r="D94" s="10">
        <v>3</v>
      </c>
      <c r="E94" s="10">
        <v>2016</v>
      </c>
      <c r="F94" s="9" t="s">
        <v>38</v>
      </c>
      <c r="G94" s="9" t="s">
        <v>29</v>
      </c>
      <c r="H94" s="1">
        <v>32.700000000000003</v>
      </c>
      <c r="I94" s="1">
        <v>13.6</v>
      </c>
      <c r="J94" s="9" t="s">
        <v>30</v>
      </c>
      <c r="K94" s="1">
        <v>0.42</v>
      </c>
      <c r="L94" s="10">
        <v>164</v>
      </c>
      <c r="M94" s="3">
        <v>0.12</v>
      </c>
      <c r="N94" s="11">
        <v>5.9595543558282208E-3</v>
      </c>
      <c r="O94">
        <v>1049</v>
      </c>
      <c r="P94" s="11">
        <v>0.1205810284084441</v>
      </c>
      <c r="Q94" s="11">
        <v>6.2111801242236021E-3</v>
      </c>
      <c r="R94">
        <v>0.12037009976858699</v>
      </c>
      <c r="S94">
        <v>5.9584785776189749E-3</v>
      </c>
      <c r="T94" s="9" t="s">
        <v>40</v>
      </c>
      <c r="U94" s="9" t="s">
        <v>50</v>
      </c>
      <c r="V94" s="9" t="s">
        <v>305</v>
      </c>
      <c r="W94" s="9" t="s">
        <v>870</v>
      </c>
      <c r="X94" s="9" t="s">
        <v>876</v>
      </c>
      <c r="Y94" s="1">
        <v>16</v>
      </c>
      <c r="Z94" s="1">
        <v>15</v>
      </c>
      <c r="AA94" s="3">
        <f t="shared" si="1"/>
        <v>1.0666666666666667</v>
      </c>
      <c r="AB94" s="11">
        <v>0.11259821440220399</v>
      </c>
      <c r="AC94" s="11">
        <v>7.3316387781808073E-2</v>
      </c>
      <c r="AD94" s="10">
        <v>0</v>
      </c>
      <c r="AE94" s="9" t="s">
        <v>41</v>
      </c>
      <c r="AF94" s="9" t="s">
        <v>35</v>
      </c>
    </row>
    <row r="95" spans="1:32" x14ac:dyDescent="0.25">
      <c r="A95" s="9" t="s">
        <v>871</v>
      </c>
      <c r="B95" s="1" t="s">
        <v>1064</v>
      </c>
      <c r="C95" s="1" t="s">
        <v>1078</v>
      </c>
      <c r="D95" s="10">
        <v>3</v>
      </c>
      <c r="E95" s="10">
        <v>2016</v>
      </c>
      <c r="F95" s="9" t="s">
        <v>38</v>
      </c>
      <c r="G95" s="9" t="s">
        <v>29</v>
      </c>
      <c r="H95" s="1">
        <v>45.1</v>
      </c>
      <c r="I95" s="1">
        <v>3.9</v>
      </c>
      <c r="J95" s="9" t="s">
        <v>30</v>
      </c>
      <c r="K95" s="1">
        <v>0.49</v>
      </c>
      <c r="L95" s="10">
        <v>73</v>
      </c>
      <c r="M95" s="3">
        <v>0.33100000000000002</v>
      </c>
      <c r="N95" s="11">
        <v>1.1012244621125E-2</v>
      </c>
      <c r="O95">
        <v>380</v>
      </c>
      <c r="P95" s="11">
        <v>0.34395087913344158</v>
      </c>
      <c r="Q95" s="11">
        <v>1.428571428571429E-2</v>
      </c>
      <c r="R95">
        <v>0.33313560384818502</v>
      </c>
      <c r="S95">
        <v>1.0977190982041999E-2</v>
      </c>
      <c r="T95" s="9" t="s">
        <v>40</v>
      </c>
      <c r="U95" s="9" t="s">
        <v>46</v>
      </c>
      <c r="V95" s="9" t="s">
        <v>305</v>
      </c>
      <c r="W95" s="9" t="s">
        <v>869</v>
      </c>
      <c r="X95" s="9" t="s">
        <v>894</v>
      </c>
      <c r="Y95" s="1" t="s">
        <v>31</v>
      </c>
      <c r="Z95" s="1" t="s">
        <v>31</v>
      </c>
      <c r="AA95" s="3" t="s">
        <v>31</v>
      </c>
      <c r="AB95" s="11" t="s">
        <v>31</v>
      </c>
      <c r="AC95" s="11" t="s">
        <v>31</v>
      </c>
      <c r="AD95" s="10">
        <v>0</v>
      </c>
      <c r="AE95" s="9" t="s">
        <v>34</v>
      </c>
      <c r="AF95" s="9" t="s">
        <v>35</v>
      </c>
    </row>
    <row r="96" spans="1:32" x14ac:dyDescent="0.25">
      <c r="A96" s="9" t="s">
        <v>566</v>
      </c>
      <c r="B96" s="1" t="s">
        <v>741</v>
      </c>
      <c r="C96" s="1" t="s">
        <v>1079</v>
      </c>
      <c r="D96" s="10">
        <v>3</v>
      </c>
      <c r="E96" s="10">
        <v>2016</v>
      </c>
      <c r="F96" s="9" t="s">
        <v>28</v>
      </c>
      <c r="G96" s="9" t="s">
        <v>54</v>
      </c>
      <c r="H96" s="1">
        <v>7.5</v>
      </c>
      <c r="I96" s="1">
        <v>0.2</v>
      </c>
      <c r="J96" s="9" t="s">
        <v>30</v>
      </c>
      <c r="K96" s="1">
        <v>0.5</v>
      </c>
      <c r="L96" s="10">
        <v>134</v>
      </c>
      <c r="M96" s="3">
        <v>0.31</v>
      </c>
      <c r="N96" s="11">
        <v>6.143121879699248E-3</v>
      </c>
      <c r="O96" t="s">
        <v>267</v>
      </c>
      <c r="P96" s="11">
        <v>0.32054540930194608</v>
      </c>
      <c r="Q96" s="11">
        <v>7.6335877862595417E-3</v>
      </c>
      <c r="R96">
        <v>0.3110779720253522</v>
      </c>
      <c r="S96">
        <v>6.1340250201284653E-3</v>
      </c>
      <c r="T96" s="9" t="s">
        <v>40</v>
      </c>
      <c r="U96" s="9" t="s">
        <v>46</v>
      </c>
      <c r="V96" s="9" t="s">
        <v>305</v>
      </c>
      <c r="W96" s="9" t="s">
        <v>30</v>
      </c>
      <c r="X96" s="9" t="s">
        <v>390</v>
      </c>
      <c r="Y96" s="1" t="s">
        <v>31</v>
      </c>
      <c r="Z96" s="1" t="s">
        <v>31</v>
      </c>
      <c r="AA96" s="3" t="s">
        <v>31</v>
      </c>
      <c r="AB96" s="11" t="s">
        <v>31</v>
      </c>
      <c r="AC96" s="11" t="s">
        <v>31</v>
      </c>
      <c r="AD96" s="10">
        <v>2</v>
      </c>
      <c r="AE96" s="9" t="s">
        <v>41</v>
      </c>
      <c r="AF96" s="9" t="s">
        <v>35</v>
      </c>
    </row>
    <row r="97" spans="1:32" x14ac:dyDescent="0.25">
      <c r="A97" s="9" t="s">
        <v>570</v>
      </c>
      <c r="B97" s="1" t="s">
        <v>1005</v>
      </c>
      <c r="C97" s="1" t="s">
        <v>1080</v>
      </c>
      <c r="D97" s="10">
        <v>3</v>
      </c>
      <c r="E97" s="10">
        <v>2017</v>
      </c>
      <c r="F97" s="9" t="s">
        <v>38</v>
      </c>
      <c r="G97" s="9" t="s">
        <v>54</v>
      </c>
      <c r="H97" s="1">
        <v>9.1999999999999993</v>
      </c>
      <c r="I97" s="1">
        <v>0.5</v>
      </c>
      <c r="J97" s="9" t="s">
        <v>30</v>
      </c>
      <c r="K97" s="1">
        <v>0.46</v>
      </c>
      <c r="L97" s="10">
        <v>46</v>
      </c>
      <c r="M97" s="3">
        <v>0.77</v>
      </c>
      <c r="N97" s="11">
        <v>3.682898E-3</v>
      </c>
      <c r="O97">
        <v>1322</v>
      </c>
      <c r="P97" s="11">
        <v>1.02032775832234</v>
      </c>
      <c r="Q97" s="11">
        <v>2.3255813953488368E-2</v>
      </c>
      <c r="R97">
        <v>0.77363569599691184</v>
      </c>
      <c r="S97">
        <v>3.5820546995941381E-3</v>
      </c>
      <c r="T97" s="9" t="s">
        <v>40</v>
      </c>
      <c r="U97" s="9" t="s">
        <v>50</v>
      </c>
      <c r="V97" s="9" t="s">
        <v>305</v>
      </c>
      <c r="W97" s="9" t="s">
        <v>869</v>
      </c>
      <c r="X97" s="9" t="s">
        <v>898</v>
      </c>
      <c r="Y97" s="1" t="s">
        <v>31</v>
      </c>
      <c r="Z97" s="1" t="s">
        <v>31</v>
      </c>
      <c r="AA97" s="3" t="s">
        <v>31</v>
      </c>
      <c r="AB97" s="11" t="s">
        <v>31</v>
      </c>
      <c r="AC97" s="11" t="s">
        <v>31</v>
      </c>
      <c r="AD97" s="10">
        <v>0</v>
      </c>
      <c r="AE97" s="9" t="s">
        <v>41</v>
      </c>
      <c r="AF97" s="9" t="s">
        <v>35</v>
      </c>
    </row>
    <row r="98" spans="1:32" x14ac:dyDescent="0.25">
      <c r="A98" s="9" t="s">
        <v>570</v>
      </c>
      <c r="B98" s="1" t="s">
        <v>1005</v>
      </c>
      <c r="C98" s="1" t="s">
        <v>1081</v>
      </c>
      <c r="D98" s="10">
        <v>3</v>
      </c>
      <c r="E98" s="10">
        <v>2017</v>
      </c>
      <c r="F98" s="9" t="s">
        <v>38</v>
      </c>
      <c r="G98" s="9" t="s">
        <v>54</v>
      </c>
      <c r="H98" s="1">
        <v>9.1999999999999993</v>
      </c>
      <c r="I98" s="1">
        <v>0.5</v>
      </c>
      <c r="J98" s="9" t="s">
        <v>30</v>
      </c>
      <c r="K98" s="1">
        <v>0.46</v>
      </c>
      <c r="L98" s="10">
        <v>46</v>
      </c>
      <c r="M98" s="3">
        <v>0.24</v>
      </c>
      <c r="N98" s="11">
        <v>1.9735950222222218E-2</v>
      </c>
      <c r="O98">
        <v>1322</v>
      </c>
      <c r="P98" s="11">
        <v>0.24477411265935289</v>
      </c>
      <c r="Q98" s="11">
        <v>2.3255813953488368E-2</v>
      </c>
      <c r="R98">
        <v>0.2426996675729505</v>
      </c>
      <c r="S98">
        <v>1.968140713963426E-2</v>
      </c>
      <c r="T98" s="9" t="s">
        <v>40</v>
      </c>
      <c r="U98" s="9" t="s">
        <v>50</v>
      </c>
      <c r="V98" s="9" t="s">
        <v>305</v>
      </c>
      <c r="W98" s="9" t="s">
        <v>869</v>
      </c>
      <c r="X98" s="9" t="s">
        <v>899</v>
      </c>
      <c r="Y98" s="1" t="s">
        <v>31</v>
      </c>
      <c r="Z98" s="1" t="s">
        <v>31</v>
      </c>
      <c r="AA98" s="3" t="s">
        <v>31</v>
      </c>
      <c r="AB98" s="11" t="s">
        <v>31</v>
      </c>
      <c r="AC98" s="11" t="s">
        <v>31</v>
      </c>
      <c r="AD98" s="10">
        <v>0</v>
      </c>
      <c r="AE98" s="9" t="s">
        <v>41</v>
      </c>
      <c r="AF98" s="9" t="s">
        <v>35</v>
      </c>
    </row>
    <row r="99" spans="1:32" x14ac:dyDescent="0.25">
      <c r="A99" s="9" t="s">
        <v>570</v>
      </c>
      <c r="B99" s="1" t="s">
        <v>1005</v>
      </c>
      <c r="C99" s="1" t="s">
        <v>1082</v>
      </c>
      <c r="D99" s="10">
        <v>3</v>
      </c>
      <c r="E99" s="10">
        <v>2017</v>
      </c>
      <c r="F99" s="9" t="s">
        <v>38</v>
      </c>
      <c r="G99" s="9" t="s">
        <v>54</v>
      </c>
      <c r="H99" s="1">
        <v>9.1999999999999993</v>
      </c>
      <c r="I99" s="1">
        <v>0.5</v>
      </c>
      <c r="J99" s="9" t="s">
        <v>30</v>
      </c>
      <c r="K99" s="1">
        <v>0.46</v>
      </c>
      <c r="L99" s="10">
        <v>46</v>
      </c>
      <c r="M99" s="3">
        <v>0.04</v>
      </c>
      <c r="N99" s="11">
        <v>2.2151167999999999E-2</v>
      </c>
      <c r="O99">
        <v>1322</v>
      </c>
      <c r="P99" s="11">
        <v>4.0021353836768282E-2</v>
      </c>
      <c r="Q99" s="11">
        <v>2.3255813953488368E-2</v>
      </c>
      <c r="R99">
        <v>4.0478181222209531E-2</v>
      </c>
      <c r="S99">
        <v>2.2149460407042972E-2</v>
      </c>
      <c r="T99" s="9" t="s">
        <v>40</v>
      </c>
      <c r="U99" s="9" t="s">
        <v>50</v>
      </c>
      <c r="V99" s="9" t="s">
        <v>305</v>
      </c>
      <c r="W99" s="9" t="s">
        <v>869</v>
      </c>
      <c r="X99" s="9" t="s">
        <v>394</v>
      </c>
      <c r="Y99" s="1" t="s">
        <v>31</v>
      </c>
      <c r="Z99" s="1" t="s">
        <v>31</v>
      </c>
      <c r="AA99" s="3" t="s">
        <v>31</v>
      </c>
      <c r="AB99" s="11" t="s">
        <v>31</v>
      </c>
      <c r="AC99" s="11" t="s">
        <v>31</v>
      </c>
      <c r="AD99" s="10">
        <v>0</v>
      </c>
      <c r="AE99" s="9" t="s">
        <v>41</v>
      </c>
      <c r="AF99" s="9" t="s">
        <v>35</v>
      </c>
    </row>
    <row r="100" spans="1:32" x14ac:dyDescent="0.25">
      <c r="A100" s="9" t="s">
        <v>570</v>
      </c>
      <c r="B100" s="1" t="s">
        <v>741</v>
      </c>
      <c r="C100" s="1" t="s">
        <v>1083</v>
      </c>
      <c r="D100" s="10">
        <v>3</v>
      </c>
      <c r="E100" s="10">
        <v>2017</v>
      </c>
      <c r="F100" s="9" t="s">
        <v>38</v>
      </c>
      <c r="G100" s="9" t="s">
        <v>54</v>
      </c>
      <c r="H100" s="1">
        <v>9.1999999999999993</v>
      </c>
      <c r="I100" s="1">
        <v>0.5</v>
      </c>
      <c r="J100" s="9" t="s">
        <v>30</v>
      </c>
      <c r="K100" s="1">
        <v>0.46</v>
      </c>
      <c r="L100" s="10">
        <v>46</v>
      </c>
      <c r="M100" s="3">
        <v>0.04</v>
      </c>
      <c r="N100" s="11">
        <v>2.2151167999999999E-2</v>
      </c>
      <c r="O100">
        <v>1322</v>
      </c>
      <c r="P100" s="11">
        <v>4.0021353836768282E-2</v>
      </c>
      <c r="Q100" s="11">
        <v>2.3255813953488368E-2</v>
      </c>
      <c r="R100">
        <v>4.0478181222209531E-2</v>
      </c>
      <c r="S100">
        <v>2.2149460407042972E-2</v>
      </c>
      <c r="T100" s="9" t="s">
        <v>40</v>
      </c>
      <c r="U100" s="9" t="s">
        <v>50</v>
      </c>
      <c r="V100" s="9" t="s">
        <v>305</v>
      </c>
      <c r="W100" s="9" t="s">
        <v>870</v>
      </c>
      <c r="X100" s="9" t="s">
        <v>900</v>
      </c>
      <c r="Y100" s="1" t="s">
        <v>31</v>
      </c>
      <c r="Z100" s="1" t="s">
        <v>31</v>
      </c>
      <c r="AA100" s="3" t="s">
        <v>31</v>
      </c>
      <c r="AB100" s="11" t="s">
        <v>31</v>
      </c>
      <c r="AC100" s="11" t="s">
        <v>31</v>
      </c>
      <c r="AD100" s="10">
        <v>0</v>
      </c>
      <c r="AE100" s="9" t="s">
        <v>41</v>
      </c>
      <c r="AF100" s="9" t="s">
        <v>35</v>
      </c>
    </row>
    <row r="101" spans="1:32" x14ac:dyDescent="0.25">
      <c r="A101" s="9" t="s">
        <v>570</v>
      </c>
      <c r="B101" s="1" t="s">
        <v>1005</v>
      </c>
      <c r="C101" s="1" t="s">
        <v>1084</v>
      </c>
      <c r="D101" s="10">
        <v>3</v>
      </c>
      <c r="E101" s="10">
        <v>2017</v>
      </c>
      <c r="F101" s="9" t="s">
        <v>38</v>
      </c>
      <c r="G101" s="9" t="s">
        <v>54</v>
      </c>
      <c r="H101" s="1">
        <v>9.1999999999999993</v>
      </c>
      <c r="I101" s="1">
        <v>0.5</v>
      </c>
      <c r="J101" s="9" t="s">
        <v>30</v>
      </c>
      <c r="K101" s="1">
        <v>0.46</v>
      </c>
      <c r="L101" s="10">
        <v>46</v>
      </c>
      <c r="M101" s="3">
        <v>0.27</v>
      </c>
      <c r="N101" s="11">
        <v>1.910032022222222E-2</v>
      </c>
      <c r="O101">
        <v>1322</v>
      </c>
      <c r="P101" s="11">
        <v>0.27686382265510012</v>
      </c>
      <c r="Q101" s="11">
        <v>2.3255813953488368E-2</v>
      </c>
      <c r="R101">
        <v>0.2729852694282045</v>
      </c>
      <c r="S101">
        <v>1.903358796513388E-2</v>
      </c>
      <c r="T101" s="9" t="s">
        <v>40</v>
      </c>
      <c r="U101" s="9" t="s">
        <v>50</v>
      </c>
      <c r="V101" s="9" t="s">
        <v>305</v>
      </c>
      <c r="W101" s="9" t="s">
        <v>870</v>
      </c>
      <c r="X101" s="9" t="s">
        <v>901</v>
      </c>
      <c r="Y101" s="1" t="s">
        <v>31</v>
      </c>
      <c r="Z101" s="1" t="s">
        <v>31</v>
      </c>
      <c r="AA101" s="3" t="s">
        <v>31</v>
      </c>
      <c r="AB101" s="11" t="s">
        <v>31</v>
      </c>
      <c r="AC101" s="11" t="s">
        <v>31</v>
      </c>
      <c r="AD101" s="10">
        <v>0</v>
      </c>
      <c r="AE101" s="9" t="s">
        <v>41</v>
      </c>
      <c r="AF101" s="9" t="s">
        <v>35</v>
      </c>
    </row>
    <row r="102" spans="1:32" x14ac:dyDescent="0.25">
      <c r="A102" s="9" t="s">
        <v>855</v>
      </c>
      <c r="B102" s="1" t="s">
        <v>1065</v>
      </c>
      <c r="C102" s="1" t="s">
        <v>1085</v>
      </c>
      <c r="D102" s="10">
        <v>3</v>
      </c>
      <c r="E102" s="10">
        <v>2017</v>
      </c>
      <c r="F102" s="9" t="s">
        <v>38</v>
      </c>
      <c r="G102" s="9" t="s">
        <v>29</v>
      </c>
      <c r="H102" s="1">
        <v>19.600000000000001</v>
      </c>
      <c r="I102" s="1">
        <v>1.4</v>
      </c>
      <c r="J102" s="9" t="s">
        <v>39</v>
      </c>
      <c r="K102" s="1">
        <v>0</v>
      </c>
      <c r="L102" s="10">
        <v>40</v>
      </c>
      <c r="M102" s="3">
        <v>0.38600000000000001</v>
      </c>
      <c r="N102" s="11">
        <v>1.8569430974769228E-2</v>
      </c>
      <c r="O102">
        <v>239</v>
      </c>
      <c r="P102" s="11">
        <v>0.40709112580135298</v>
      </c>
      <c r="Q102" s="11">
        <v>2.7027027027027029E-2</v>
      </c>
      <c r="R102">
        <v>0.39054902122679319</v>
      </c>
      <c r="S102">
        <v>1.8415586639391589E-2</v>
      </c>
      <c r="T102" s="9" t="s">
        <v>40</v>
      </c>
      <c r="U102" s="9" t="s">
        <v>50</v>
      </c>
      <c r="V102" s="9" t="s">
        <v>314</v>
      </c>
      <c r="W102" s="9" t="s">
        <v>869</v>
      </c>
      <c r="X102" s="9" t="s">
        <v>315</v>
      </c>
      <c r="Y102" s="1" t="s">
        <v>31</v>
      </c>
      <c r="Z102" s="1" t="s">
        <v>31</v>
      </c>
      <c r="AA102" s="3" t="s">
        <v>31</v>
      </c>
      <c r="AB102" s="11" t="s">
        <v>31</v>
      </c>
      <c r="AC102" s="11" t="s">
        <v>31</v>
      </c>
      <c r="AD102" s="10">
        <v>0</v>
      </c>
      <c r="AE102" s="9" t="s">
        <v>41</v>
      </c>
      <c r="AF102" s="9" t="s">
        <v>35</v>
      </c>
    </row>
    <row r="103" spans="1:32" x14ac:dyDescent="0.25">
      <c r="A103" s="9" t="s">
        <v>855</v>
      </c>
      <c r="B103" s="1" t="s">
        <v>1066</v>
      </c>
      <c r="C103" s="1" t="s">
        <v>1086</v>
      </c>
      <c r="D103" s="10">
        <v>3</v>
      </c>
      <c r="E103" s="10">
        <v>2017</v>
      </c>
      <c r="F103" s="9" t="s">
        <v>38</v>
      </c>
      <c r="G103" s="9" t="s">
        <v>29</v>
      </c>
      <c r="H103" s="1">
        <v>20.2</v>
      </c>
      <c r="I103" s="1">
        <v>2</v>
      </c>
      <c r="J103" s="9" t="s">
        <v>43</v>
      </c>
      <c r="K103" s="1">
        <v>1</v>
      </c>
      <c r="L103" s="10">
        <v>40</v>
      </c>
      <c r="M103" s="3">
        <v>0.23699999999999999</v>
      </c>
      <c r="N103" s="11">
        <v>2.2841460424641032E-2</v>
      </c>
      <c r="O103">
        <v>239</v>
      </c>
      <c r="P103" s="11">
        <v>0.2415931705540155</v>
      </c>
      <c r="Q103" s="11">
        <v>2.7027027027027029E-2</v>
      </c>
      <c r="R103">
        <v>0.24011647768170249</v>
      </c>
      <c r="S103">
        <v>2.276954768542672E-2</v>
      </c>
      <c r="T103" s="9" t="s">
        <v>40</v>
      </c>
      <c r="U103" s="9" t="s">
        <v>50</v>
      </c>
      <c r="V103" s="9" t="s">
        <v>314</v>
      </c>
      <c r="W103" s="9" t="s">
        <v>869</v>
      </c>
      <c r="X103" s="9" t="s">
        <v>315</v>
      </c>
      <c r="Y103" s="1" t="s">
        <v>31</v>
      </c>
      <c r="Z103" s="1" t="s">
        <v>31</v>
      </c>
      <c r="AA103" s="3" t="s">
        <v>31</v>
      </c>
      <c r="AB103" s="11" t="s">
        <v>31</v>
      </c>
      <c r="AC103" s="11" t="s">
        <v>31</v>
      </c>
      <c r="AD103" s="10">
        <v>0</v>
      </c>
      <c r="AE103" s="9" t="s">
        <v>41</v>
      </c>
      <c r="AF103" s="9" t="s">
        <v>35</v>
      </c>
    </row>
    <row r="104" spans="1:32" x14ac:dyDescent="0.25">
      <c r="A104" s="9" t="s">
        <v>903</v>
      </c>
      <c r="B104" s="1" t="s">
        <v>280</v>
      </c>
      <c r="C104" s="1" t="s">
        <v>1087</v>
      </c>
      <c r="D104" s="10">
        <v>3</v>
      </c>
      <c r="E104" s="10">
        <v>2017</v>
      </c>
      <c r="F104" s="9" t="s">
        <v>38</v>
      </c>
      <c r="G104" s="9" t="s">
        <v>29</v>
      </c>
      <c r="H104" s="1">
        <v>92.1</v>
      </c>
      <c r="I104" s="1">
        <v>0.34</v>
      </c>
      <c r="J104" s="9" t="s">
        <v>30</v>
      </c>
      <c r="K104" s="1">
        <v>0.45</v>
      </c>
      <c r="L104" s="10">
        <v>34</v>
      </c>
      <c r="M104" s="3">
        <v>0.19</v>
      </c>
      <c r="N104" s="11">
        <v>2.8154642727272729E-2</v>
      </c>
      <c r="O104" t="s">
        <v>932</v>
      </c>
      <c r="P104" s="11">
        <v>0.1923371692195453</v>
      </c>
      <c r="Q104" s="11">
        <v>3.2258064516129031E-2</v>
      </c>
      <c r="R104">
        <v>0.1930684537112215</v>
      </c>
      <c r="S104">
        <v>2.8086018238853452E-2</v>
      </c>
      <c r="T104" s="9" t="s">
        <v>40</v>
      </c>
      <c r="U104" s="9" t="s">
        <v>50</v>
      </c>
      <c r="V104" s="9" t="s">
        <v>305</v>
      </c>
      <c r="W104" s="9" t="s">
        <v>870</v>
      </c>
      <c r="X104" s="9" t="s">
        <v>876</v>
      </c>
      <c r="Y104" s="1" t="s">
        <v>31</v>
      </c>
      <c r="Z104" s="1" t="s">
        <v>31</v>
      </c>
      <c r="AA104" s="3" t="s">
        <v>31</v>
      </c>
      <c r="AB104" s="11" t="s">
        <v>31</v>
      </c>
      <c r="AC104" s="11" t="s">
        <v>31</v>
      </c>
      <c r="AD104" s="10">
        <v>0</v>
      </c>
      <c r="AE104" s="9" t="s">
        <v>34</v>
      </c>
      <c r="AF104" s="9" t="s">
        <v>35</v>
      </c>
    </row>
    <row r="105" spans="1:32" x14ac:dyDescent="0.25">
      <c r="A105" s="9" t="s">
        <v>843</v>
      </c>
      <c r="B105" s="1" t="s">
        <v>1010</v>
      </c>
      <c r="C105" s="1" t="s">
        <v>1088</v>
      </c>
      <c r="D105" s="10">
        <v>3</v>
      </c>
      <c r="E105" s="10">
        <v>2018</v>
      </c>
      <c r="F105" s="9" t="s">
        <v>38</v>
      </c>
      <c r="G105" s="9" t="s">
        <v>29</v>
      </c>
      <c r="H105" s="1">
        <v>24.91</v>
      </c>
      <c r="I105" s="1">
        <v>5.61</v>
      </c>
      <c r="J105" s="9" t="s">
        <v>30</v>
      </c>
      <c r="K105" s="1">
        <v>0.59</v>
      </c>
      <c r="L105" s="10">
        <v>56</v>
      </c>
      <c r="M105" s="3">
        <v>0.186</v>
      </c>
      <c r="N105" s="11">
        <v>1.6945543331199998E-2</v>
      </c>
      <c r="O105" t="s">
        <v>63</v>
      </c>
      <c r="P105" s="11">
        <v>0.18819060677756519</v>
      </c>
      <c r="Q105" s="11">
        <v>1.886792452830189E-2</v>
      </c>
      <c r="R105">
        <v>0.18773211107618051</v>
      </c>
      <c r="S105">
        <v>1.6922825497197199E-2</v>
      </c>
      <c r="T105" s="9" t="s">
        <v>40</v>
      </c>
      <c r="U105" s="9" t="s">
        <v>50</v>
      </c>
      <c r="V105" s="9" t="s">
        <v>305</v>
      </c>
      <c r="W105" s="9" t="s">
        <v>869</v>
      </c>
      <c r="X105" s="9" t="s">
        <v>846</v>
      </c>
      <c r="Y105" s="1" t="s">
        <v>31</v>
      </c>
      <c r="Z105" s="1" t="s">
        <v>31</v>
      </c>
      <c r="AA105" s="3" t="s">
        <v>31</v>
      </c>
      <c r="AB105" s="11" t="s">
        <v>31</v>
      </c>
      <c r="AC105" s="11" t="s">
        <v>31</v>
      </c>
      <c r="AD105" s="10">
        <v>0</v>
      </c>
      <c r="AE105" s="9" t="s">
        <v>34</v>
      </c>
      <c r="AF105" s="9" t="s">
        <v>63</v>
      </c>
    </row>
    <row r="106" spans="1:32" x14ac:dyDescent="0.25">
      <c r="A106" s="9" t="s">
        <v>843</v>
      </c>
      <c r="B106" s="1" t="s">
        <v>1011</v>
      </c>
      <c r="C106" s="1" t="s">
        <v>1089</v>
      </c>
      <c r="D106" s="10">
        <v>3</v>
      </c>
      <c r="E106" s="10">
        <v>2018</v>
      </c>
      <c r="F106" s="9" t="s">
        <v>28</v>
      </c>
      <c r="G106" s="9" t="s">
        <v>29</v>
      </c>
      <c r="H106" s="1">
        <v>24.69</v>
      </c>
      <c r="I106" s="1">
        <v>5.93</v>
      </c>
      <c r="J106" s="9" t="s">
        <v>30</v>
      </c>
      <c r="K106" s="1">
        <v>0.57399999999999995</v>
      </c>
      <c r="L106" s="10">
        <v>54</v>
      </c>
      <c r="M106" s="3">
        <v>0.2</v>
      </c>
      <c r="N106" s="11">
        <v>1.738867924528302E-2</v>
      </c>
      <c r="O106" t="s">
        <v>63</v>
      </c>
      <c r="P106" s="11">
        <v>0.20273255405408211</v>
      </c>
      <c r="Q106" s="11">
        <v>1.9607843137254902E-2</v>
      </c>
      <c r="R106">
        <v>0.20192589207871461</v>
      </c>
      <c r="S106">
        <v>1.736064891822223E-2</v>
      </c>
      <c r="T106" s="9" t="s">
        <v>40</v>
      </c>
      <c r="U106" s="9" t="s">
        <v>50</v>
      </c>
      <c r="V106" s="9" t="s">
        <v>305</v>
      </c>
      <c r="W106" s="9" t="s">
        <v>869</v>
      </c>
      <c r="X106" s="9" t="s">
        <v>846</v>
      </c>
      <c r="Y106" s="1" t="s">
        <v>31</v>
      </c>
      <c r="Z106" s="1" t="s">
        <v>31</v>
      </c>
      <c r="AA106" s="3" t="s">
        <v>31</v>
      </c>
      <c r="AB106" s="11" t="s">
        <v>31</v>
      </c>
      <c r="AC106" s="11" t="s">
        <v>31</v>
      </c>
      <c r="AD106" s="10">
        <v>0</v>
      </c>
      <c r="AE106" s="9" t="s">
        <v>34</v>
      </c>
      <c r="AF106" s="9" t="s">
        <v>63</v>
      </c>
    </row>
    <row r="107" spans="1:32" x14ac:dyDescent="0.25">
      <c r="A107" s="9" t="s">
        <v>859</v>
      </c>
      <c r="B107" s="1" t="s">
        <v>1067</v>
      </c>
      <c r="C107" s="1" t="s">
        <v>1090</v>
      </c>
      <c r="D107" s="10">
        <v>3</v>
      </c>
      <c r="E107" s="10">
        <v>2018</v>
      </c>
      <c r="F107" s="9" t="s">
        <v>28</v>
      </c>
      <c r="G107" s="9" t="s">
        <v>29</v>
      </c>
      <c r="H107" s="1">
        <v>62.3</v>
      </c>
      <c r="I107" s="1">
        <v>5.5</v>
      </c>
      <c r="J107" s="9" t="s">
        <v>30</v>
      </c>
      <c r="K107" s="1">
        <v>0.33</v>
      </c>
      <c r="L107" s="10">
        <v>93</v>
      </c>
      <c r="M107" s="3">
        <v>0.08</v>
      </c>
      <c r="N107" s="11">
        <v>1.073088E-2</v>
      </c>
      <c r="O107">
        <v>1667</v>
      </c>
      <c r="P107" s="11">
        <v>8.0171325037589738E-2</v>
      </c>
      <c r="Q107" s="11">
        <v>1.111111111111111E-2</v>
      </c>
      <c r="R107">
        <v>8.0447734923262515E-2</v>
      </c>
      <c r="S107">
        <v>1.072932835412211E-2</v>
      </c>
      <c r="T107" s="9" t="s">
        <v>40</v>
      </c>
      <c r="U107" s="9" t="s">
        <v>50</v>
      </c>
      <c r="V107" s="9" t="s">
        <v>305</v>
      </c>
      <c r="W107" s="9" t="s">
        <v>870</v>
      </c>
      <c r="X107" s="9" t="s">
        <v>902</v>
      </c>
      <c r="Y107" s="1">
        <v>0.85</v>
      </c>
      <c r="Z107" s="1">
        <v>1</v>
      </c>
      <c r="AA107" s="3">
        <f t="shared" si="1"/>
        <v>0.85</v>
      </c>
      <c r="AB107" s="11">
        <v>9.4002183108550255E-2</v>
      </c>
      <c r="AC107" s="11">
        <v>0.1224804589497976</v>
      </c>
      <c r="AD107" s="10">
        <v>0</v>
      </c>
      <c r="AE107" s="9" t="s">
        <v>41</v>
      </c>
      <c r="AF107" s="9" t="s">
        <v>35</v>
      </c>
    </row>
    <row r="108" spans="1:32" x14ac:dyDescent="0.25">
      <c r="A108" s="9" t="s">
        <v>577</v>
      </c>
      <c r="B108" s="1" t="s">
        <v>1016</v>
      </c>
      <c r="C108" s="1" t="s">
        <v>1091</v>
      </c>
      <c r="D108" s="10">
        <v>3</v>
      </c>
      <c r="E108" s="10">
        <v>2018</v>
      </c>
      <c r="F108" s="9" t="s">
        <v>28</v>
      </c>
      <c r="G108" s="9" t="s">
        <v>29</v>
      </c>
      <c r="H108" s="1">
        <v>70.010000000000005</v>
      </c>
      <c r="I108" s="1">
        <v>9.75</v>
      </c>
      <c r="J108" s="9" t="s">
        <v>30</v>
      </c>
      <c r="K108" s="1">
        <v>0.65</v>
      </c>
      <c r="L108" s="10">
        <v>115</v>
      </c>
      <c r="M108" s="3">
        <v>0.27500000000000002</v>
      </c>
      <c r="N108" s="11">
        <v>7.4953433388157886E-3</v>
      </c>
      <c r="O108">
        <v>1660</v>
      </c>
      <c r="P108" s="11">
        <v>0.2822649013689259</v>
      </c>
      <c r="Q108" s="11">
        <v>8.9285714285714281E-3</v>
      </c>
      <c r="R108">
        <v>0.27614583879521087</v>
      </c>
      <c r="S108">
        <v>7.4851053414740484E-3</v>
      </c>
      <c r="T108" s="9" t="s">
        <v>40</v>
      </c>
      <c r="U108" s="9" t="s">
        <v>50</v>
      </c>
      <c r="V108" s="9" t="s">
        <v>305</v>
      </c>
      <c r="W108" s="9" t="s">
        <v>30</v>
      </c>
      <c r="X108" s="9" t="s">
        <v>323</v>
      </c>
      <c r="Y108" s="1" t="s">
        <v>31</v>
      </c>
      <c r="Z108" s="1" t="s">
        <v>31</v>
      </c>
      <c r="AA108" s="3" t="s">
        <v>31</v>
      </c>
      <c r="AB108" s="11" t="s">
        <v>31</v>
      </c>
      <c r="AC108" s="11" t="s">
        <v>31</v>
      </c>
      <c r="AD108" s="10">
        <v>4</v>
      </c>
      <c r="AE108" s="9" t="s">
        <v>34</v>
      </c>
      <c r="AF108" s="9" t="s">
        <v>35</v>
      </c>
    </row>
    <row r="109" spans="1:32" x14ac:dyDescent="0.25">
      <c r="A109" s="9" t="s">
        <v>578</v>
      </c>
      <c r="B109" s="1" t="s">
        <v>1017</v>
      </c>
      <c r="C109" s="1" t="s">
        <v>1092</v>
      </c>
      <c r="D109" s="10">
        <v>3</v>
      </c>
      <c r="E109" s="10">
        <v>2019</v>
      </c>
      <c r="F109" s="9" t="s">
        <v>28</v>
      </c>
      <c r="G109" s="9" t="s">
        <v>29</v>
      </c>
      <c r="H109" s="1">
        <v>32.97</v>
      </c>
      <c r="I109" s="1">
        <v>11.12</v>
      </c>
      <c r="J109" s="9" t="s">
        <v>30</v>
      </c>
      <c r="K109" s="1">
        <v>0.42</v>
      </c>
      <c r="L109" s="10">
        <v>38</v>
      </c>
      <c r="M109" s="3">
        <v>0</v>
      </c>
      <c r="N109" s="11">
        <v>2.7027027027027029E-2</v>
      </c>
      <c r="O109">
        <v>3</v>
      </c>
      <c r="P109" s="11">
        <v>0</v>
      </c>
      <c r="Q109" s="11">
        <v>2.8571428571428571E-2</v>
      </c>
      <c r="R109">
        <v>0</v>
      </c>
      <c r="S109">
        <v>2.7027027027027029E-2</v>
      </c>
      <c r="T109" s="9" t="s">
        <v>40</v>
      </c>
      <c r="U109" s="9" t="s">
        <v>46</v>
      </c>
      <c r="V109" s="9" t="s">
        <v>305</v>
      </c>
      <c r="W109" s="9" t="s">
        <v>30</v>
      </c>
      <c r="X109" s="9" t="s">
        <v>307</v>
      </c>
      <c r="Y109" s="1">
        <v>16.53</v>
      </c>
      <c r="Z109" s="1">
        <v>15</v>
      </c>
      <c r="AA109" s="3">
        <f t="shared" si="1"/>
        <v>1.1020000000000001</v>
      </c>
      <c r="AB109" s="11">
        <v>0</v>
      </c>
      <c r="AC109" s="11" t="s">
        <v>31</v>
      </c>
      <c r="AD109" s="10">
        <v>0</v>
      </c>
      <c r="AE109" s="9" t="s">
        <v>34</v>
      </c>
      <c r="AF109" s="9" t="s">
        <v>35</v>
      </c>
    </row>
    <row r="110" spans="1:32" x14ac:dyDescent="0.25">
      <c r="A110" s="9" t="s">
        <v>940</v>
      </c>
      <c r="B110" s="1" t="s">
        <v>496</v>
      </c>
      <c r="C110" s="1" t="s">
        <v>1093</v>
      </c>
      <c r="D110" s="10">
        <v>3</v>
      </c>
      <c r="E110" s="10">
        <v>2020</v>
      </c>
      <c r="F110" s="9" t="s">
        <v>38</v>
      </c>
      <c r="G110" s="9" t="s">
        <v>29</v>
      </c>
      <c r="H110" s="1">
        <v>79.400000000000006</v>
      </c>
      <c r="I110" s="1">
        <v>0.6</v>
      </c>
      <c r="J110" s="9" t="s">
        <v>30</v>
      </c>
      <c r="K110" s="1">
        <v>0.53100000000000003</v>
      </c>
      <c r="L110" s="10">
        <v>358</v>
      </c>
      <c r="M110" s="3">
        <v>0.115</v>
      </c>
      <c r="N110" s="11">
        <v>2.7275207300420171E-3</v>
      </c>
      <c r="O110" t="s">
        <v>919</v>
      </c>
      <c r="P110" s="11">
        <v>0.11551101944314481</v>
      </c>
      <c r="Q110" s="11">
        <v>2.8169014084507039E-3</v>
      </c>
      <c r="R110">
        <v>0.11516038072286</v>
      </c>
      <c r="S110">
        <v>2.7273166716179171E-3</v>
      </c>
      <c r="T110" s="9" t="s">
        <v>40</v>
      </c>
      <c r="U110" s="9" t="s">
        <v>50</v>
      </c>
      <c r="V110" s="9" t="s">
        <v>305</v>
      </c>
      <c r="W110" s="9" t="s">
        <v>869</v>
      </c>
      <c r="X110" s="9" t="s">
        <v>921</v>
      </c>
      <c r="Y110" s="1" t="s">
        <v>31</v>
      </c>
      <c r="Z110" s="1" t="s">
        <v>31</v>
      </c>
      <c r="AA110" s="3" t="s">
        <v>31</v>
      </c>
      <c r="AB110" s="11" t="s">
        <v>31</v>
      </c>
      <c r="AC110" s="11" t="s">
        <v>31</v>
      </c>
      <c r="AD110" s="10">
        <v>1</v>
      </c>
      <c r="AE110" s="9" t="s">
        <v>34</v>
      </c>
      <c r="AF110" s="9" t="s">
        <v>35</v>
      </c>
    </row>
    <row r="111" spans="1:32" x14ac:dyDescent="0.25">
      <c r="A111" s="9" t="s">
        <v>940</v>
      </c>
      <c r="B111" s="1" t="s">
        <v>496</v>
      </c>
      <c r="C111" s="1" t="s">
        <v>1094</v>
      </c>
      <c r="D111" s="10">
        <v>3</v>
      </c>
      <c r="E111" s="10">
        <v>2020</v>
      </c>
      <c r="F111" s="9" t="s">
        <v>38</v>
      </c>
      <c r="G111" s="9" t="s">
        <v>29</v>
      </c>
      <c r="H111" s="1">
        <v>79.400000000000006</v>
      </c>
      <c r="I111" s="1">
        <v>0.6</v>
      </c>
      <c r="J111" s="9" t="s">
        <v>30</v>
      </c>
      <c r="K111" s="1">
        <v>0.53100000000000003</v>
      </c>
      <c r="L111" s="10">
        <v>358</v>
      </c>
      <c r="M111" s="3">
        <v>0.29199999999999998</v>
      </c>
      <c r="N111" s="11">
        <v>2.3438149851428571E-3</v>
      </c>
      <c r="O111" t="s">
        <v>919</v>
      </c>
      <c r="P111" s="11">
        <v>0.3007512953244138</v>
      </c>
      <c r="Q111" s="11">
        <v>2.8169014084507039E-3</v>
      </c>
      <c r="R111">
        <v>0.29237732445441622</v>
      </c>
      <c r="S111">
        <v>2.3426851540762879E-3</v>
      </c>
      <c r="T111" s="9" t="s">
        <v>40</v>
      </c>
      <c r="U111" s="9" t="s">
        <v>50</v>
      </c>
      <c r="V111" s="9" t="s">
        <v>305</v>
      </c>
      <c r="W111" s="9" t="s">
        <v>870</v>
      </c>
      <c r="X111" s="9" t="s">
        <v>929</v>
      </c>
      <c r="Y111" s="1" t="s">
        <v>31</v>
      </c>
      <c r="Z111" s="1" t="s">
        <v>31</v>
      </c>
      <c r="AA111" s="3" t="s">
        <v>31</v>
      </c>
      <c r="AB111" s="11" t="s">
        <v>31</v>
      </c>
      <c r="AC111" s="11" t="s">
        <v>31</v>
      </c>
      <c r="AD111" s="10">
        <v>1</v>
      </c>
      <c r="AE111" s="9" t="s">
        <v>34</v>
      </c>
      <c r="AF111" s="9" t="s">
        <v>35</v>
      </c>
    </row>
  </sheetData>
  <sortState xmlns:xlrd2="http://schemas.microsoft.com/office/spreadsheetml/2017/richdata2" ref="A2:AF108">
    <sortCondition ref="E2"/>
  </sortState>
  <phoneticPr fontId="2" type="noConversion"/>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5424-DAE8-47B7-83A0-F9E5885F49E5}">
  <dimension ref="A1:AE455"/>
  <sheetViews>
    <sheetView workbookViewId="0">
      <selection activeCell="AC1" sqref="AC1:AC1048576"/>
    </sheetView>
  </sheetViews>
  <sheetFormatPr baseColWidth="10" defaultRowHeight="15" x14ac:dyDescent="0.25"/>
  <sheetData>
    <row r="1" spans="1:31" x14ac:dyDescent="0.25">
      <c r="A1" s="9" t="s">
        <v>0</v>
      </c>
      <c r="B1" s="1" t="s">
        <v>1</v>
      </c>
      <c r="C1" s="1" t="s">
        <v>2</v>
      </c>
      <c r="D1" s="10" t="s">
        <v>3</v>
      </c>
      <c r="E1" s="10" t="s">
        <v>4</v>
      </c>
      <c r="F1" s="9" t="s">
        <v>5</v>
      </c>
      <c r="G1" s="9" t="s">
        <v>6</v>
      </c>
      <c r="H1" s="1" t="s">
        <v>7</v>
      </c>
      <c r="I1" s="1" t="s">
        <v>8</v>
      </c>
      <c r="J1" s="9" t="s">
        <v>9</v>
      </c>
      <c r="K1" s="1" t="s">
        <v>273</v>
      </c>
      <c r="L1" s="10" t="s">
        <v>849</v>
      </c>
      <c r="M1" s="3" t="s">
        <v>10</v>
      </c>
      <c r="N1" s="11" t="s">
        <v>317</v>
      </c>
      <c r="O1" t="s">
        <v>11</v>
      </c>
      <c r="P1" s="11" t="s">
        <v>318</v>
      </c>
      <c r="Q1" s="11" t="s">
        <v>319</v>
      </c>
      <c r="R1" s="11" t="s">
        <v>320</v>
      </c>
      <c r="S1" s="11" t="s">
        <v>321</v>
      </c>
      <c r="T1" s="9" t="s">
        <v>12</v>
      </c>
      <c r="U1" s="9" t="s">
        <v>13</v>
      </c>
      <c r="V1" s="9" t="s">
        <v>14</v>
      </c>
      <c r="W1" s="9" t="s">
        <v>15</v>
      </c>
      <c r="X1" s="1" t="s">
        <v>274</v>
      </c>
      <c r="Y1" s="1" t="s">
        <v>275</v>
      </c>
      <c r="Z1" s="3" t="s">
        <v>18</v>
      </c>
      <c r="AA1" s="11" t="s">
        <v>322</v>
      </c>
      <c r="AB1" s="11" t="s">
        <v>501</v>
      </c>
      <c r="AC1" s="10" t="s">
        <v>23</v>
      </c>
      <c r="AD1" s="9" t="s">
        <v>24</v>
      </c>
      <c r="AE1" s="9" t="s">
        <v>25</v>
      </c>
    </row>
    <row r="2" spans="1:31" x14ac:dyDescent="0.25">
      <c r="A2" s="9" t="s">
        <v>502</v>
      </c>
      <c r="B2" s="1" t="s">
        <v>26</v>
      </c>
      <c r="C2" s="1" t="s">
        <v>27</v>
      </c>
      <c r="D2" s="10">
        <v>2</v>
      </c>
      <c r="E2" s="10">
        <v>1987</v>
      </c>
      <c r="F2" s="9" t="s">
        <v>28</v>
      </c>
      <c r="G2" s="9" t="s">
        <v>29</v>
      </c>
      <c r="H2" s="1">
        <v>38.4</v>
      </c>
      <c r="I2" s="1">
        <v>14.1</v>
      </c>
      <c r="J2" s="9" t="s">
        <v>30</v>
      </c>
      <c r="K2" s="1">
        <v>0.34</v>
      </c>
      <c r="L2" s="10">
        <v>41</v>
      </c>
      <c r="M2" s="3">
        <v>7.0000000000000007E-2</v>
      </c>
      <c r="N2" s="11">
        <v>2.4755600249999999E-2</v>
      </c>
      <c r="O2">
        <v>20</v>
      </c>
      <c r="P2" s="11">
        <v>7.0114670654325154E-2</v>
      </c>
      <c r="Q2" s="11">
        <v>2.6315789473684209E-2</v>
      </c>
      <c r="R2" s="11">
        <v>7.0947284734271754E-2</v>
      </c>
      <c r="S2" s="11">
        <v>2.4748957546829591E-2</v>
      </c>
      <c r="T2" s="9" t="s">
        <v>32</v>
      </c>
      <c r="U2" s="9" t="s">
        <v>31</v>
      </c>
      <c r="V2" s="9" t="s">
        <v>33</v>
      </c>
      <c r="W2" s="9" t="s">
        <v>950</v>
      </c>
      <c r="X2" s="1">
        <v>11.1</v>
      </c>
      <c r="Y2" s="1">
        <v>15</v>
      </c>
      <c r="Z2" s="3">
        <f>X2/Y2</f>
        <v>0.74</v>
      </c>
      <c r="AA2" s="11">
        <v>9.4403707996221192E-2</v>
      </c>
      <c r="AB2" s="11">
        <v>0.2145544555173757</v>
      </c>
      <c r="AC2" s="10">
        <v>1</v>
      </c>
      <c r="AD2" s="9" t="s">
        <v>34</v>
      </c>
      <c r="AE2" s="9" t="s">
        <v>35</v>
      </c>
    </row>
    <row r="3" spans="1:31" x14ac:dyDescent="0.25">
      <c r="A3" s="9" t="s">
        <v>907</v>
      </c>
      <c r="B3" s="1" t="s">
        <v>36</v>
      </c>
      <c r="C3" s="1" t="s">
        <v>37</v>
      </c>
      <c r="D3" s="10">
        <v>1</v>
      </c>
      <c r="E3" s="10">
        <v>1991</v>
      </c>
      <c r="F3" s="9" t="s">
        <v>38</v>
      </c>
      <c r="G3" s="9" t="s">
        <v>29</v>
      </c>
      <c r="H3" s="1">
        <v>18.899999999999999</v>
      </c>
      <c r="I3" s="1">
        <v>0.6</v>
      </c>
      <c r="J3" s="9" t="s">
        <v>39</v>
      </c>
      <c r="K3" s="1">
        <v>0</v>
      </c>
      <c r="L3" s="10">
        <v>20</v>
      </c>
      <c r="M3" s="3">
        <v>0.33</v>
      </c>
      <c r="N3" s="11">
        <v>4.1792589999999998E-2</v>
      </c>
      <c r="O3">
        <v>225</v>
      </c>
      <c r="P3" s="11">
        <v>0.34282825441539388</v>
      </c>
      <c r="Q3" s="11">
        <v>5.8823529411764712E-2</v>
      </c>
      <c r="R3" s="11">
        <v>0.33917015198391759</v>
      </c>
      <c r="S3" s="11">
        <v>4.1218978288950138E-2</v>
      </c>
      <c r="T3" s="9" t="s">
        <v>40</v>
      </c>
      <c r="U3" s="9" t="s">
        <v>31</v>
      </c>
      <c r="V3" s="9" t="s">
        <v>33</v>
      </c>
      <c r="W3" s="9" t="s">
        <v>952</v>
      </c>
      <c r="X3" s="1" t="s">
        <v>31</v>
      </c>
      <c r="Y3" s="1" t="s">
        <v>31</v>
      </c>
      <c r="Z3" s="3" t="s">
        <v>31</v>
      </c>
      <c r="AA3" s="11" t="s">
        <v>31</v>
      </c>
      <c r="AB3" s="11" t="s">
        <v>31</v>
      </c>
      <c r="AC3" s="10">
        <v>0</v>
      </c>
      <c r="AD3" s="9" t="s">
        <v>41</v>
      </c>
      <c r="AE3" s="9" t="s">
        <v>35</v>
      </c>
    </row>
    <row r="4" spans="1:31" x14ac:dyDescent="0.25">
      <c r="A4" s="9" t="s">
        <v>907</v>
      </c>
      <c r="B4" s="1" t="s">
        <v>44</v>
      </c>
      <c r="C4" s="1" t="s">
        <v>42</v>
      </c>
      <c r="D4" s="10">
        <v>1</v>
      </c>
      <c r="E4" s="10">
        <v>1991</v>
      </c>
      <c r="F4" s="9" t="s">
        <v>38</v>
      </c>
      <c r="G4" s="9" t="s">
        <v>29</v>
      </c>
      <c r="H4" s="1">
        <v>18.899999999999999</v>
      </c>
      <c r="I4" s="1">
        <v>0.6</v>
      </c>
      <c r="J4" s="9" t="s">
        <v>43</v>
      </c>
      <c r="K4" s="1">
        <v>1</v>
      </c>
      <c r="L4" s="10">
        <v>20</v>
      </c>
      <c r="M4" s="3">
        <v>0.51</v>
      </c>
      <c r="N4" s="11">
        <v>2.8813263684210531E-2</v>
      </c>
      <c r="O4">
        <v>225</v>
      </c>
      <c r="P4" s="11">
        <v>0.56272976935214891</v>
      </c>
      <c r="Q4" s="11">
        <v>5.8823529411764712E-2</v>
      </c>
      <c r="R4" s="11">
        <v>0.52150714845195456</v>
      </c>
      <c r="S4" s="11">
        <v>2.789621627089502E-2</v>
      </c>
      <c r="T4" s="9" t="s">
        <v>40</v>
      </c>
      <c r="U4" s="9" t="s">
        <v>31</v>
      </c>
      <c r="V4" s="9" t="s">
        <v>33</v>
      </c>
      <c r="W4" s="9" t="s">
        <v>952</v>
      </c>
      <c r="X4" s="1" t="s">
        <v>31</v>
      </c>
      <c r="Y4" s="1" t="s">
        <v>31</v>
      </c>
      <c r="Z4" s="3" t="s">
        <v>31</v>
      </c>
      <c r="AA4" s="11" t="s">
        <v>31</v>
      </c>
      <c r="AB4" s="11" t="s">
        <v>31</v>
      </c>
      <c r="AC4" s="10">
        <v>0</v>
      </c>
      <c r="AD4" s="9" t="s">
        <v>41</v>
      </c>
      <c r="AE4" s="9" t="s">
        <v>35</v>
      </c>
    </row>
    <row r="5" spans="1:31" x14ac:dyDescent="0.25">
      <c r="A5" s="9" t="s">
        <v>503</v>
      </c>
      <c r="B5" s="1" t="s">
        <v>48</v>
      </c>
      <c r="C5" s="1" t="s">
        <v>45</v>
      </c>
      <c r="D5" s="10">
        <v>1</v>
      </c>
      <c r="E5" s="10">
        <v>1993</v>
      </c>
      <c r="F5" s="9" t="s">
        <v>38</v>
      </c>
      <c r="G5" s="9" t="s">
        <v>29</v>
      </c>
      <c r="H5" s="1">
        <v>38</v>
      </c>
      <c r="I5" s="1">
        <v>16</v>
      </c>
      <c r="J5" s="9" t="s">
        <v>39</v>
      </c>
      <c r="K5" s="1">
        <v>0</v>
      </c>
      <c r="L5" s="10">
        <v>30</v>
      </c>
      <c r="M5" s="3">
        <v>0.44</v>
      </c>
      <c r="N5" s="11">
        <v>2.2423481379310349E-2</v>
      </c>
      <c r="O5">
        <v>132</v>
      </c>
      <c r="P5" s="11">
        <v>0.47223080442042559</v>
      </c>
      <c r="Q5" s="11">
        <v>3.7037037037037042E-2</v>
      </c>
      <c r="R5" s="11">
        <v>0.44676664666476429</v>
      </c>
      <c r="S5" s="11">
        <v>2.2091015901227851E-2</v>
      </c>
      <c r="T5" s="9" t="s">
        <v>40</v>
      </c>
      <c r="U5" s="9" t="s">
        <v>46</v>
      </c>
      <c r="V5" s="9" t="s">
        <v>33</v>
      </c>
      <c r="W5" s="9" t="s">
        <v>911</v>
      </c>
      <c r="X5" s="1">
        <v>14</v>
      </c>
      <c r="Y5" s="1">
        <v>15</v>
      </c>
      <c r="Z5" s="3">
        <f>X5/Y5</f>
        <v>0.93333333333333335</v>
      </c>
      <c r="AA5" s="11">
        <v>0.46481823974569431</v>
      </c>
      <c r="AB5" s="11">
        <v>0.17428549841488991</v>
      </c>
      <c r="AC5" s="10">
        <v>1</v>
      </c>
      <c r="AD5" s="9" t="s">
        <v>41</v>
      </c>
      <c r="AE5" s="9" t="s">
        <v>35</v>
      </c>
    </row>
    <row r="6" spans="1:31" x14ac:dyDescent="0.25">
      <c r="A6" s="9" t="s">
        <v>503</v>
      </c>
      <c r="B6" s="1" t="s">
        <v>52</v>
      </c>
      <c r="C6" s="1" t="s">
        <v>47</v>
      </c>
      <c r="D6" s="10">
        <v>1</v>
      </c>
      <c r="E6" s="10">
        <v>1993</v>
      </c>
      <c r="F6" s="9" t="s">
        <v>38</v>
      </c>
      <c r="G6" s="9" t="s">
        <v>29</v>
      </c>
      <c r="H6" s="1">
        <v>38</v>
      </c>
      <c r="I6" s="1">
        <v>16</v>
      </c>
      <c r="J6" s="9" t="s">
        <v>43</v>
      </c>
      <c r="K6" s="1">
        <v>1</v>
      </c>
      <c r="L6" s="10">
        <v>37</v>
      </c>
      <c r="M6" s="3">
        <v>0.4</v>
      </c>
      <c r="N6" s="11">
        <v>1.9599999999999999E-2</v>
      </c>
      <c r="O6">
        <v>132</v>
      </c>
      <c r="P6" s="11">
        <v>0.42364893019360178</v>
      </c>
      <c r="Q6" s="11">
        <v>2.9411764705882349E-2</v>
      </c>
      <c r="R6" s="11">
        <v>0.40507049738189937</v>
      </c>
      <c r="S6" s="11">
        <v>1.9409964511605669E-2</v>
      </c>
      <c r="T6" s="9" t="s">
        <v>40</v>
      </c>
      <c r="U6" s="9" t="s">
        <v>46</v>
      </c>
      <c r="V6" s="9" t="s">
        <v>33</v>
      </c>
      <c r="W6" s="9" t="s">
        <v>911</v>
      </c>
      <c r="X6" s="1">
        <v>14</v>
      </c>
      <c r="Y6" s="1">
        <v>15</v>
      </c>
      <c r="Z6" s="3">
        <f>X6/Y6</f>
        <v>0.93333333333333335</v>
      </c>
      <c r="AA6" s="11">
        <v>0.42358687104367881</v>
      </c>
      <c r="AB6" s="11">
        <v>0.1602605661164066</v>
      </c>
      <c r="AC6" s="10">
        <v>1</v>
      </c>
      <c r="AD6" s="9" t="s">
        <v>41</v>
      </c>
      <c r="AE6" s="9" t="s">
        <v>35</v>
      </c>
    </row>
    <row r="7" spans="1:31" x14ac:dyDescent="0.25">
      <c r="A7" s="9" t="s">
        <v>504</v>
      </c>
      <c r="B7" s="1" t="s">
        <v>56</v>
      </c>
      <c r="C7" s="1" t="s">
        <v>49</v>
      </c>
      <c r="D7" s="10">
        <v>1</v>
      </c>
      <c r="E7" s="10">
        <v>1993</v>
      </c>
      <c r="F7" s="9" t="s">
        <v>38</v>
      </c>
      <c r="G7" s="9" t="s">
        <v>29</v>
      </c>
      <c r="H7" s="1">
        <v>43.8</v>
      </c>
      <c r="I7" s="1">
        <v>21.5</v>
      </c>
      <c r="J7" s="9" t="s">
        <v>30</v>
      </c>
      <c r="K7" s="1">
        <v>0.59</v>
      </c>
      <c r="L7" s="10">
        <v>29</v>
      </c>
      <c r="M7" s="3">
        <v>0.43</v>
      </c>
      <c r="N7" s="11">
        <v>2.3728143214285711E-2</v>
      </c>
      <c r="O7">
        <v>415</v>
      </c>
      <c r="P7" s="11">
        <v>0.45989668121267852</v>
      </c>
      <c r="Q7" s="11">
        <v>3.8461538461538457E-2</v>
      </c>
      <c r="R7" s="11">
        <v>0.4369545233551767</v>
      </c>
      <c r="S7" s="11">
        <v>2.337840962990206E-2</v>
      </c>
      <c r="T7" s="9" t="s">
        <v>40</v>
      </c>
      <c r="U7" s="9" t="s">
        <v>50</v>
      </c>
      <c r="V7" s="9" t="s">
        <v>51</v>
      </c>
      <c r="W7" s="9" t="s">
        <v>324</v>
      </c>
      <c r="X7" s="1">
        <v>17.5</v>
      </c>
      <c r="Y7" s="1">
        <v>16</v>
      </c>
      <c r="Z7" s="3">
        <f>X7/Y7</f>
        <v>1.09375</v>
      </c>
      <c r="AA7" s="11">
        <v>0.39924580055286318</v>
      </c>
      <c r="AB7" s="11">
        <v>0.16637014686887761</v>
      </c>
      <c r="AC7" s="10">
        <v>0</v>
      </c>
      <c r="AD7" s="9" t="s">
        <v>41</v>
      </c>
      <c r="AE7" s="9" t="s">
        <v>35</v>
      </c>
    </row>
    <row r="8" spans="1:31" x14ac:dyDescent="0.25">
      <c r="A8" s="9" t="s">
        <v>55</v>
      </c>
      <c r="B8" s="1" t="s">
        <v>60</v>
      </c>
      <c r="C8" s="1" t="s">
        <v>53</v>
      </c>
      <c r="D8" s="10">
        <v>1</v>
      </c>
      <c r="E8" s="10">
        <v>1994</v>
      </c>
      <c r="F8" s="9" t="s">
        <v>38</v>
      </c>
      <c r="G8" s="9" t="s">
        <v>29</v>
      </c>
      <c r="H8" s="1">
        <v>25</v>
      </c>
      <c r="I8" s="1" t="s">
        <v>31</v>
      </c>
      <c r="J8" s="9" t="s">
        <v>39</v>
      </c>
      <c r="K8" s="1">
        <v>0</v>
      </c>
      <c r="L8" s="10">
        <v>40</v>
      </c>
      <c r="M8" s="3">
        <v>0.39500000000000002</v>
      </c>
      <c r="N8" s="11">
        <v>1.8263943605769231E-2</v>
      </c>
      <c r="O8">
        <v>834</v>
      </c>
      <c r="P8" s="11">
        <v>0.4177106181123123</v>
      </c>
      <c r="Q8" s="11">
        <v>2.7027027027027029E-2</v>
      </c>
      <c r="R8" s="11">
        <v>0.39961454619088549</v>
      </c>
      <c r="S8" s="11">
        <v>1.8105587059236351E-2</v>
      </c>
      <c r="T8" s="9" t="s">
        <v>40</v>
      </c>
      <c r="U8" s="9" t="s">
        <v>50</v>
      </c>
      <c r="V8" s="9" t="s">
        <v>33</v>
      </c>
      <c r="W8" s="9" t="s">
        <v>951</v>
      </c>
      <c r="X8" s="1">
        <v>11.42</v>
      </c>
      <c r="Y8" s="1">
        <v>15</v>
      </c>
      <c r="Z8" s="3">
        <f>X8/Y8</f>
        <v>0.76133333333333331</v>
      </c>
      <c r="AA8" s="11">
        <v>0.49174983513883108</v>
      </c>
      <c r="AB8" s="11">
        <v>0.1666725441234761</v>
      </c>
      <c r="AC8" s="10">
        <v>0</v>
      </c>
      <c r="AD8" s="9" t="s">
        <v>41</v>
      </c>
      <c r="AE8" s="9" t="s">
        <v>35</v>
      </c>
    </row>
    <row r="9" spans="1:31" x14ac:dyDescent="0.25">
      <c r="A9" s="9" t="s">
        <v>506</v>
      </c>
      <c r="B9" s="1" t="s">
        <v>64</v>
      </c>
      <c r="C9" s="1" t="s">
        <v>57</v>
      </c>
      <c r="D9" s="10">
        <v>2</v>
      </c>
      <c r="E9" s="10">
        <v>1995</v>
      </c>
      <c r="F9" s="9" t="s">
        <v>28</v>
      </c>
      <c r="G9" s="9" t="s">
        <v>29</v>
      </c>
      <c r="H9" s="1">
        <v>29.4</v>
      </c>
      <c r="I9" s="1">
        <v>11.7</v>
      </c>
      <c r="J9" s="9" t="s">
        <v>30</v>
      </c>
      <c r="K9" s="1">
        <v>0.71</v>
      </c>
      <c r="L9" s="10">
        <v>72</v>
      </c>
      <c r="M9" s="3">
        <v>-0.03</v>
      </c>
      <c r="N9" s="11">
        <v>1.4059166338028169E-2</v>
      </c>
      <c r="O9">
        <v>387</v>
      </c>
      <c r="P9" s="11">
        <v>-3.000900486312652E-2</v>
      </c>
      <c r="Q9" s="11">
        <v>1.4492753623188409E-2</v>
      </c>
      <c r="R9" s="11">
        <v>-3.0221187156945419E-2</v>
      </c>
      <c r="S9" s="11">
        <v>1.405879146263876E-2</v>
      </c>
      <c r="T9" s="9" t="s">
        <v>40</v>
      </c>
      <c r="U9" s="9" t="s">
        <v>50</v>
      </c>
      <c r="V9" s="9" t="s">
        <v>33</v>
      </c>
      <c r="W9" s="9" t="s">
        <v>911</v>
      </c>
      <c r="X9" s="1">
        <v>13.1</v>
      </c>
      <c r="Y9" s="1">
        <v>15</v>
      </c>
      <c r="Z9" s="3">
        <f>X9/Y9</f>
        <v>0.87333333333333329</v>
      </c>
      <c r="AA9" s="11">
        <v>-3.4346336867542092E-2</v>
      </c>
      <c r="AB9" s="11">
        <v>0.13673920291569619</v>
      </c>
      <c r="AC9" s="10">
        <v>0</v>
      </c>
      <c r="AD9" s="9" t="s">
        <v>41</v>
      </c>
      <c r="AE9" s="9" t="s">
        <v>35</v>
      </c>
    </row>
    <row r="10" spans="1:31" x14ac:dyDescent="0.25">
      <c r="A10" s="9" t="s">
        <v>58</v>
      </c>
      <c r="B10" s="1" t="s">
        <v>67</v>
      </c>
      <c r="C10" s="1" t="s">
        <v>59</v>
      </c>
      <c r="D10" s="10">
        <v>1</v>
      </c>
      <c r="E10" s="10">
        <v>1995</v>
      </c>
      <c r="F10" s="9" t="s">
        <v>38</v>
      </c>
      <c r="G10" s="9" t="s">
        <v>29</v>
      </c>
      <c r="H10" s="1">
        <v>22.5</v>
      </c>
      <c r="I10" s="1">
        <v>5</v>
      </c>
      <c r="J10" s="9" t="s">
        <v>43</v>
      </c>
      <c r="K10" s="1">
        <v>1</v>
      </c>
      <c r="L10" s="10">
        <v>40</v>
      </c>
      <c r="M10" s="3">
        <v>0.31</v>
      </c>
      <c r="N10" s="11">
        <v>2.0949620769230771E-2</v>
      </c>
      <c r="O10">
        <v>114</v>
      </c>
      <c r="P10" s="11">
        <v>0.32054540930194608</v>
      </c>
      <c r="Q10" s="11">
        <v>2.7027027027027029E-2</v>
      </c>
      <c r="R10" s="11">
        <v>0.31389376629318377</v>
      </c>
      <c r="S10" s="11">
        <v>2.083716485222659E-2</v>
      </c>
      <c r="T10" s="9" t="s">
        <v>40</v>
      </c>
      <c r="U10" s="9" t="s">
        <v>50</v>
      </c>
      <c r="V10" s="9" t="s">
        <v>33</v>
      </c>
      <c r="W10" s="9" t="s">
        <v>911</v>
      </c>
      <c r="X10" s="1">
        <v>9.3000000000000007</v>
      </c>
      <c r="Y10" s="1">
        <v>15</v>
      </c>
      <c r="Z10" s="3">
        <v>0.62</v>
      </c>
      <c r="AA10" s="11">
        <v>0.46546380743016469</v>
      </c>
      <c r="AB10" s="11">
        <v>0.2006894049941142</v>
      </c>
      <c r="AC10" s="10">
        <v>0</v>
      </c>
      <c r="AD10" s="9" t="s">
        <v>41</v>
      </c>
      <c r="AE10" s="9" t="s">
        <v>35</v>
      </c>
    </row>
    <row r="11" spans="1:31" x14ac:dyDescent="0.25">
      <c r="A11" s="9" t="s">
        <v>507</v>
      </c>
      <c r="B11" s="1" t="s">
        <v>69</v>
      </c>
      <c r="C11" s="1" t="s">
        <v>61</v>
      </c>
      <c r="D11" s="10">
        <v>2</v>
      </c>
      <c r="E11" s="10">
        <v>1995</v>
      </c>
      <c r="F11" s="9" t="s">
        <v>28</v>
      </c>
      <c r="G11" s="9" t="s">
        <v>29</v>
      </c>
      <c r="H11" s="1">
        <v>26.39</v>
      </c>
      <c r="I11" s="1">
        <v>6.73</v>
      </c>
      <c r="J11" s="9" t="s">
        <v>30</v>
      </c>
      <c r="K11" s="1">
        <v>0.54</v>
      </c>
      <c r="L11" s="10">
        <v>28</v>
      </c>
      <c r="M11" s="3">
        <v>0.65</v>
      </c>
      <c r="N11" s="11">
        <v>1.235208333333333E-2</v>
      </c>
      <c r="O11">
        <v>202</v>
      </c>
      <c r="P11" s="11">
        <v>0.7752987062055835</v>
      </c>
      <c r="Q11" s="11">
        <v>0.04</v>
      </c>
      <c r="R11" s="11">
        <v>0.65758407460778479</v>
      </c>
      <c r="S11" s="11">
        <v>1.193150635899771E-2</v>
      </c>
      <c r="T11" s="9" t="s">
        <v>40</v>
      </c>
      <c r="U11" s="9" t="s">
        <v>50</v>
      </c>
      <c r="V11" s="9" t="s">
        <v>33</v>
      </c>
      <c r="W11" s="9" t="s">
        <v>911</v>
      </c>
      <c r="X11" s="1">
        <v>9.0969999999999995</v>
      </c>
      <c r="Y11" s="1">
        <v>15</v>
      </c>
      <c r="Z11" s="3">
        <f>X11/Y11</f>
        <v>0.6064666666666666</v>
      </c>
      <c r="AA11" s="11">
        <v>0.81575321671654899</v>
      </c>
      <c r="AB11" s="11">
        <v>0.10835264232979699</v>
      </c>
      <c r="AC11" s="10">
        <v>0</v>
      </c>
      <c r="AD11" s="9" t="s">
        <v>41</v>
      </c>
      <c r="AE11" s="9" t="s">
        <v>35</v>
      </c>
    </row>
    <row r="12" spans="1:31" x14ac:dyDescent="0.25">
      <c r="A12" s="9" t="s">
        <v>508</v>
      </c>
      <c r="B12" s="1" t="s">
        <v>72</v>
      </c>
      <c r="C12" s="1" t="s">
        <v>65</v>
      </c>
      <c r="D12" s="10">
        <v>1</v>
      </c>
      <c r="E12" s="10">
        <v>1995</v>
      </c>
      <c r="F12" s="9" t="s">
        <v>38</v>
      </c>
      <c r="G12" s="9" t="s">
        <v>29</v>
      </c>
      <c r="H12" s="1">
        <v>27.66</v>
      </c>
      <c r="I12" s="1">
        <v>7.31</v>
      </c>
      <c r="J12" s="9" t="s">
        <v>30</v>
      </c>
      <c r="K12" s="1">
        <v>0.63</v>
      </c>
      <c r="L12" s="10">
        <v>68</v>
      </c>
      <c r="M12" s="3">
        <v>0.3</v>
      </c>
      <c r="N12" s="11">
        <v>1.235970149253731E-2</v>
      </c>
      <c r="O12" t="s">
        <v>63</v>
      </c>
      <c r="P12" s="11">
        <v>0.30951960420311181</v>
      </c>
      <c r="Q12" s="11">
        <v>1.5384615384615391E-2</v>
      </c>
      <c r="R12" s="11">
        <v>0.30213411933817091</v>
      </c>
      <c r="S12" s="11">
        <v>1.2324819460414589E-2</v>
      </c>
      <c r="T12" s="9" t="s">
        <v>40</v>
      </c>
      <c r="U12" s="9" t="s">
        <v>50</v>
      </c>
      <c r="V12" s="9" t="s">
        <v>33</v>
      </c>
      <c r="W12" s="9" t="s">
        <v>953</v>
      </c>
      <c r="X12" s="1" t="s">
        <v>31</v>
      </c>
      <c r="Y12" s="1" t="s">
        <v>31</v>
      </c>
      <c r="Z12" s="3" t="s">
        <v>31</v>
      </c>
      <c r="AA12" s="11" t="s">
        <v>31</v>
      </c>
      <c r="AB12" s="11" t="s">
        <v>31</v>
      </c>
      <c r="AC12" s="10">
        <v>0</v>
      </c>
      <c r="AD12" s="9" t="s">
        <v>41</v>
      </c>
      <c r="AE12" s="9" t="s">
        <v>63</v>
      </c>
    </row>
    <row r="13" spans="1:31" x14ac:dyDescent="0.25">
      <c r="A13" s="9" t="s">
        <v>66</v>
      </c>
      <c r="B13" s="1" t="s">
        <v>75</v>
      </c>
      <c r="C13" s="1" t="s">
        <v>68</v>
      </c>
      <c r="D13" s="10">
        <v>2</v>
      </c>
      <c r="E13" s="10">
        <v>1995</v>
      </c>
      <c r="F13" s="9" t="s">
        <v>28</v>
      </c>
      <c r="G13" s="9" t="s">
        <v>29</v>
      </c>
      <c r="H13" s="1">
        <v>35.200000000000003</v>
      </c>
      <c r="I13" s="1">
        <v>8.32</v>
      </c>
      <c r="J13" s="9" t="s">
        <v>30</v>
      </c>
      <c r="K13" s="1">
        <v>0.77</v>
      </c>
      <c r="L13" s="10">
        <v>11</v>
      </c>
      <c r="M13" s="3">
        <v>-0.24</v>
      </c>
      <c r="N13" s="11">
        <v>8.8811775999999995E-2</v>
      </c>
      <c r="O13">
        <v>363</v>
      </c>
      <c r="P13" s="11">
        <v>-0.24477411265935289</v>
      </c>
      <c r="Q13" s="11">
        <v>0.125</v>
      </c>
      <c r="R13" s="11">
        <v>-0.25628031443357258</v>
      </c>
      <c r="S13" s="11">
        <v>8.729546106668308E-2</v>
      </c>
      <c r="T13" s="9" t="s">
        <v>40</v>
      </c>
      <c r="U13" s="9" t="s">
        <v>46</v>
      </c>
      <c r="V13" s="9" t="s">
        <v>33</v>
      </c>
      <c r="W13" s="9" t="s">
        <v>325</v>
      </c>
      <c r="X13" s="1">
        <v>12.71</v>
      </c>
      <c r="Y13" s="1">
        <v>15</v>
      </c>
      <c r="Z13" s="3">
        <f>X13/Y13</f>
        <v>0.84733333333333338</v>
      </c>
      <c r="AA13" s="11">
        <v>-0.2800906320716347</v>
      </c>
      <c r="AB13" s="11">
        <v>0.36928952823281802</v>
      </c>
      <c r="AC13" s="10">
        <v>0</v>
      </c>
      <c r="AD13" s="9" t="s">
        <v>41</v>
      </c>
      <c r="AE13" s="9" t="s">
        <v>35</v>
      </c>
    </row>
    <row r="14" spans="1:31" x14ac:dyDescent="0.25">
      <c r="A14" s="9" t="s">
        <v>71</v>
      </c>
      <c r="B14" s="1" t="s">
        <v>79</v>
      </c>
      <c r="C14" s="1" t="s">
        <v>70</v>
      </c>
      <c r="D14" s="10">
        <v>2</v>
      </c>
      <c r="E14" s="10">
        <v>1995</v>
      </c>
      <c r="F14" s="9" t="s">
        <v>38</v>
      </c>
      <c r="G14" s="9" t="s">
        <v>54</v>
      </c>
      <c r="H14" s="1">
        <v>11.28</v>
      </c>
      <c r="I14" s="1" t="s">
        <v>31</v>
      </c>
      <c r="J14" s="9" t="s">
        <v>30</v>
      </c>
      <c r="K14" s="1">
        <v>0.42</v>
      </c>
      <c r="L14" s="10">
        <v>87</v>
      </c>
      <c r="M14" s="3">
        <v>0</v>
      </c>
      <c r="N14" s="11">
        <v>1.1627906976744189E-2</v>
      </c>
      <c r="O14" t="s">
        <v>63</v>
      </c>
      <c r="P14" s="11">
        <v>0</v>
      </c>
      <c r="Q14" s="11">
        <v>1.1904761904761901E-2</v>
      </c>
      <c r="R14" s="11">
        <v>0</v>
      </c>
      <c r="S14" s="11">
        <v>1.1627906976744189E-2</v>
      </c>
      <c r="T14" s="9" t="s">
        <v>40</v>
      </c>
      <c r="U14" s="9" t="s">
        <v>50</v>
      </c>
      <c r="V14" s="9" t="s">
        <v>33</v>
      </c>
      <c r="W14" s="9" t="s">
        <v>326</v>
      </c>
      <c r="X14" s="1" t="s">
        <v>31</v>
      </c>
      <c r="Y14" s="1" t="s">
        <v>31</v>
      </c>
      <c r="Z14" s="3" t="s">
        <v>31</v>
      </c>
      <c r="AA14" s="11" t="s">
        <v>31</v>
      </c>
      <c r="AB14" s="11" t="s">
        <v>31</v>
      </c>
      <c r="AC14" s="10">
        <v>0</v>
      </c>
      <c r="AD14" s="9" t="s">
        <v>34</v>
      </c>
      <c r="AE14" s="9" t="s">
        <v>63</v>
      </c>
    </row>
    <row r="15" spans="1:31" x14ac:dyDescent="0.25">
      <c r="A15" s="9" t="s">
        <v>71</v>
      </c>
      <c r="B15" s="1" t="s">
        <v>81</v>
      </c>
      <c r="C15" s="1" t="s">
        <v>73</v>
      </c>
      <c r="D15" s="10">
        <v>2</v>
      </c>
      <c r="E15" s="10">
        <v>1995</v>
      </c>
      <c r="F15" s="9" t="s">
        <v>28</v>
      </c>
      <c r="G15" s="9" t="s">
        <v>54</v>
      </c>
      <c r="H15" s="1">
        <v>10.8</v>
      </c>
      <c r="I15" s="1" t="s">
        <v>31</v>
      </c>
      <c r="J15" s="9" t="s">
        <v>30</v>
      </c>
      <c r="K15" s="1">
        <v>0.35</v>
      </c>
      <c r="L15" s="10">
        <v>51</v>
      </c>
      <c r="M15" s="3">
        <v>0.245</v>
      </c>
      <c r="N15" s="11">
        <v>1.76710600125E-2</v>
      </c>
      <c r="O15">
        <v>163</v>
      </c>
      <c r="P15" s="11">
        <v>0.25008652982489171</v>
      </c>
      <c r="Q15" s="11">
        <v>2.0833333333333329E-2</v>
      </c>
      <c r="R15" s="11">
        <v>0.2474554640907542</v>
      </c>
      <c r="S15" s="11">
        <v>1.762562429308925E-2</v>
      </c>
      <c r="T15" s="9" t="s">
        <v>40</v>
      </c>
      <c r="U15" s="9" t="s">
        <v>50</v>
      </c>
      <c r="V15" s="9" t="s">
        <v>33</v>
      </c>
      <c r="W15" s="9" t="s">
        <v>326</v>
      </c>
      <c r="X15" s="1">
        <v>17</v>
      </c>
      <c r="Y15" s="1">
        <v>15</v>
      </c>
      <c r="Z15" s="3">
        <f>X15/Y15</f>
        <v>1.1333333333333333</v>
      </c>
      <c r="AA15" s="11">
        <v>0.21762774337286189</v>
      </c>
      <c r="AB15" s="11">
        <v>0.1246866507720661</v>
      </c>
      <c r="AC15" s="10">
        <v>0</v>
      </c>
      <c r="AD15" s="9" t="s">
        <v>34</v>
      </c>
      <c r="AE15" s="9" t="s">
        <v>35</v>
      </c>
    </row>
    <row r="16" spans="1:31" x14ac:dyDescent="0.25">
      <c r="A16" s="9" t="s">
        <v>509</v>
      </c>
      <c r="B16" s="1" t="s">
        <v>83</v>
      </c>
      <c r="C16" s="1" t="s">
        <v>74</v>
      </c>
      <c r="D16" s="10">
        <v>1</v>
      </c>
      <c r="E16" s="10">
        <v>1996</v>
      </c>
      <c r="F16" s="9" t="s">
        <v>38</v>
      </c>
      <c r="G16" s="9" t="s">
        <v>54</v>
      </c>
      <c r="H16" s="1">
        <v>10.6</v>
      </c>
      <c r="I16" s="1">
        <v>2.7</v>
      </c>
      <c r="J16" s="9" t="s">
        <v>39</v>
      </c>
      <c r="K16" s="1">
        <v>0</v>
      </c>
      <c r="L16" s="10">
        <v>57</v>
      </c>
      <c r="M16" s="3">
        <v>0.37</v>
      </c>
      <c r="N16" s="11">
        <v>1.3302528750000001E-2</v>
      </c>
      <c r="O16" t="s">
        <v>63</v>
      </c>
      <c r="P16" s="11">
        <v>0.38842309971829619</v>
      </c>
      <c r="Q16" s="11">
        <v>1.8518518518518521E-2</v>
      </c>
      <c r="R16" s="11">
        <v>0.37300868284024669</v>
      </c>
      <c r="S16" s="11">
        <v>1.323370939542047E-2</v>
      </c>
      <c r="T16" s="9" t="s">
        <v>40</v>
      </c>
      <c r="U16" s="9" t="s">
        <v>50</v>
      </c>
      <c r="V16" s="9" t="s">
        <v>33</v>
      </c>
      <c r="W16" s="9" t="s">
        <v>77</v>
      </c>
      <c r="X16" s="1">
        <v>15</v>
      </c>
      <c r="Y16" s="1" t="s">
        <v>31</v>
      </c>
      <c r="Z16" s="3" t="s">
        <v>31</v>
      </c>
      <c r="AA16" s="11" t="s">
        <v>31</v>
      </c>
      <c r="AB16" s="11" t="s">
        <v>31</v>
      </c>
      <c r="AC16" s="10">
        <v>0</v>
      </c>
      <c r="AD16" s="9" t="s">
        <v>41</v>
      </c>
      <c r="AE16" s="9" t="s">
        <v>63</v>
      </c>
    </row>
    <row r="17" spans="1:31" x14ac:dyDescent="0.25">
      <c r="A17" s="9" t="s">
        <v>509</v>
      </c>
      <c r="B17" s="1" t="s">
        <v>85</v>
      </c>
      <c r="C17" s="1" t="s">
        <v>76</v>
      </c>
      <c r="D17" s="10">
        <v>2</v>
      </c>
      <c r="E17" s="10">
        <v>1996</v>
      </c>
      <c r="F17" s="9" t="s">
        <v>38</v>
      </c>
      <c r="G17" s="9" t="s">
        <v>54</v>
      </c>
      <c r="H17" s="1">
        <v>10.1</v>
      </c>
      <c r="I17" s="1">
        <v>2.7</v>
      </c>
      <c r="J17" s="9" t="s">
        <v>43</v>
      </c>
      <c r="K17" s="1">
        <v>1</v>
      </c>
      <c r="L17" s="10">
        <v>12</v>
      </c>
      <c r="M17" s="3">
        <v>0.52</v>
      </c>
      <c r="N17" s="11">
        <v>4.8392378181818192E-2</v>
      </c>
      <c r="O17" t="s">
        <v>63</v>
      </c>
      <c r="P17" s="11">
        <v>0.57633975496919276</v>
      </c>
      <c r="Q17" s="11">
        <v>0.1111111111111111</v>
      </c>
      <c r="R17" s="11">
        <v>0.54236991046820004</v>
      </c>
      <c r="S17" s="11">
        <v>4.5291170739397292E-2</v>
      </c>
      <c r="T17" s="9" t="s">
        <v>40</v>
      </c>
      <c r="U17" s="9" t="s">
        <v>50</v>
      </c>
      <c r="V17" s="9" t="s">
        <v>33</v>
      </c>
      <c r="W17" s="9" t="s">
        <v>77</v>
      </c>
      <c r="X17" s="1">
        <v>17</v>
      </c>
      <c r="Y17" s="1" t="s">
        <v>31</v>
      </c>
      <c r="Z17" s="3" t="s">
        <v>31</v>
      </c>
      <c r="AA17" s="11" t="s">
        <v>31</v>
      </c>
      <c r="AB17" s="11" t="s">
        <v>31</v>
      </c>
      <c r="AC17" s="10">
        <v>0</v>
      </c>
      <c r="AD17" s="9" t="s">
        <v>41</v>
      </c>
      <c r="AE17" s="9" t="s">
        <v>63</v>
      </c>
    </row>
    <row r="18" spans="1:31" x14ac:dyDescent="0.25">
      <c r="A18" s="9" t="s">
        <v>510</v>
      </c>
      <c r="B18" s="1" t="s">
        <v>88</v>
      </c>
      <c r="C18" s="1" t="s">
        <v>78</v>
      </c>
      <c r="D18" s="10">
        <v>2</v>
      </c>
      <c r="E18" s="10">
        <v>1997</v>
      </c>
      <c r="F18" s="9" t="s">
        <v>28</v>
      </c>
      <c r="G18" s="9" t="s">
        <v>29</v>
      </c>
      <c r="H18" s="1">
        <v>70.2</v>
      </c>
      <c r="I18" s="1">
        <v>7.1</v>
      </c>
      <c r="J18" s="9" t="s">
        <v>30</v>
      </c>
      <c r="K18" s="1">
        <v>0.38</v>
      </c>
      <c r="L18" s="10">
        <v>60</v>
      </c>
      <c r="M18" s="3">
        <v>0.39900000000000002</v>
      </c>
      <c r="N18" s="11">
        <v>1.198208404069492E-2</v>
      </c>
      <c r="O18">
        <v>21</v>
      </c>
      <c r="P18" s="11">
        <v>0.4224590200651368</v>
      </c>
      <c r="Q18" s="11">
        <v>1.754385964912281E-2</v>
      </c>
      <c r="R18" s="11">
        <v>0.40198886130584272</v>
      </c>
      <c r="S18" s="11">
        <v>1.191394693586194E-2</v>
      </c>
      <c r="T18" s="9" t="s">
        <v>40</v>
      </c>
      <c r="U18" s="9" t="s">
        <v>50</v>
      </c>
      <c r="V18" s="9" t="s">
        <v>33</v>
      </c>
      <c r="W18" s="9" t="s">
        <v>911</v>
      </c>
      <c r="X18" s="1">
        <v>12.5</v>
      </c>
      <c r="Y18" s="1">
        <v>15</v>
      </c>
      <c r="Z18" s="3">
        <f t="shared" ref="Z18:Z26" si="0">X18/Y18</f>
        <v>0.83333333333333337</v>
      </c>
      <c r="AA18" s="11">
        <v>0.46286295393275628</v>
      </c>
      <c r="AB18" s="11">
        <v>0.1305293529650027</v>
      </c>
      <c r="AC18" s="10">
        <v>3</v>
      </c>
      <c r="AD18" s="9" t="s">
        <v>34</v>
      </c>
      <c r="AE18" s="9" t="s">
        <v>35</v>
      </c>
    </row>
    <row r="19" spans="1:31" x14ac:dyDescent="0.25">
      <c r="A19" s="9" t="s">
        <v>511</v>
      </c>
      <c r="B19" s="1" t="s">
        <v>91</v>
      </c>
      <c r="C19" s="1" t="s">
        <v>80</v>
      </c>
      <c r="D19" s="10">
        <v>2</v>
      </c>
      <c r="E19" s="10">
        <v>1997</v>
      </c>
      <c r="F19" s="9" t="s">
        <v>38</v>
      </c>
      <c r="G19" s="9" t="s">
        <v>29</v>
      </c>
      <c r="H19" s="1">
        <v>24.8</v>
      </c>
      <c r="I19" s="1">
        <v>4.5</v>
      </c>
      <c r="J19" s="9" t="s">
        <v>30</v>
      </c>
      <c r="K19" s="1">
        <v>0.53</v>
      </c>
      <c r="L19" s="10">
        <v>62</v>
      </c>
      <c r="M19" s="3">
        <v>0.38</v>
      </c>
      <c r="N19" s="11">
        <v>1.200084196721312E-2</v>
      </c>
      <c r="O19">
        <v>4</v>
      </c>
      <c r="P19" s="11">
        <v>0.40005965005605648</v>
      </c>
      <c r="Q19" s="11">
        <v>1.6949152542372881E-2</v>
      </c>
      <c r="R19" s="11">
        <v>0.38279862848911328</v>
      </c>
      <c r="S19" s="11">
        <v>1.194103056928167E-2</v>
      </c>
      <c r="T19" s="9" t="s">
        <v>40</v>
      </c>
      <c r="U19" s="9" t="s">
        <v>50</v>
      </c>
      <c r="V19" s="9" t="s">
        <v>33</v>
      </c>
      <c r="W19" s="9" t="s">
        <v>911</v>
      </c>
      <c r="X19" s="1">
        <v>12.2</v>
      </c>
      <c r="Y19" s="1">
        <v>15</v>
      </c>
      <c r="Z19" s="3">
        <f t="shared" si="0"/>
        <v>0.81333333333333324</v>
      </c>
      <c r="AA19" s="11">
        <v>0.45085356817418942</v>
      </c>
      <c r="AB19" s="11">
        <v>0.1319327605223104</v>
      </c>
      <c r="AC19" s="10">
        <v>0</v>
      </c>
      <c r="AD19" s="9" t="s">
        <v>41</v>
      </c>
      <c r="AE19" s="9" t="s">
        <v>35</v>
      </c>
    </row>
    <row r="20" spans="1:31" x14ac:dyDescent="0.25">
      <c r="A20" s="9" t="s">
        <v>512</v>
      </c>
      <c r="B20" s="1" t="s">
        <v>95</v>
      </c>
      <c r="C20" s="1" t="s">
        <v>82</v>
      </c>
      <c r="D20" s="10">
        <v>1</v>
      </c>
      <c r="E20" s="10">
        <v>1998</v>
      </c>
      <c r="F20" s="9" t="s">
        <v>38</v>
      </c>
      <c r="G20" s="9" t="s">
        <v>29</v>
      </c>
      <c r="H20" s="1">
        <v>27</v>
      </c>
      <c r="I20" s="1">
        <v>10</v>
      </c>
      <c r="J20" s="9" t="s">
        <v>30</v>
      </c>
      <c r="K20" s="1">
        <v>0.53</v>
      </c>
      <c r="L20" s="10">
        <v>90</v>
      </c>
      <c r="M20" s="3">
        <v>0.25</v>
      </c>
      <c r="N20" s="11">
        <v>9.8753511235955063E-3</v>
      </c>
      <c r="O20">
        <v>152</v>
      </c>
      <c r="P20" s="11">
        <v>0.25541281188299542</v>
      </c>
      <c r="Q20" s="11">
        <v>1.149425287356322E-2</v>
      </c>
      <c r="R20" s="11">
        <v>0.2513643005523179</v>
      </c>
      <c r="S20" s="11">
        <v>9.8609460240063548E-3</v>
      </c>
      <c r="T20" s="9" t="s">
        <v>40</v>
      </c>
      <c r="U20" s="9" t="s">
        <v>50</v>
      </c>
      <c r="V20" s="9" t="s">
        <v>33</v>
      </c>
      <c r="W20" s="9" t="s">
        <v>911</v>
      </c>
      <c r="X20" s="1">
        <v>12</v>
      </c>
      <c r="Y20" s="1">
        <v>15</v>
      </c>
      <c r="Z20" s="3">
        <f t="shared" si="0"/>
        <v>0.8</v>
      </c>
      <c r="AA20" s="11">
        <v>0.30714755841697561</v>
      </c>
      <c r="AB20" s="11">
        <v>0.1225026411583235</v>
      </c>
      <c r="AC20" s="10">
        <v>1</v>
      </c>
      <c r="AD20" s="9" t="s">
        <v>41</v>
      </c>
      <c r="AE20" s="9" t="s">
        <v>35</v>
      </c>
    </row>
    <row r="21" spans="1:31" x14ac:dyDescent="0.25">
      <c r="A21" s="9" t="s">
        <v>513</v>
      </c>
      <c r="B21" s="1" t="s">
        <v>97</v>
      </c>
      <c r="C21" s="1" t="s">
        <v>84</v>
      </c>
      <c r="D21" s="10">
        <v>1</v>
      </c>
      <c r="E21" s="10">
        <v>1999</v>
      </c>
      <c r="F21" s="9" t="s">
        <v>38</v>
      </c>
      <c r="G21" s="9" t="s">
        <v>29</v>
      </c>
      <c r="H21" s="1">
        <v>25</v>
      </c>
      <c r="I21" s="1">
        <v>5.3</v>
      </c>
      <c r="J21" s="9" t="s">
        <v>39</v>
      </c>
      <c r="K21" s="1">
        <v>0</v>
      </c>
      <c r="L21" s="10">
        <v>40</v>
      </c>
      <c r="M21" s="3">
        <v>0.4</v>
      </c>
      <c r="N21" s="11">
        <v>1.8092307692307689E-2</v>
      </c>
      <c r="O21">
        <v>4069</v>
      </c>
      <c r="P21" s="11">
        <v>0.42364893019360178</v>
      </c>
      <c r="Q21" s="11">
        <v>2.7027027027027029E-2</v>
      </c>
      <c r="R21" s="11">
        <v>0.40464975908000661</v>
      </c>
      <c r="S21" s="11">
        <v>1.7931497436933879E-2</v>
      </c>
      <c r="T21" s="9" t="s">
        <v>40</v>
      </c>
      <c r="U21" s="9" t="s">
        <v>46</v>
      </c>
      <c r="V21" s="9" t="s">
        <v>33</v>
      </c>
      <c r="W21" s="9" t="s">
        <v>973</v>
      </c>
      <c r="X21" s="1">
        <v>12.9</v>
      </c>
      <c r="Y21" s="1">
        <v>15</v>
      </c>
      <c r="Z21" s="3">
        <f t="shared" si="0"/>
        <v>0.86</v>
      </c>
      <c r="AA21" s="11">
        <v>0.45254428518076062</v>
      </c>
      <c r="AB21" s="11">
        <v>0.1592384816671196</v>
      </c>
      <c r="AC21" s="10">
        <v>0</v>
      </c>
      <c r="AD21" s="9" t="s">
        <v>41</v>
      </c>
      <c r="AE21" s="9" t="s">
        <v>35</v>
      </c>
    </row>
    <row r="22" spans="1:31" x14ac:dyDescent="0.25">
      <c r="A22" s="9" t="s">
        <v>513</v>
      </c>
      <c r="B22" s="1" t="s">
        <v>100</v>
      </c>
      <c r="C22" s="1" t="s">
        <v>86</v>
      </c>
      <c r="D22" s="10">
        <v>1</v>
      </c>
      <c r="E22" s="10">
        <v>1999</v>
      </c>
      <c r="F22" s="9" t="s">
        <v>38</v>
      </c>
      <c r="G22" s="9" t="s">
        <v>29</v>
      </c>
      <c r="H22" s="1">
        <v>27</v>
      </c>
      <c r="I22" s="1">
        <v>5.7</v>
      </c>
      <c r="J22" s="9" t="s">
        <v>43</v>
      </c>
      <c r="K22" s="1">
        <v>1</v>
      </c>
      <c r="L22" s="10">
        <v>40</v>
      </c>
      <c r="M22" s="3">
        <v>0.39</v>
      </c>
      <c r="N22" s="11">
        <v>1.8434215641025639E-2</v>
      </c>
      <c r="O22">
        <v>4069</v>
      </c>
      <c r="P22" s="11">
        <v>0.41180003447869029</v>
      </c>
      <c r="Q22" s="11">
        <v>2.7027027027027029E-2</v>
      </c>
      <c r="R22" s="11">
        <v>0.39457848071424662</v>
      </c>
      <c r="S22" s="11">
        <v>1.8278351262342118E-2</v>
      </c>
      <c r="T22" s="9" t="s">
        <v>40</v>
      </c>
      <c r="U22" s="9" t="s">
        <v>46</v>
      </c>
      <c r="V22" s="9" t="s">
        <v>33</v>
      </c>
      <c r="W22" s="9" t="s">
        <v>973</v>
      </c>
      <c r="X22" s="1">
        <v>13.5</v>
      </c>
      <c r="Y22" s="1">
        <v>15</v>
      </c>
      <c r="Z22" s="3">
        <f t="shared" si="0"/>
        <v>0.9</v>
      </c>
      <c r="AA22" s="11">
        <v>0.42580403117336912</v>
      </c>
      <c r="AB22" s="11">
        <v>0.15747115871364911</v>
      </c>
      <c r="AC22" s="10">
        <v>0</v>
      </c>
      <c r="AD22" s="9" t="s">
        <v>41</v>
      </c>
      <c r="AE22" s="9" t="s">
        <v>35</v>
      </c>
    </row>
    <row r="23" spans="1:31" x14ac:dyDescent="0.25">
      <c r="A23" s="9" t="s">
        <v>514</v>
      </c>
      <c r="B23" s="1" t="s">
        <v>102</v>
      </c>
      <c r="C23" s="1" t="s">
        <v>87</v>
      </c>
      <c r="D23" s="10">
        <v>1</v>
      </c>
      <c r="E23" s="10">
        <v>1999</v>
      </c>
      <c r="F23" s="9" t="s">
        <v>38</v>
      </c>
      <c r="G23" s="9" t="s">
        <v>29</v>
      </c>
      <c r="H23" s="1">
        <v>22</v>
      </c>
      <c r="I23" s="1" t="s">
        <v>31</v>
      </c>
      <c r="J23" s="9" t="s">
        <v>39</v>
      </c>
      <c r="K23" s="1">
        <v>0</v>
      </c>
      <c r="L23" s="10">
        <v>54</v>
      </c>
      <c r="M23" s="3">
        <v>0.62</v>
      </c>
      <c r="N23" s="11">
        <v>7.1502520754716968E-3</v>
      </c>
      <c r="O23">
        <v>87</v>
      </c>
      <c r="P23" s="11">
        <v>0.72500508775299921</v>
      </c>
      <c r="Q23" s="11">
        <v>1.9607843137254902E-2</v>
      </c>
      <c r="R23" s="11">
        <v>0.62376867449294315</v>
      </c>
      <c r="S23" s="11">
        <v>7.041778388548919E-3</v>
      </c>
      <c r="T23" s="9" t="s">
        <v>40</v>
      </c>
      <c r="U23" s="9" t="s">
        <v>50</v>
      </c>
      <c r="V23" s="9" t="s">
        <v>51</v>
      </c>
      <c r="W23" s="9" t="s">
        <v>324</v>
      </c>
      <c r="X23" s="1">
        <v>18</v>
      </c>
      <c r="Y23" s="1">
        <v>16</v>
      </c>
      <c r="Z23" s="3">
        <f t="shared" si="0"/>
        <v>1.125</v>
      </c>
      <c r="AA23" s="11">
        <v>0.57478443142762869</v>
      </c>
      <c r="AB23" s="11">
        <v>0.10972171803399849</v>
      </c>
      <c r="AC23" s="10">
        <v>0</v>
      </c>
      <c r="AD23" s="9" t="s">
        <v>41</v>
      </c>
      <c r="AE23" s="9" t="s">
        <v>35</v>
      </c>
    </row>
    <row r="24" spans="1:31" x14ac:dyDescent="0.25">
      <c r="A24" s="9" t="s">
        <v>514</v>
      </c>
      <c r="B24" s="1" t="s">
        <v>104</v>
      </c>
      <c r="C24" s="1" t="s">
        <v>89</v>
      </c>
      <c r="D24" s="10">
        <v>1</v>
      </c>
      <c r="E24" s="10">
        <v>1999</v>
      </c>
      <c r="F24" s="9" t="s">
        <v>38</v>
      </c>
      <c r="G24" s="9" t="s">
        <v>29</v>
      </c>
      <c r="H24" s="1">
        <v>22</v>
      </c>
      <c r="I24" s="1" t="s">
        <v>31</v>
      </c>
      <c r="J24" s="9" t="s">
        <v>43</v>
      </c>
      <c r="K24" s="1">
        <v>1</v>
      </c>
      <c r="L24" s="10">
        <v>49</v>
      </c>
      <c r="M24" s="3">
        <v>0.28000000000000003</v>
      </c>
      <c r="N24" s="11">
        <v>1.7694720000000001E-2</v>
      </c>
      <c r="O24">
        <v>87</v>
      </c>
      <c r="P24" s="11">
        <v>0.28768207245178101</v>
      </c>
      <c r="Q24" s="11">
        <v>2.1739130434782612E-2</v>
      </c>
      <c r="R24" s="11">
        <v>0.28287119422869161</v>
      </c>
      <c r="S24" s="11">
        <v>1.7632715691974579E-2</v>
      </c>
      <c r="T24" s="9" t="s">
        <v>40</v>
      </c>
      <c r="U24" s="9" t="s">
        <v>50</v>
      </c>
      <c r="V24" s="9" t="s">
        <v>51</v>
      </c>
      <c r="W24" s="9" t="s">
        <v>324</v>
      </c>
      <c r="X24" s="1">
        <v>18</v>
      </c>
      <c r="Y24" s="1">
        <v>16</v>
      </c>
      <c r="Z24" s="3">
        <f t="shared" si="0"/>
        <v>1.125</v>
      </c>
      <c r="AA24" s="11">
        <v>0.25096215878372619</v>
      </c>
      <c r="AB24" s="11">
        <v>0.12760802276354491</v>
      </c>
      <c r="AC24" s="10">
        <v>0</v>
      </c>
      <c r="AD24" s="9" t="s">
        <v>41</v>
      </c>
      <c r="AE24" s="9" t="s">
        <v>35</v>
      </c>
    </row>
    <row r="25" spans="1:31" x14ac:dyDescent="0.25">
      <c r="A25" s="9" t="s">
        <v>515</v>
      </c>
      <c r="B25" s="1" t="s">
        <v>107</v>
      </c>
      <c r="C25" s="1" t="s">
        <v>90</v>
      </c>
      <c r="D25" s="10">
        <v>1</v>
      </c>
      <c r="E25" s="10">
        <v>2000</v>
      </c>
      <c r="F25" s="9" t="s">
        <v>38</v>
      </c>
      <c r="G25" s="9" t="s">
        <v>29</v>
      </c>
      <c r="H25" s="1">
        <v>80.7</v>
      </c>
      <c r="I25" s="1">
        <v>0.3</v>
      </c>
      <c r="J25" s="9" t="s">
        <v>39</v>
      </c>
      <c r="K25" s="1">
        <v>0</v>
      </c>
      <c r="L25" s="10">
        <v>22</v>
      </c>
      <c r="M25" s="3">
        <v>0.22</v>
      </c>
      <c r="N25" s="11">
        <v>4.3121074285714288E-2</v>
      </c>
      <c r="O25" t="s">
        <v>63</v>
      </c>
      <c r="P25" s="11">
        <v>0.22365610902183239</v>
      </c>
      <c r="Q25" s="11">
        <v>5.2631578947368418E-2</v>
      </c>
      <c r="R25" s="11">
        <v>0.2258540587709644</v>
      </c>
      <c r="S25" s="11">
        <v>4.2884853051073452E-2</v>
      </c>
      <c r="T25" s="9" t="s">
        <v>40</v>
      </c>
      <c r="U25" s="9" t="s">
        <v>31</v>
      </c>
      <c r="V25" s="9" t="s">
        <v>33</v>
      </c>
      <c r="W25" s="9" t="s">
        <v>950</v>
      </c>
      <c r="X25" s="1">
        <v>14.2</v>
      </c>
      <c r="Y25" s="1">
        <v>15</v>
      </c>
      <c r="Z25" s="3">
        <f t="shared" si="0"/>
        <v>0.94666666666666666</v>
      </c>
      <c r="AA25" s="11">
        <v>0.23174555934907609</v>
      </c>
      <c r="AB25" s="11">
        <v>0.22849284764605621</v>
      </c>
      <c r="AC25" s="10">
        <v>0</v>
      </c>
      <c r="AD25" s="9" t="s">
        <v>34</v>
      </c>
      <c r="AE25" s="9" t="s">
        <v>63</v>
      </c>
    </row>
    <row r="26" spans="1:31" x14ac:dyDescent="0.25">
      <c r="A26" s="9" t="s">
        <v>515</v>
      </c>
      <c r="B26" s="1" t="s">
        <v>111</v>
      </c>
      <c r="C26" s="1" t="s">
        <v>92</v>
      </c>
      <c r="D26" s="10">
        <v>1</v>
      </c>
      <c r="E26" s="10">
        <v>2000</v>
      </c>
      <c r="F26" s="9" t="s">
        <v>38</v>
      </c>
      <c r="G26" s="9" t="s">
        <v>29</v>
      </c>
      <c r="H26" s="1">
        <v>80.7</v>
      </c>
      <c r="I26" s="1">
        <v>0.3</v>
      </c>
      <c r="J26" s="9" t="s">
        <v>43</v>
      </c>
      <c r="K26" s="1">
        <v>1</v>
      </c>
      <c r="L26" s="10">
        <v>46</v>
      </c>
      <c r="M26" s="3">
        <v>7.0000000000000007E-2</v>
      </c>
      <c r="N26" s="11">
        <v>2.2004978000000001E-2</v>
      </c>
      <c r="O26" t="s">
        <v>63</v>
      </c>
      <c r="P26" s="11">
        <v>7.0114670654325154E-2</v>
      </c>
      <c r="Q26" s="11">
        <v>2.3255813953488368E-2</v>
      </c>
      <c r="R26" s="11">
        <v>7.0833896185650461E-2</v>
      </c>
      <c r="S26" s="11">
        <v>2.1999784289222061E-2</v>
      </c>
      <c r="T26" s="9" t="s">
        <v>40</v>
      </c>
      <c r="U26" s="9" t="s">
        <v>31</v>
      </c>
      <c r="V26" s="9" t="s">
        <v>33</v>
      </c>
      <c r="W26" s="9" t="s">
        <v>950</v>
      </c>
      <c r="X26" s="1">
        <v>14.2</v>
      </c>
      <c r="Y26" s="1">
        <v>15</v>
      </c>
      <c r="Z26" s="3">
        <f t="shared" si="0"/>
        <v>0.94666666666666666</v>
      </c>
      <c r="AA26" s="11">
        <v>7.3922683283234064E-2</v>
      </c>
      <c r="AB26" s="11">
        <v>0.1587231389846708</v>
      </c>
      <c r="AC26" s="10">
        <v>0</v>
      </c>
      <c r="AD26" s="9" t="s">
        <v>34</v>
      </c>
      <c r="AE26" s="9" t="s">
        <v>63</v>
      </c>
    </row>
    <row r="27" spans="1:31" x14ac:dyDescent="0.25">
      <c r="A27" s="9" t="s">
        <v>943</v>
      </c>
      <c r="B27" s="1" t="s">
        <v>113</v>
      </c>
      <c r="C27" s="1" t="s">
        <v>93</v>
      </c>
      <c r="D27" s="10">
        <v>2</v>
      </c>
      <c r="E27" s="10">
        <v>2000</v>
      </c>
      <c r="F27" s="9" t="s">
        <v>38</v>
      </c>
      <c r="G27" s="9" t="s">
        <v>54</v>
      </c>
      <c r="H27" s="1">
        <v>7.75</v>
      </c>
      <c r="I27" s="1" t="s">
        <v>31</v>
      </c>
      <c r="J27" s="9" t="s">
        <v>30</v>
      </c>
      <c r="K27" s="1">
        <v>0.73</v>
      </c>
      <c r="L27" s="10">
        <v>11</v>
      </c>
      <c r="M27" s="3">
        <v>-2.7E-2</v>
      </c>
      <c r="N27" s="11">
        <v>9.98542531441E-2</v>
      </c>
      <c r="O27" t="s">
        <v>63</v>
      </c>
      <c r="P27" s="11">
        <v>-2.7006563871276541E-2</v>
      </c>
      <c r="Q27" s="11">
        <v>0.125</v>
      </c>
      <c r="R27" s="11">
        <v>-2.8990124509301319E-2</v>
      </c>
      <c r="S27" s="11">
        <v>9.9831985167994908E-2</v>
      </c>
      <c r="T27" s="9" t="s">
        <v>40</v>
      </c>
      <c r="U27" s="9" t="s">
        <v>31</v>
      </c>
      <c r="V27" s="9" t="s">
        <v>33</v>
      </c>
      <c r="W27" s="9" t="s">
        <v>264</v>
      </c>
      <c r="X27" s="1" t="s">
        <v>31</v>
      </c>
      <c r="Y27" s="1" t="s">
        <v>31</v>
      </c>
      <c r="Z27" s="3" t="s">
        <v>31</v>
      </c>
      <c r="AA27" s="11" t="s">
        <v>31</v>
      </c>
      <c r="AB27" s="11" t="s">
        <v>31</v>
      </c>
      <c r="AC27" s="10">
        <v>0</v>
      </c>
      <c r="AD27" s="9" t="s">
        <v>34</v>
      </c>
      <c r="AE27" s="9" t="s">
        <v>63</v>
      </c>
    </row>
    <row r="28" spans="1:31" x14ac:dyDescent="0.25">
      <c r="A28" s="9" t="s">
        <v>943</v>
      </c>
      <c r="B28" s="1" t="s">
        <v>116</v>
      </c>
      <c r="C28" s="1" t="s">
        <v>96</v>
      </c>
      <c r="D28" s="10">
        <v>2</v>
      </c>
      <c r="E28" s="10">
        <v>2000</v>
      </c>
      <c r="F28" s="9" t="s">
        <v>38</v>
      </c>
      <c r="G28" s="9" t="s">
        <v>54</v>
      </c>
      <c r="H28" s="1">
        <v>7.75</v>
      </c>
      <c r="I28" s="1" t="s">
        <v>31</v>
      </c>
      <c r="J28" s="9" t="s">
        <v>30</v>
      </c>
      <c r="K28" s="1">
        <v>0.38</v>
      </c>
      <c r="L28" s="10">
        <v>8</v>
      </c>
      <c r="M28" s="3">
        <v>0.54800000000000004</v>
      </c>
      <c r="N28" s="11">
        <v>6.9939213202285688E-2</v>
      </c>
      <c r="O28" t="s">
        <v>63</v>
      </c>
      <c r="P28" s="11">
        <v>0.61551843715872068</v>
      </c>
      <c r="Q28" s="11">
        <v>0.2</v>
      </c>
      <c r="R28" s="11">
        <v>0.58922233995307449</v>
      </c>
      <c r="S28" s="11">
        <v>6.0881440001630337E-2</v>
      </c>
      <c r="T28" s="9" t="s">
        <v>40</v>
      </c>
      <c r="U28" s="9" t="s">
        <v>31</v>
      </c>
      <c r="V28" s="9" t="s">
        <v>33</v>
      </c>
      <c r="W28" s="9" t="s">
        <v>264</v>
      </c>
      <c r="X28" s="1" t="s">
        <v>31</v>
      </c>
      <c r="Y28" s="1" t="s">
        <v>31</v>
      </c>
      <c r="Z28" s="3" t="s">
        <v>31</v>
      </c>
      <c r="AA28" s="11" t="s">
        <v>31</v>
      </c>
      <c r="AB28" s="11" t="s">
        <v>31</v>
      </c>
      <c r="AC28" s="10">
        <v>0</v>
      </c>
      <c r="AD28" s="9" t="s">
        <v>34</v>
      </c>
      <c r="AE28" s="9" t="s">
        <v>63</v>
      </c>
    </row>
    <row r="29" spans="1:31" x14ac:dyDescent="0.25">
      <c r="A29" s="9" t="s">
        <v>944</v>
      </c>
      <c r="B29" s="1" t="s">
        <v>120</v>
      </c>
      <c r="C29" s="1" t="s">
        <v>98</v>
      </c>
      <c r="D29" s="10">
        <v>2</v>
      </c>
      <c r="E29" s="10">
        <v>2000</v>
      </c>
      <c r="F29" s="9" t="s">
        <v>28</v>
      </c>
      <c r="G29" s="9" t="s">
        <v>54</v>
      </c>
      <c r="H29" s="1">
        <v>12.3</v>
      </c>
      <c r="I29" s="1">
        <v>2.9</v>
      </c>
      <c r="J29" s="9" t="s">
        <v>30</v>
      </c>
      <c r="K29" s="1">
        <v>0.81</v>
      </c>
      <c r="L29" s="10">
        <v>27</v>
      </c>
      <c r="M29" s="3">
        <v>0</v>
      </c>
      <c r="N29" s="11">
        <v>3.8461538461538457E-2</v>
      </c>
      <c r="O29">
        <v>1471</v>
      </c>
      <c r="P29" s="11">
        <v>0</v>
      </c>
      <c r="Q29" s="11">
        <v>4.1666666666666657E-2</v>
      </c>
      <c r="R29" s="11">
        <v>0</v>
      </c>
      <c r="S29" s="11">
        <v>3.8461538461538457E-2</v>
      </c>
      <c r="T29" s="9" t="s">
        <v>40</v>
      </c>
      <c r="U29" s="9" t="s">
        <v>50</v>
      </c>
      <c r="V29" s="9" t="s">
        <v>33</v>
      </c>
      <c r="W29" s="9" t="s">
        <v>328</v>
      </c>
      <c r="X29" s="1" t="s">
        <v>31</v>
      </c>
      <c r="Y29" s="1" t="s">
        <v>31</v>
      </c>
      <c r="Z29" s="3" t="s">
        <v>31</v>
      </c>
      <c r="AA29" s="11" t="s">
        <v>31</v>
      </c>
      <c r="AB29" s="11" t="s">
        <v>31</v>
      </c>
      <c r="AC29" s="10">
        <v>0</v>
      </c>
      <c r="AD29" s="9" t="s">
        <v>34</v>
      </c>
      <c r="AE29" s="9" t="s">
        <v>63</v>
      </c>
    </row>
    <row r="30" spans="1:31" x14ac:dyDescent="0.25">
      <c r="A30" s="9" t="s">
        <v>944</v>
      </c>
      <c r="B30" s="1" t="s">
        <v>122</v>
      </c>
      <c r="C30" s="1" t="s">
        <v>99</v>
      </c>
      <c r="D30" s="10">
        <v>2</v>
      </c>
      <c r="E30" s="10">
        <v>2000</v>
      </c>
      <c r="F30" s="9" t="s">
        <v>28</v>
      </c>
      <c r="G30" s="9" t="s">
        <v>54</v>
      </c>
      <c r="H30" s="1">
        <v>14.4</v>
      </c>
      <c r="I30" s="1">
        <v>2.2999999999999998</v>
      </c>
      <c r="J30" s="9" t="s">
        <v>30</v>
      </c>
      <c r="K30" s="1">
        <v>0.56999999999999995</v>
      </c>
      <c r="L30" s="10">
        <v>44</v>
      </c>
      <c r="M30" s="3">
        <v>0</v>
      </c>
      <c r="N30" s="11">
        <v>2.3255813953488368E-2</v>
      </c>
      <c r="O30">
        <v>1471</v>
      </c>
      <c r="P30" s="11">
        <v>0</v>
      </c>
      <c r="Q30" s="11">
        <v>2.4390243902439029E-2</v>
      </c>
      <c r="R30" s="11">
        <v>0</v>
      </c>
      <c r="S30" s="11">
        <v>2.3255813953488368E-2</v>
      </c>
      <c r="T30" s="9" t="s">
        <v>40</v>
      </c>
      <c r="U30" s="9" t="s">
        <v>50</v>
      </c>
      <c r="V30" s="9" t="s">
        <v>33</v>
      </c>
      <c r="W30" s="9" t="s">
        <v>328</v>
      </c>
      <c r="X30" s="1" t="s">
        <v>31</v>
      </c>
      <c r="Y30" s="1" t="s">
        <v>31</v>
      </c>
      <c r="Z30" s="3" t="s">
        <v>31</v>
      </c>
      <c r="AA30" s="11" t="s">
        <v>31</v>
      </c>
      <c r="AB30" s="11" t="s">
        <v>31</v>
      </c>
      <c r="AC30" s="10">
        <v>0</v>
      </c>
      <c r="AD30" s="9" t="s">
        <v>34</v>
      </c>
      <c r="AE30" s="9" t="s">
        <v>63</v>
      </c>
    </row>
    <row r="31" spans="1:31" x14ac:dyDescent="0.25">
      <c r="A31" s="9" t="s">
        <v>516</v>
      </c>
      <c r="B31" s="1" t="s">
        <v>124</v>
      </c>
      <c r="C31" s="1" t="s">
        <v>101</v>
      </c>
      <c r="D31" s="10">
        <v>2</v>
      </c>
      <c r="E31" s="10">
        <v>2000</v>
      </c>
      <c r="F31" s="9" t="s">
        <v>28</v>
      </c>
      <c r="G31" s="9" t="s">
        <v>54</v>
      </c>
      <c r="H31" s="1" t="s">
        <v>31</v>
      </c>
      <c r="I31" s="1" t="s">
        <v>31</v>
      </c>
      <c r="J31" s="9" t="s">
        <v>31</v>
      </c>
      <c r="K31" s="1" t="s">
        <v>31</v>
      </c>
      <c r="L31" s="10">
        <v>47</v>
      </c>
      <c r="M31" s="3">
        <v>0.43</v>
      </c>
      <c r="N31" s="11">
        <v>1.4443217608695651E-2</v>
      </c>
      <c r="O31">
        <v>1459</v>
      </c>
      <c r="P31" s="11">
        <v>0.45989668121267852</v>
      </c>
      <c r="Q31" s="11">
        <v>2.2727272727272731E-2</v>
      </c>
      <c r="R31" s="11">
        <v>0.43405804319303692</v>
      </c>
      <c r="S31" s="11">
        <v>1.43192216551107E-2</v>
      </c>
      <c r="T31" s="9" t="s">
        <v>40</v>
      </c>
      <c r="U31" s="9" t="s">
        <v>50</v>
      </c>
      <c r="V31" s="9" t="s">
        <v>33</v>
      </c>
      <c r="W31" s="9" t="s">
        <v>904</v>
      </c>
      <c r="X31" s="1" t="s">
        <v>31</v>
      </c>
      <c r="Y31" s="1" t="s">
        <v>31</v>
      </c>
      <c r="Z31" s="3" t="s">
        <v>31</v>
      </c>
      <c r="AA31" s="11" t="s">
        <v>31</v>
      </c>
      <c r="AB31" s="11" t="s">
        <v>31</v>
      </c>
      <c r="AC31" s="10">
        <v>0</v>
      </c>
      <c r="AD31" s="9" t="s">
        <v>34</v>
      </c>
      <c r="AE31" s="9" t="s">
        <v>35</v>
      </c>
    </row>
    <row r="32" spans="1:31" x14ac:dyDescent="0.25">
      <c r="A32" s="9" t="s">
        <v>945</v>
      </c>
      <c r="B32" s="1" t="s">
        <v>131</v>
      </c>
      <c r="C32" s="1" t="s">
        <v>103</v>
      </c>
      <c r="D32" s="10">
        <v>1</v>
      </c>
      <c r="E32" s="10">
        <v>2000</v>
      </c>
      <c r="F32" s="9" t="s">
        <v>38</v>
      </c>
      <c r="G32" s="9" t="s">
        <v>29</v>
      </c>
      <c r="H32" s="1">
        <v>19.059999999999999</v>
      </c>
      <c r="I32" s="1">
        <v>3.7</v>
      </c>
      <c r="J32" s="9" t="s">
        <v>30</v>
      </c>
      <c r="K32" s="1">
        <v>0.44</v>
      </c>
      <c r="L32" s="10">
        <v>36</v>
      </c>
      <c r="M32" s="3">
        <v>0.309</v>
      </c>
      <c r="N32" s="11">
        <v>2.3375846324599998E-2</v>
      </c>
      <c r="O32">
        <v>229</v>
      </c>
      <c r="P32" s="11">
        <v>0.31943947107111492</v>
      </c>
      <c r="Q32" s="11">
        <v>3.03030303030303E-2</v>
      </c>
      <c r="R32" s="11">
        <v>0.31336955018916379</v>
      </c>
      <c r="S32" s="11">
        <v>2.3235496666168889E-2</v>
      </c>
      <c r="T32" s="9" t="s">
        <v>40</v>
      </c>
      <c r="U32" s="9" t="s">
        <v>50</v>
      </c>
      <c r="V32" s="9" t="s">
        <v>33</v>
      </c>
      <c r="W32" s="9" t="s">
        <v>327</v>
      </c>
      <c r="X32" s="1">
        <v>9.7650000000000006</v>
      </c>
      <c r="Y32" s="1">
        <v>15</v>
      </c>
      <c r="Z32" s="3">
        <f>X32/Y32</f>
        <v>0.65100000000000002</v>
      </c>
      <c r="AA32" s="11">
        <v>0.44655368038594567</v>
      </c>
      <c r="AB32" s="11">
        <v>0.20863009052553039</v>
      </c>
      <c r="AC32" s="10">
        <v>0</v>
      </c>
      <c r="AD32" s="9" t="s">
        <v>41</v>
      </c>
      <c r="AE32" s="9" t="s">
        <v>35</v>
      </c>
    </row>
    <row r="33" spans="1:31" x14ac:dyDescent="0.25">
      <c r="A33" s="9" t="s">
        <v>945</v>
      </c>
      <c r="B33" s="1" t="s">
        <v>133</v>
      </c>
      <c r="C33" s="1" t="s">
        <v>105</v>
      </c>
      <c r="D33" s="10">
        <v>2</v>
      </c>
      <c r="E33" s="10">
        <v>2000</v>
      </c>
      <c r="F33" s="9" t="s">
        <v>38</v>
      </c>
      <c r="G33" s="9" t="s">
        <v>54</v>
      </c>
      <c r="H33" s="1">
        <v>16.97</v>
      </c>
      <c r="I33" s="1">
        <v>4.0999999999999996</v>
      </c>
      <c r="J33" s="9" t="s">
        <v>30</v>
      </c>
      <c r="K33" s="1">
        <v>0.57999999999999996</v>
      </c>
      <c r="L33" s="10">
        <v>96</v>
      </c>
      <c r="M33" s="3">
        <v>0.42299999999999999</v>
      </c>
      <c r="N33" s="11">
        <v>7.0963956530631584E-3</v>
      </c>
      <c r="O33">
        <v>229</v>
      </c>
      <c r="P33" s="11">
        <v>0.45134016579087638</v>
      </c>
      <c r="Q33" s="11">
        <v>1.075268817204301E-2</v>
      </c>
      <c r="R33" s="11">
        <v>0.424884268947745</v>
      </c>
      <c r="S33" s="11">
        <v>7.0688061523474684E-3</v>
      </c>
      <c r="T33" s="9" t="s">
        <v>40</v>
      </c>
      <c r="U33" s="9" t="s">
        <v>50</v>
      </c>
      <c r="V33" s="9" t="s">
        <v>33</v>
      </c>
      <c r="W33" s="9" t="s">
        <v>327</v>
      </c>
      <c r="X33" s="1">
        <v>9.8510000000000009</v>
      </c>
      <c r="Y33" s="1">
        <v>15</v>
      </c>
      <c r="Z33" s="3">
        <f>X33/Y33</f>
        <v>0.65673333333333339</v>
      </c>
      <c r="AA33" s="11">
        <v>0.57936735137610818</v>
      </c>
      <c r="AB33" s="11">
        <v>0.1035727486953017</v>
      </c>
      <c r="AC33" s="10">
        <v>0</v>
      </c>
      <c r="AD33" s="9" t="s">
        <v>41</v>
      </c>
      <c r="AE33" s="9" t="s">
        <v>35</v>
      </c>
    </row>
    <row r="34" spans="1:31" x14ac:dyDescent="0.25">
      <c r="A34" s="9" t="s">
        <v>517</v>
      </c>
      <c r="B34" s="1" t="s">
        <v>137</v>
      </c>
      <c r="C34" s="1" t="s">
        <v>106</v>
      </c>
      <c r="D34" s="10">
        <v>1</v>
      </c>
      <c r="E34" s="10">
        <v>2000</v>
      </c>
      <c r="F34" s="9" t="s">
        <v>38</v>
      </c>
      <c r="G34" s="9" t="s">
        <v>29</v>
      </c>
      <c r="H34" s="1">
        <v>23.2</v>
      </c>
      <c r="I34" s="1">
        <v>5.0999999999999996</v>
      </c>
      <c r="J34" s="9" t="s">
        <v>39</v>
      </c>
      <c r="K34" s="1">
        <v>0</v>
      </c>
      <c r="L34" s="10">
        <v>72</v>
      </c>
      <c r="M34" s="3">
        <v>0.21</v>
      </c>
      <c r="N34" s="11">
        <v>1.286964521126761E-2</v>
      </c>
      <c r="O34" t="s">
        <v>63</v>
      </c>
      <c r="P34" s="11">
        <v>0.21317134656485981</v>
      </c>
      <c r="Q34" s="11">
        <v>1.4492753623188409E-2</v>
      </c>
      <c r="R34" s="11">
        <v>0.2114791848419722</v>
      </c>
      <c r="S34" s="11">
        <v>1.285286331472398E-2</v>
      </c>
      <c r="T34" s="9" t="s">
        <v>40</v>
      </c>
      <c r="U34" s="9" t="s">
        <v>50</v>
      </c>
      <c r="V34" s="9" t="s">
        <v>51</v>
      </c>
      <c r="W34" s="9" t="s">
        <v>115</v>
      </c>
      <c r="X34" s="1" t="s">
        <v>31</v>
      </c>
      <c r="Y34" s="1" t="s">
        <v>31</v>
      </c>
      <c r="Z34" s="3" t="s">
        <v>31</v>
      </c>
      <c r="AA34" s="11" t="s">
        <v>31</v>
      </c>
      <c r="AB34" s="11" t="s">
        <v>31</v>
      </c>
      <c r="AC34" s="10">
        <v>0</v>
      </c>
      <c r="AD34" s="9" t="s">
        <v>41</v>
      </c>
      <c r="AE34" s="9" t="s">
        <v>63</v>
      </c>
    </row>
    <row r="35" spans="1:31" x14ac:dyDescent="0.25">
      <c r="A35" s="9" t="s">
        <v>94</v>
      </c>
      <c r="B35" s="1" t="s">
        <v>140</v>
      </c>
      <c r="C35" s="1" t="s">
        <v>108</v>
      </c>
      <c r="D35" s="10">
        <v>1</v>
      </c>
      <c r="E35" s="10">
        <v>2000</v>
      </c>
      <c r="F35" s="9" t="s">
        <v>38</v>
      </c>
      <c r="G35" s="9" t="s">
        <v>29</v>
      </c>
      <c r="H35" s="1">
        <v>24.97</v>
      </c>
      <c r="I35" s="1">
        <v>4.47</v>
      </c>
      <c r="J35" s="9" t="s">
        <v>43</v>
      </c>
      <c r="K35" s="1">
        <v>1</v>
      </c>
      <c r="L35" s="10">
        <v>68</v>
      </c>
      <c r="M35" s="3">
        <v>0.34799999999999998</v>
      </c>
      <c r="N35" s="11">
        <v>1.152922654949254E-2</v>
      </c>
      <c r="O35">
        <v>1106</v>
      </c>
      <c r="P35" s="11">
        <v>0.36316636477279962</v>
      </c>
      <c r="Q35" s="11">
        <v>1.5384615384615391E-2</v>
      </c>
      <c r="R35" s="11">
        <v>0.35038829055086579</v>
      </c>
      <c r="S35" s="11">
        <v>1.148550812562329E-2</v>
      </c>
      <c r="T35" s="9" t="s">
        <v>40</v>
      </c>
      <c r="U35" s="9" t="s">
        <v>50</v>
      </c>
      <c r="V35" s="9" t="s">
        <v>33</v>
      </c>
      <c r="W35" s="9" t="s">
        <v>951</v>
      </c>
      <c r="X35" s="1">
        <v>10.91</v>
      </c>
      <c r="Y35" s="1">
        <v>15</v>
      </c>
      <c r="Z35" s="3">
        <f>X35/Y35</f>
        <v>0.72733333333333339</v>
      </c>
      <c r="AA35" s="11">
        <v>0.45458084668824861</v>
      </c>
      <c r="AB35" s="11">
        <v>0.13606907330497911</v>
      </c>
      <c r="AC35" s="10">
        <v>0</v>
      </c>
      <c r="AD35" s="9" t="s">
        <v>41</v>
      </c>
      <c r="AE35" s="9" t="s">
        <v>35</v>
      </c>
    </row>
    <row r="36" spans="1:31" x14ac:dyDescent="0.25">
      <c r="A36" s="9" t="s">
        <v>110</v>
      </c>
      <c r="B36" s="1" t="s">
        <v>143</v>
      </c>
      <c r="C36" s="1" t="s">
        <v>109</v>
      </c>
      <c r="D36" s="10">
        <v>1</v>
      </c>
      <c r="E36" s="10">
        <v>2001</v>
      </c>
      <c r="F36" s="9" t="s">
        <v>28</v>
      </c>
      <c r="G36" s="9" t="s">
        <v>54</v>
      </c>
      <c r="H36" s="1">
        <v>9.6999999999999993</v>
      </c>
      <c r="I36" s="1">
        <v>2.6</v>
      </c>
      <c r="J36" s="9" t="s">
        <v>39</v>
      </c>
      <c r="K36" s="1">
        <v>0</v>
      </c>
      <c r="L36" s="10">
        <v>40</v>
      </c>
      <c r="M36" s="3">
        <v>0.36</v>
      </c>
      <c r="N36" s="11">
        <v>1.9425542564102571E-2</v>
      </c>
      <c r="O36">
        <v>291</v>
      </c>
      <c r="P36" s="11">
        <v>0.37688590118818999</v>
      </c>
      <c r="Q36" s="11">
        <v>2.7027027027027029E-2</v>
      </c>
      <c r="R36" s="11">
        <v>0.36434474851285642</v>
      </c>
      <c r="S36" s="11">
        <v>1.9285323074289321E-2</v>
      </c>
      <c r="T36" s="9" t="s">
        <v>40</v>
      </c>
      <c r="U36" s="9" t="s">
        <v>50</v>
      </c>
      <c r="V36" s="9" t="s">
        <v>33</v>
      </c>
      <c r="W36" s="9" t="s">
        <v>329</v>
      </c>
      <c r="X36" s="1">
        <v>15.1</v>
      </c>
      <c r="Y36" s="1">
        <v>15</v>
      </c>
      <c r="Z36" s="3">
        <f>X36/Y36</f>
        <v>1.0066666666666666</v>
      </c>
      <c r="AA36" s="11">
        <v>0.35792220470862551</v>
      </c>
      <c r="AB36" s="11">
        <v>0.15072921687724991</v>
      </c>
      <c r="AC36" s="10">
        <v>0</v>
      </c>
      <c r="AD36" s="9" t="s">
        <v>34</v>
      </c>
      <c r="AE36" s="9" t="s">
        <v>35</v>
      </c>
    </row>
    <row r="37" spans="1:31" x14ac:dyDescent="0.25">
      <c r="A37" s="9" t="s">
        <v>518</v>
      </c>
      <c r="B37" s="1" t="s">
        <v>146</v>
      </c>
      <c r="C37" s="1" t="s">
        <v>112</v>
      </c>
      <c r="D37" s="10">
        <v>1</v>
      </c>
      <c r="E37" s="10">
        <v>2002</v>
      </c>
      <c r="F37" s="9" t="s">
        <v>38</v>
      </c>
      <c r="G37" s="9" t="s">
        <v>29</v>
      </c>
      <c r="H37" s="1" t="s">
        <v>31</v>
      </c>
      <c r="I37" s="1" t="s">
        <v>31</v>
      </c>
      <c r="J37" s="9" t="s">
        <v>43</v>
      </c>
      <c r="K37" s="1">
        <v>1</v>
      </c>
      <c r="L37" s="10">
        <v>46</v>
      </c>
      <c r="M37" s="3">
        <v>-0.13</v>
      </c>
      <c r="N37" s="11">
        <v>2.1477458000000001E-2</v>
      </c>
      <c r="O37" t="s">
        <v>63</v>
      </c>
      <c r="P37" s="11">
        <v>-0.13073985002887839</v>
      </c>
      <c r="Q37" s="11">
        <v>2.3255813953488368E-2</v>
      </c>
      <c r="R37" s="11">
        <v>-0.13152895625569849</v>
      </c>
      <c r="S37" s="11">
        <v>2.1459990060171939E-2</v>
      </c>
      <c r="T37" s="9" t="s">
        <v>40</v>
      </c>
      <c r="U37" s="9" t="s">
        <v>50</v>
      </c>
      <c r="V37" s="9" t="s">
        <v>33</v>
      </c>
      <c r="W37" s="9" t="s">
        <v>77</v>
      </c>
      <c r="X37" s="1" t="s">
        <v>31</v>
      </c>
      <c r="Y37" s="1" t="s">
        <v>31</v>
      </c>
      <c r="Z37" s="3" t="s">
        <v>31</v>
      </c>
      <c r="AA37" s="11" t="s">
        <v>31</v>
      </c>
      <c r="AB37" s="11" t="s">
        <v>31</v>
      </c>
      <c r="AC37" s="10">
        <v>0</v>
      </c>
      <c r="AD37" s="9" t="s">
        <v>34</v>
      </c>
      <c r="AE37" s="9" t="s">
        <v>63</v>
      </c>
    </row>
    <row r="38" spans="1:31" x14ac:dyDescent="0.25">
      <c r="A38" s="9" t="s">
        <v>518</v>
      </c>
      <c r="B38" s="1" t="s">
        <v>149</v>
      </c>
      <c r="C38" s="1" t="s">
        <v>114</v>
      </c>
      <c r="D38" s="10">
        <v>1</v>
      </c>
      <c r="E38" s="10">
        <v>2002</v>
      </c>
      <c r="F38" s="9" t="s">
        <v>38</v>
      </c>
      <c r="G38" s="9" t="s">
        <v>29</v>
      </c>
      <c r="H38" s="1" t="s">
        <v>31</v>
      </c>
      <c r="I38" s="1" t="s">
        <v>31</v>
      </c>
      <c r="J38" s="9" t="s">
        <v>30</v>
      </c>
      <c r="K38" s="1" t="s">
        <v>31</v>
      </c>
      <c r="L38" s="10">
        <v>30</v>
      </c>
      <c r="M38" s="3">
        <v>0.08</v>
      </c>
      <c r="N38" s="11">
        <v>3.4042791724137933E-2</v>
      </c>
      <c r="O38" t="s">
        <v>63</v>
      </c>
      <c r="P38" s="11">
        <v>8.0171325037589738E-2</v>
      </c>
      <c r="Q38" s="11">
        <v>3.7037037037037042E-2</v>
      </c>
      <c r="R38" s="11">
        <v>8.1542097115406303E-2</v>
      </c>
      <c r="S38" s="11">
        <v>3.4025723569232252E-2</v>
      </c>
      <c r="T38" s="9" t="s">
        <v>40</v>
      </c>
      <c r="U38" s="9" t="s">
        <v>50</v>
      </c>
      <c r="V38" s="9" t="s">
        <v>33</v>
      </c>
      <c r="W38" s="9" t="s">
        <v>77</v>
      </c>
      <c r="X38" s="1" t="s">
        <v>31</v>
      </c>
      <c r="Y38" s="1" t="s">
        <v>31</v>
      </c>
      <c r="Z38" s="3" t="s">
        <v>31</v>
      </c>
      <c r="AA38" s="11" t="s">
        <v>31</v>
      </c>
      <c r="AB38" s="11" t="s">
        <v>31</v>
      </c>
      <c r="AC38" s="10">
        <v>0</v>
      </c>
      <c r="AD38" s="9" t="s">
        <v>34</v>
      </c>
      <c r="AE38" s="9" t="s">
        <v>63</v>
      </c>
    </row>
    <row r="39" spans="1:31" x14ac:dyDescent="0.25">
      <c r="A39" s="9" t="s">
        <v>518</v>
      </c>
      <c r="B39" s="1" t="s">
        <v>154</v>
      </c>
      <c r="C39" s="1" t="s">
        <v>117</v>
      </c>
      <c r="D39" s="10">
        <v>1</v>
      </c>
      <c r="E39" s="10">
        <v>2002</v>
      </c>
      <c r="F39" s="9" t="s">
        <v>28</v>
      </c>
      <c r="G39" s="9" t="s">
        <v>29</v>
      </c>
      <c r="H39" s="1">
        <v>18.8</v>
      </c>
      <c r="I39" s="1">
        <v>10</v>
      </c>
      <c r="J39" s="9" t="s">
        <v>30</v>
      </c>
      <c r="K39" s="1">
        <v>0.87</v>
      </c>
      <c r="L39" s="10">
        <v>67</v>
      </c>
      <c r="M39" s="3">
        <v>0.1</v>
      </c>
      <c r="N39" s="11">
        <v>1.485E-2</v>
      </c>
      <c r="O39">
        <v>179</v>
      </c>
      <c r="P39" s="11">
        <v>0.10033534773107559</v>
      </c>
      <c r="Q39" s="11">
        <v>1.5625E-2</v>
      </c>
      <c r="R39" s="11">
        <v>0.100788516085159</v>
      </c>
      <c r="S39" s="11">
        <v>1.4845250630560511E-2</v>
      </c>
      <c r="T39" s="9" t="s">
        <v>40</v>
      </c>
      <c r="U39" s="9" t="s">
        <v>50</v>
      </c>
      <c r="V39" s="9" t="s">
        <v>33</v>
      </c>
      <c r="W39" s="9" t="s">
        <v>77</v>
      </c>
      <c r="X39" s="1">
        <v>15.5</v>
      </c>
      <c r="Y39" s="1" t="s">
        <v>31</v>
      </c>
      <c r="Z39" s="3" t="s">
        <v>31</v>
      </c>
      <c r="AA39" s="11" t="s">
        <v>31</v>
      </c>
      <c r="AB39" s="11" t="s">
        <v>31</v>
      </c>
      <c r="AC39" s="10">
        <v>0</v>
      </c>
      <c r="AD39" s="9" t="s">
        <v>34</v>
      </c>
      <c r="AE39" s="9" t="s">
        <v>35</v>
      </c>
    </row>
    <row r="40" spans="1:31" x14ac:dyDescent="0.25">
      <c r="A40" s="9" t="s">
        <v>863</v>
      </c>
      <c r="B40" s="1" t="s">
        <v>158</v>
      </c>
      <c r="C40" s="1" t="s">
        <v>118</v>
      </c>
      <c r="D40" s="10">
        <v>1</v>
      </c>
      <c r="E40" s="10">
        <v>2002</v>
      </c>
      <c r="F40" s="9" t="s">
        <v>38</v>
      </c>
      <c r="G40" s="9" t="s">
        <v>29</v>
      </c>
      <c r="H40" s="1">
        <v>67.8</v>
      </c>
      <c r="I40" s="1" t="s">
        <v>31</v>
      </c>
      <c r="J40" s="9" t="s">
        <v>43</v>
      </c>
      <c r="K40" s="1">
        <v>1</v>
      </c>
      <c r="L40" s="10">
        <v>95</v>
      </c>
      <c r="M40" s="3">
        <v>0.39</v>
      </c>
      <c r="N40" s="11">
        <v>7.6482384042553192E-3</v>
      </c>
      <c r="O40">
        <v>172</v>
      </c>
      <c r="P40" s="11">
        <v>0.41180003447869029</v>
      </c>
      <c r="Q40" s="11">
        <v>1.0869565217391301E-2</v>
      </c>
      <c r="R40" s="11">
        <v>0.39181493107308069</v>
      </c>
      <c r="S40" s="11">
        <v>7.6226615380866943E-3</v>
      </c>
      <c r="T40" s="9" t="s">
        <v>40</v>
      </c>
      <c r="U40" s="9" t="s">
        <v>46</v>
      </c>
      <c r="V40" s="9" t="s">
        <v>51</v>
      </c>
      <c r="W40" s="9" t="s">
        <v>115</v>
      </c>
      <c r="X40" s="1">
        <v>8.6</v>
      </c>
      <c r="Y40" s="1">
        <v>7.5</v>
      </c>
      <c r="Z40" s="3">
        <f>X40/Y40</f>
        <v>1.1466666666666667</v>
      </c>
      <c r="AA40" s="11">
        <v>0.34648444091771091</v>
      </c>
      <c r="AB40" s="11">
        <v>8.8036467789018247E-2</v>
      </c>
      <c r="AC40" s="10">
        <v>0</v>
      </c>
      <c r="AD40" s="9" t="s">
        <v>41</v>
      </c>
      <c r="AE40" s="9" t="s">
        <v>35</v>
      </c>
    </row>
    <row r="41" spans="1:31" x14ac:dyDescent="0.25">
      <c r="A41" s="9" t="s">
        <v>520</v>
      </c>
      <c r="B41" s="1" t="s">
        <v>161</v>
      </c>
      <c r="C41" s="1" t="s">
        <v>119</v>
      </c>
      <c r="D41" s="10">
        <v>1</v>
      </c>
      <c r="E41" s="10">
        <v>2002</v>
      </c>
      <c r="F41" s="9" t="s">
        <v>38</v>
      </c>
      <c r="G41" s="9" t="s">
        <v>54</v>
      </c>
      <c r="H41" s="1">
        <v>14.9</v>
      </c>
      <c r="I41" s="1">
        <v>0.43</v>
      </c>
      <c r="J41" s="9" t="s">
        <v>30</v>
      </c>
      <c r="K41" s="1">
        <v>0.65</v>
      </c>
      <c r="L41" s="10">
        <v>42</v>
      </c>
      <c r="M41" s="3">
        <v>0.37</v>
      </c>
      <c r="N41" s="11">
        <v>1.8169307560975609E-2</v>
      </c>
      <c r="O41" t="s">
        <v>63</v>
      </c>
      <c r="P41" s="11">
        <v>0.38842309971829619</v>
      </c>
      <c r="Q41" s="11">
        <v>2.564102564102564E-2</v>
      </c>
      <c r="R41" s="11">
        <v>0.37419353737240518</v>
      </c>
      <c r="S41" s="11">
        <v>1.803815167232662E-2</v>
      </c>
      <c r="T41" s="9" t="s">
        <v>40</v>
      </c>
      <c r="U41" s="9" t="s">
        <v>31</v>
      </c>
      <c r="V41" s="9" t="s">
        <v>33</v>
      </c>
      <c r="W41" s="9" t="s">
        <v>77</v>
      </c>
      <c r="X41" s="1" t="s">
        <v>31</v>
      </c>
      <c r="Y41" s="1" t="s">
        <v>31</v>
      </c>
      <c r="Z41" s="3" t="s">
        <v>31</v>
      </c>
      <c r="AA41" s="11" t="s">
        <v>31</v>
      </c>
      <c r="AB41" s="11" t="s">
        <v>31</v>
      </c>
      <c r="AC41" s="10">
        <v>0</v>
      </c>
      <c r="AD41" s="9" t="s">
        <v>34</v>
      </c>
      <c r="AE41" s="9" t="s">
        <v>63</v>
      </c>
    </row>
    <row r="42" spans="1:31" x14ac:dyDescent="0.25">
      <c r="A42" s="9" t="s">
        <v>946</v>
      </c>
      <c r="B42" s="1" t="s">
        <v>163</v>
      </c>
      <c r="C42" s="1" t="s">
        <v>121</v>
      </c>
      <c r="D42" s="10">
        <v>1</v>
      </c>
      <c r="E42" s="10">
        <v>2002</v>
      </c>
      <c r="F42" s="9" t="s">
        <v>38</v>
      </c>
      <c r="G42" s="9" t="s">
        <v>29</v>
      </c>
      <c r="H42" s="1">
        <v>33.299999999999997</v>
      </c>
      <c r="I42" s="1">
        <v>8.6999999999999993</v>
      </c>
      <c r="J42" s="9" t="s">
        <v>43</v>
      </c>
      <c r="K42" s="1">
        <v>1</v>
      </c>
      <c r="L42" s="10">
        <v>23</v>
      </c>
      <c r="M42" s="3">
        <v>0.13</v>
      </c>
      <c r="N42" s="11">
        <v>4.3931164090909088E-2</v>
      </c>
      <c r="O42" t="s">
        <v>63</v>
      </c>
      <c r="P42" s="11">
        <v>0.13073985002887839</v>
      </c>
      <c r="Q42" s="11">
        <v>0.05</v>
      </c>
      <c r="R42" s="11">
        <v>0.1333986751469553</v>
      </c>
      <c r="S42" s="11">
        <v>4.38511934687979E-2</v>
      </c>
      <c r="T42" s="9" t="s">
        <v>40</v>
      </c>
      <c r="U42" s="9" t="s">
        <v>31</v>
      </c>
      <c r="V42" s="9" t="s">
        <v>33</v>
      </c>
      <c r="W42" s="9" t="s">
        <v>77</v>
      </c>
      <c r="X42" s="1" t="s">
        <v>31</v>
      </c>
      <c r="Y42" s="1" t="s">
        <v>31</v>
      </c>
      <c r="Z42" s="3" t="s">
        <v>31</v>
      </c>
      <c r="AA42" s="11" t="s">
        <v>31</v>
      </c>
      <c r="AB42" s="11" t="s">
        <v>31</v>
      </c>
      <c r="AC42" s="10">
        <v>0</v>
      </c>
      <c r="AD42" s="9" t="s">
        <v>34</v>
      </c>
      <c r="AE42" s="9" t="s">
        <v>63</v>
      </c>
    </row>
    <row r="43" spans="1:31" x14ac:dyDescent="0.25">
      <c r="A43" s="9" t="s">
        <v>136</v>
      </c>
      <c r="B43" s="1" t="s">
        <v>166</v>
      </c>
      <c r="C43" s="1" t="s">
        <v>1036</v>
      </c>
      <c r="D43" s="10">
        <v>2</v>
      </c>
      <c r="E43" s="10">
        <v>2003</v>
      </c>
      <c r="F43" s="9" t="s">
        <v>38</v>
      </c>
      <c r="G43" s="9" t="s">
        <v>54</v>
      </c>
      <c r="H43" s="1">
        <v>16.399999999999999</v>
      </c>
      <c r="I43" s="1">
        <v>1.7</v>
      </c>
      <c r="J43" s="9" t="s">
        <v>30</v>
      </c>
      <c r="K43" s="1">
        <v>0.6</v>
      </c>
      <c r="L43" s="10">
        <v>22</v>
      </c>
      <c r="M43" s="3">
        <v>-0.13100000000000001</v>
      </c>
      <c r="N43" s="11">
        <v>4.599869047242857E-2</v>
      </c>
      <c r="O43" t="s">
        <v>63</v>
      </c>
      <c r="P43" s="11">
        <v>-0.13175717542536419</v>
      </c>
      <c r="Q43" s="11">
        <v>5.2631578947368418E-2</v>
      </c>
      <c r="R43" s="11">
        <v>-0.134615950137952</v>
      </c>
      <c r="S43" s="11">
        <v>4.5908832334910957E-2</v>
      </c>
      <c r="T43" s="9" t="s">
        <v>40</v>
      </c>
      <c r="U43" s="9" t="s">
        <v>50</v>
      </c>
      <c r="V43" s="9" t="s">
        <v>33</v>
      </c>
      <c r="W43" s="9" t="s">
        <v>954</v>
      </c>
      <c r="X43" s="1" t="s">
        <v>31</v>
      </c>
      <c r="Y43" s="1" t="s">
        <v>31</v>
      </c>
      <c r="Z43" s="3" t="s">
        <v>31</v>
      </c>
      <c r="AA43" s="11" t="s">
        <v>31</v>
      </c>
      <c r="AB43" s="11" t="s">
        <v>31</v>
      </c>
      <c r="AC43" s="10">
        <v>0</v>
      </c>
      <c r="AD43" s="9" t="s">
        <v>34</v>
      </c>
      <c r="AE43" s="9" t="s">
        <v>63</v>
      </c>
    </row>
    <row r="44" spans="1:31" x14ac:dyDescent="0.25">
      <c r="A44" s="9" t="s">
        <v>136</v>
      </c>
      <c r="B44" s="1" t="s">
        <v>170</v>
      </c>
      <c r="C44" s="1" t="s">
        <v>123</v>
      </c>
      <c r="D44" s="10">
        <v>2</v>
      </c>
      <c r="E44" s="10">
        <v>2003</v>
      </c>
      <c r="F44" s="9" t="s">
        <v>28</v>
      </c>
      <c r="G44" s="9" t="s">
        <v>54</v>
      </c>
      <c r="H44" s="1">
        <v>16.8</v>
      </c>
      <c r="I44" s="1">
        <v>1.4</v>
      </c>
      <c r="J44" s="9" t="s">
        <v>30</v>
      </c>
      <c r="K44" s="1">
        <v>0.67</v>
      </c>
      <c r="L44" s="10">
        <v>32</v>
      </c>
      <c r="M44" s="3">
        <v>-0.27100000000000002</v>
      </c>
      <c r="N44" s="11">
        <v>2.7693921951000001E-2</v>
      </c>
      <c r="O44" t="s">
        <v>63</v>
      </c>
      <c r="P44" s="11">
        <v>-0.27794276959039788</v>
      </c>
      <c r="Q44" s="11">
        <v>3.4482758620689662E-2</v>
      </c>
      <c r="R44" s="11">
        <v>-0.27549471727996022</v>
      </c>
      <c r="S44" s="11">
        <v>2.754728153570234E-2</v>
      </c>
      <c r="T44" s="9" t="s">
        <v>40</v>
      </c>
      <c r="U44" s="9" t="s">
        <v>50</v>
      </c>
      <c r="V44" s="9" t="s">
        <v>33</v>
      </c>
      <c r="W44" s="9" t="s">
        <v>954</v>
      </c>
      <c r="X44" s="1" t="s">
        <v>31</v>
      </c>
      <c r="Y44" s="1" t="s">
        <v>31</v>
      </c>
      <c r="Z44" s="3" t="s">
        <v>31</v>
      </c>
      <c r="AA44" s="11" t="s">
        <v>31</v>
      </c>
      <c r="AB44" s="11" t="s">
        <v>31</v>
      </c>
      <c r="AC44" s="10">
        <v>0</v>
      </c>
      <c r="AD44" s="9" t="s">
        <v>34</v>
      </c>
      <c r="AE44" s="9" t="s">
        <v>63</v>
      </c>
    </row>
    <row r="45" spans="1:31" x14ac:dyDescent="0.25">
      <c r="A45" s="9" t="s">
        <v>947</v>
      </c>
      <c r="B45" s="1" t="s">
        <v>172</v>
      </c>
      <c r="C45" s="1" t="s">
        <v>125</v>
      </c>
      <c r="D45" s="10">
        <v>1</v>
      </c>
      <c r="E45" s="10">
        <v>2003</v>
      </c>
      <c r="F45" s="9" t="s">
        <v>38</v>
      </c>
      <c r="G45" s="9" t="s">
        <v>54</v>
      </c>
      <c r="H45" s="1" t="s">
        <v>31</v>
      </c>
      <c r="I45" s="1" t="s">
        <v>31</v>
      </c>
      <c r="J45" s="9" t="s">
        <v>39</v>
      </c>
      <c r="K45" s="1">
        <v>0</v>
      </c>
      <c r="L45" s="10">
        <v>8</v>
      </c>
      <c r="M45" s="3">
        <v>0.46</v>
      </c>
      <c r="N45" s="11">
        <v>8.8796365714285716E-2</v>
      </c>
      <c r="O45" t="s">
        <v>63</v>
      </c>
      <c r="P45" s="11">
        <v>0.49731128757203102</v>
      </c>
      <c r="Q45" s="11">
        <v>0.2</v>
      </c>
      <c r="R45" s="11">
        <v>0.50086807510919862</v>
      </c>
      <c r="S45" s="11">
        <v>8.0171073123979419E-2</v>
      </c>
      <c r="T45" s="9" t="s">
        <v>31</v>
      </c>
      <c r="U45" s="9" t="s">
        <v>31</v>
      </c>
      <c r="V45" s="9" t="s">
        <v>33</v>
      </c>
      <c r="W45" s="9" t="s">
        <v>77</v>
      </c>
      <c r="X45" s="1" t="s">
        <v>31</v>
      </c>
      <c r="Y45" s="1" t="s">
        <v>31</v>
      </c>
      <c r="Z45" s="3" t="s">
        <v>31</v>
      </c>
      <c r="AA45" s="11" t="s">
        <v>31</v>
      </c>
      <c r="AB45" s="11" t="s">
        <v>31</v>
      </c>
      <c r="AC45" s="10">
        <v>0</v>
      </c>
      <c r="AD45" s="9" t="s">
        <v>34</v>
      </c>
      <c r="AE45" s="9" t="s">
        <v>63</v>
      </c>
    </row>
    <row r="46" spans="1:31" x14ac:dyDescent="0.25">
      <c r="A46" s="9" t="s">
        <v>947</v>
      </c>
      <c r="B46" s="1" t="s">
        <v>177</v>
      </c>
      <c r="C46" s="1" t="s">
        <v>126</v>
      </c>
      <c r="D46" s="10">
        <v>1</v>
      </c>
      <c r="E46" s="10">
        <v>2003</v>
      </c>
      <c r="F46" s="9" t="s">
        <v>38</v>
      </c>
      <c r="G46" s="9" t="s">
        <v>54</v>
      </c>
      <c r="H46" s="1" t="s">
        <v>31</v>
      </c>
      <c r="I46" s="1" t="s">
        <v>31</v>
      </c>
      <c r="J46" s="9" t="s">
        <v>43</v>
      </c>
      <c r="K46" s="1">
        <v>1</v>
      </c>
      <c r="L46" s="10">
        <v>7</v>
      </c>
      <c r="M46" s="3">
        <v>0.17</v>
      </c>
      <c r="N46" s="11">
        <v>0.157172535</v>
      </c>
      <c r="O46" t="s">
        <v>63</v>
      </c>
      <c r="P46" s="11">
        <v>0.1716666635005791</v>
      </c>
      <c r="Q46" s="11">
        <v>0.25</v>
      </c>
      <c r="R46" s="11">
        <v>0.19806183957302911</v>
      </c>
      <c r="S46" s="11">
        <v>0.15384698166960639</v>
      </c>
      <c r="T46" s="9" t="s">
        <v>31</v>
      </c>
      <c r="U46" s="9" t="s">
        <v>31</v>
      </c>
      <c r="V46" s="9" t="s">
        <v>33</v>
      </c>
      <c r="W46" s="9" t="s">
        <v>77</v>
      </c>
      <c r="X46" s="1" t="s">
        <v>31</v>
      </c>
      <c r="Y46" s="1" t="s">
        <v>31</v>
      </c>
      <c r="Z46" s="3" t="s">
        <v>31</v>
      </c>
      <c r="AA46" s="11" t="s">
        <v>31</v>
      </c>
      <c r="AB46" s="11" t="s">
        <v>31</v>
      </c>
      <c r="AC46" s="10">
        <v>0</v>
      </c>
      <c r="AD46" s="9" t="s">
        <v>34</v>
      </c>
      <c r="AE46" s="9" t="s">
        <v>63</v>
      </c>
    </row>
    <row r="47" spans="1:31" x14ac:dyDescent="0.25">
      <c r="A47" s="9" t="s">
        <v>947</v>
      </c>
      <c r="B47" s="1" t="s">
        <v>180</v>
      </c>
      <c r="C47" s="1" t="s">
        <v>127</v>
      </c>
      <c r="D47" s="10">
        <v>1</v>
      </c>
      <c r="E47" s="10">
        <v>2003</v>
      </c>
      <c r="F47" s="9" t="s">
        <v>38</v>
      </c>
      <c r="G47" s="9" t="s">
        <v>54</v>
      </c>
      <c r="H47" s="1" t="s">
        <v>31</v>
      </c>
      <c r="I47" s="1" t="s">
        <v>31</v>
      </c>
      <c r="J47" s="9" t="s">
        <v>39</v>
      </c>
      <c r="K47" s="1">
        <v>0</v>
      </c>
      <c r="L47" s="10">
        <v>7</v>
      </c>
      <c r="M47" s="3">
        <v>-0.67</v>
      </c>
      <c r="N47" s="11">
        <v>5.0618534999999992E-2</v>
      </c>
      <c r="O47" t="s">
        <v>63</v>
      </c>
      <c r="P47" s="11">
        <v>-0.81074312547513749</v>
      </c>
      <c r="Q47" s="11">
        <v>0.25</v>
      </c>
      <c r="R47" s="11">
        <v>-0.71592987316488788</v>
      </c>
      <c r="S47" s="11">
        <v>3.960034323030949E-2</v>
      </c>
      <c r="T47" s="9" t="s">
        <v>31</v>
      </c>
      <c r="U47" s="9" t="s">
        <v>31</v>
      </c>
      <c r="V47" s="9" t="s">
        <v>33</v>
      </c>
      <c r="W47" s="9" t="s">
        <v>77</v>
      </c>
      <c r="X47" s="1" t="s">
        <v>31</v>
      </c>
      <c r="Y47" s="1" t="s">
        <v>31</v>
      </c>
      <c r="Z47" s="3" t="s">
        <v>31</v>
      </c>
      <c r="AA47" s="11" t="s">
        <v>31</v>
      </c>
      <c r="AB47" s="11" t="s">
        <v>31</v>
      </c>
      <c r="AC47" s="10">
        <v>0</v>
      </c>
      <c r="AD47" s="9" t="s">
        <v>34</v>
      </c>
      <c r="AE47" s="9" t="s">
        <v>63</v>
      </c>
    </row>
    <row r="48" spans="1:31" x14ac:dyDescent="0.25">
      <c r="A48" s="9" t="s">
        <v>947</v>
      </c>
      <c r="B48" s="1" t="s">
        <v>183</v>
      </c>
      <c r="C48" s="1" t="s">
        <v>128</v>
      </c>
      <c r="D48" s="10">
        <v>1</v>
      </c>
      <c r="E48" s="10">
        <v>2003</v>
      </c>
      <c r="F48" s="9" t="s">
        <v>38</v>
      </c>
      <c r="G48" s="9" t="s">
        <v>54</v>
      </c>
      <c r="H48" s="1" t="s">
        <v>31</v>
      </c>
      <c r="I48" s="1" t="s">
        <v>31</v>
      </c>
      <c r="J48" s="9" t="s">
        <v>43</v>
      </c>
      <c r="K48" s="1">
        <v>1</v>
      </c>
      <c r="L48" s="10">
        <v>7</v>
      </c>
      <c r="M48" s="3">
        <v>0.67</v>
      </c>
      <c r="N48" s="11">
        <v>5.0618534999999992E-2</v>
      </c>
      <c r="O48" t="s">
        <v>63</v>
      </c>
      <c r="P48" s="11">
        <v>0.81074312547513749</v>
      </c>
      <c r="Q48" s="11">
        <v>0.25</v>
      </c>
      <c r="R48" s="11">
        <v>0.71592987316488788</v>
      </c>
      <c r="S48" s="11">
        <v>3.960034323030949E-2</v>
      </c>
      <c r="T48" s="9" t="s">
        <v>31</v>
      </c>
      <c r="U48" s="9" t="s">
        <v>31</v>
      </c>
      <c r="V48" s="9" t="s">
        <v>33</v>
      </c>
      <c r="W48" s="9" t="s">
        <v>77</v>
      </c>
      <c r="X48" s="1" t="s">
        <v>31</v>
      </c>
      <c r="Y48" s="1" t="s">
        <v>31</v>
      </c>
      <c r="Z48" s="3" t="s">
        <v>31</v>
      </c>
      <c r="AA48" s="11" t="s">
        <v>31</v>
      </c>
      <c r="AB48" s="11" t="s">
        <v>31</v>
      </c>
      <c r="AC48" s="10">
        <v>0</v>
      </c>
      <c r="AD48" s="9" t="s">
        <v>34</v>
      </c>
      <c r="AE48" s="9" t="s">
        <v>63</v>
      </c>
    </row>
    <row r="49" spans="1:31" x14ac:dyDescent="0.25">
      <c r="A49" s="9" t="s">
        <v>947</v>
      </c>
      <c r="B49" s="1" t="s">
        <v>185</v>
      </c>
      <c r="C49" s="1" t="s">
        <v>129</v>
      </c>
      <c r="D49" s="10">
        <v>1</v>
      </c>
      <c r="E49" s="10">
        <v>2003</v>
      </c>
      <c r="F49" s="9" t="s">
        <v>38</v>
      </c>
      <c r="G49" s="9" t="s">
        <v>54</v>
      </c>
      <c r="H49" s="1" t="s">
        <v>31</v>
      </c>
      <c r="I49" s="1" t="s">
        <v>31</v>
      </c>
      <c r="J49" s="9" t="s">
        <v>39</v>
      </c>
      <c r="K49" s="1">
        <v>0</v>
      </c>
      <c r="L49" s="10">
        <v>39</v>
      </c>
      <c r="M49" s="3">
        <v>0.34</v>
      </c>
      <c r="N49" s="11">
        <v>2.058324631578947E-2</v>
      </c>
      <c r="O49" t="s">
        <v>63</v>
      </c>
      <c r="P49" s="11">
        <v>0.35409252896224302</v>
      </c>
      <c r="Q49" s="11">
        <v>2.777777777777778E-2</v>
      </c>
      <c r="R49" s="11">
        <v>0.34429223684412652</v>
      </c>
      <c r="S49" s="11">
        <v>2.044675699706992E-2</v>
      </c>
      <c r="T49" s="9" t="s">
        <v>31</v>
      </c>
      <c r="U49" s="9" t="s">
        <v>31</v>
      </c>
      <c r="V49" s="9" t="s">
        <v>33</v>
      </c>
      <c r="W49" s="9" t="s">
        <v>77</v>
      </c>
      <c r="X49" s="1" t="s">
        <v>31</v>
      </c>
      <c r="Y49" s="1" t="s">
        <v>31</v>
      </c>
      <c r="Z49" s="3" t="s">
        <v>31</v>
      </c>
      <c r="AA49" s="11" t="s">
        <v>31</v>
      </c>
      <c r="AB49" s="11" t="s">
        <v>31</v>
      </c>
      <c r="AC49" s="10">
        <v>0</v>
      </c>
      <c r="AD49" s="9" t="s">
        <v>34</v>
      </c>
      <c r="AE49" s="9" t="s">
        <v>63</v>
      </c>
    </row>
    <row r="50" spans="1:31" x14ac:dyDescent="0.25">
      <c r="A50" s="9" t="s">
        <v>947</v>
      </c>
      <c r="B50" s="1" t="s">
        <v>187</v>
      </c>
      <c r="C50" s="1" t="s">
        <v>130</v>
      </c>
      <c r="D50" s="10">
        <v>1</v>
      </c>
      <c r="E50" s="10">
        <v>2003</v>
      </c>
      <c r="F50" s="9" t="s">
        <v>38</v>
      </c>
      <c r="G50" s="9" t="s">
        <v>54</v>
      </c>
      <c r="H50" s="1" t="s">
        <v>31</v>
      </c>
      <c r="I50" s="1" t="s">
        <v>31</v>
      </c>
      <c r="J50" s="9" t="s">
        <v>43</v>
      </c>
      <c r="K50" s="1">
        <v>1</v>
      </c>
      <c r="L50" s="10">
        <v>63</v>
      </c>
      <c r="M50" s="3">
        <v>0.27</v>
      </c>
      <c r="N50" s="11">
        <v>1.3863135645161289E-2</v>
      </c>
      <c r="O50" t="s">
        <v>63</v>
      </c>
      <c r="P50" s="11">
        <v>0.27686382265510012</v>
      </c>
      <c r="Q50" s="11">
        <v>1.666666666666667E-2</v>
      </c>
      <c r="R50" s="11">
        <v>0.27212413718205369</v>
      </c>
      <c r="S50" s="11">
        <v>1.382871837736011E-2</v>
      </c>
      <c r="T50" s="9" t="s">
        <v>31</v>
      </c>
      <c r="U50" s="9" t="s">
        <v>31</v>
      </c>
      <c r="V50" s="9" t="s">
        <v>33</v>
      </c>
      <c r="W50" s="9" t="s">
        <v>77</v>
      </c>
      <c r="X50" s="1" t="s">
        <v>31</v>
      </c>
      <c r="Y50" s="1" t="s">
        <v>31</v>
      </c>
      <c r="Z50" s="3" t="s">
        <v>31</v>
      </c>
      <c r="AA50" s="11" t="s">
        <v>31</v>
      </c>
      <c r="AB50" s="11" t="s">
        <v>31</v>
      </c>
      <c r="AC50" s="10">
        <v>0</v>
      </c>
      <c r="AD50" s="9" t="s">
        <v>34</v>
      </c>
      <c r="AE50" s="9" t="s">
        <v>63</v>
      </c>
    </row>
    <row r="51" spans="1:31" x14ac:dyDescent="0.25">
      <c r="A51" s="9" t="s">
        <v>521</v>
      </c>
      <c r="B51" s="1" t="s">
        <v>190</v>
      </c>
      <c r="C51" s="1" t="s">
        <v>132</v>
      </c>
      <c r="D51" s="10">
        <v>2</v>
      </c>
      <c r="E51" s="10">
        <v>2003</v>
      </c>
      <c r="F51" s="9" t="s">
        <v>28</v>
      </c>
      <c r="G51" s="9" t="s">
        <v>29</v>
      </c>
      <c r="H51" s="1">
        <v>26.16</v>
      </c>
      <c r="I51" s="1">
        <v>8.8000000000000007</v>
      </c>
      <c r="J51" s="9" t="s">
        <v>30</v>
      </c>
      <c r="K51" s="1">
        <v>0.52</v>
      </c>
      <c r="L51" s="10">
        <v>25</v>
      </c>
      <c r="M51" s="3">
        <v>0.47</v>
      </c>
      <c r="N51" s="11">
        <v>2.5291533750000001E-2</v>
      </c>
      <c r="O51">
        <v>157</v>
      </c>
      <c r="P51" s="11">
        <v>0.51007033661330714</v>
      </c>
      <c r="Q51" s="11">
        <v>4.5454545454545463E-2</v>
      </c>
      <c r="R51" s="11">
        <v>0.47859968647828072</v>
      </c>
      <c r="S51" s="11">
        <v>2.4764670490138429E-2</v>
      </c>
      <c r="T51" s="9" t="s">
        <v>40</v>
      </c>
      <c r="U51" s="9" t="s">
        <v>46</v>
      </c>
      <c r="V51" s="9" t="s">
        <v>33</v>
      </c>
      <c r="W51" s="9" t="s">
        <v>955</v>
      </c>
      <c r="X51" s="1">
        <v>16.3</v>
      </c>
      <c r="Y51" s="1">
        <v>15</v>
      </c>
      <c r="Z51" s="3">
        <f>X51/Y51</f>
        <v>1.0866666666666667</v>
      </c>
      <c r="AA51" s="11">
        <v>0.44002246230507869</v>
      </c>
      <c r="AB51" s="11">
        <v>0.17834311254252491</v>
      </c>
      <c r="AC51" s="10">
        <v>0</v>
      </c>
      <c r="AD51" s="9" t="s">
        <v>41</v>
      </c>
      <c r="AE51" s="9" t="s">
        <v>35</v>
      </c>
    </row>
    <row r="52" spans="1:31" x14ac:dyDescent="0.25">
      <c r="A52" s="9" t="s">
        <v>522</v>
      </c>
      <c r="B52" s="1" t="s">
        <v>193</v>
      </c>
      <c r="C52" s="1" t="s">
        <v>134</v>
      </c>
      <c r="D52" s="10">
        <v>2</v>
      </c>
      <c r="E52" s="10">
        <v>2003</v>
      </c>
      <c r="F52" s="9" t="s">
        <v>38</v>
      </c>
      <c r="G52" s="9" t="s">
        <v>54</v>
      </c>
      <c r="H52" s="1">
        <v>14.6</v>
      </c>
      <c r="I52" s="1">
        <v>1.5</v>
      </c>
      <c r="J52" s="9" t="s">
        <v>39</v>
      </c>
      <c r="K52" s="1">
        <v>0</v>
      </c>
      <c r="L52" s="10">
        <v>24</v>
      </c>
      <c r="M52" s="3">
        <v>0.2</v>
      </c>
      <c r="N52" s="11">
        <v>4.0069565217391301E-2</v>
      </c>
      <c r="O52">
        <v>10</v>
      </c>
      <c r="P52" s="11">
        <v>0.20273255405408211</v>
      </c>
      <c r="Q52" s="11">
        <v>4.7619047619047623E-2</v>
      </c>
      <c r="R52" s="11">
        <v>0.20483431563978169</v>
      </c>
      <c r="S52" s="11">
        <v>3.99063567065212E-2</v>
      </c>
      <c r="T52" s="9" t="s">
        <v>40</v>
      </c>
      <c r="U52" s="9" t="s">
        <v>50</v>
      </c>
      <c r="V52" s="9" t="s">
        <v>33</v>
      </c>
      <c r="W52" s="9" t="s">
        <v>330</v>
      </c>
      <c r="X52" s="1" t="s">
        <v>31</v>
      </c>
      <c r="Y52" s="1" t="s">
        <v>31</v>
      </c>
      <c r="Z52" s="3" t="s">
        <v>31</v>
      </c>
      <c r="AA52" s="11" t="s">
        <v>31</v>
      </c>
      <c r="AB52" s="11" t="s">
        <v>31</v>
      </c>
      <c r="AC52" s="10">
        <v>0</v>
      </c>
      <c r="AD52" s="9" t="s">
        <v>41</v>
      </c>
      <c r="AE52" s="9" t="s">
        <v>35</v>
      </c>
    </row>
    <row r="53" spans="1:31" x14ac:dyDescent="0.25">
      <c r="A53" s="9" t="s">
        <v>522</v>
      </c>
      <c r="B53" s="1" t="s">
        <v>198</v>
      </c>
      <c r="C53" s="1" t="s">
        <v>135</v>
      </c>
      <c r="D53" s="10">
        <v>2</v>
      </c>
      <c r="E53" s="10">
        <v>2003</v>
      </c>
      <c r="F53" s="9" t="s">
        <v>38</v>
      </c>
      <c r="G53" s="9" t="s">
        <v>54</v>
      </c>
      <c r="H53" s="1">
        <v>14.5</v>
      </c>
      <c r="I53" s="1">
        <v>1.6</v>
      </c>
      <c r="J53" s="9" t="s">
        <v>43</v>
      </c>
      <c r="K53" s="1">
        <v>1</v>
      </c>
      <c r="L53" s="10">
        <v>13</v>
      </c>
      <c r="M53" s="3">
        <v>0.26</v>
      </c>
      <c r="N53" s="11">
        <v>7.2447479999999995E-2</v>
      </c>
      <c r="O53">
        <v>10</v>
      </c>
      <c r="P53" s="11">
        <v>0.26610840687365411</v>
      </c>
      <c r="Q53" s="11">
        <v>0.1</v>
      </c>
      <c r="R53" s="11">
        <v>0.27353254418483419</v>
      </c>
      <c r="S53" s="11">
        <v>7.1329827902816542E-2</v>
      </c>
      <c r="T53" s="9" t="s">
        <v>40</v>
      </c>
      <c r="U53" s="9" t="s">
        <v>50</v>
      </c>
      <c r="V53" s="9" t="s">
        <v>33</v>
      </c>
      <c r="W53" s="9" t="s">
        <v>330</v>
      </c>
      <c r="X53" s="1" t="s">
        <v>31</v>
      </c>
      <c r="Y53" s="1" t="s">
        <v>31</v>
      </c>
      <c r="Z53" s="3" t="s">
        <v>31</v>
      </c>
      <c r="AA53" s="11" t="s">
        <v>31</v>
      </c>
      <c r="AB53" s="11" t="s">
        <v>31</v>
      </c>
      <c r="AC53" s="10">
        <v>0</v>
      </c>
      <c r="AD53" s="9" t="s">
        <v>41</v>
      </c>
      <c r="AE53" s="9" t="s">
        <v>35</v>
      </c>
    </row>
    <row r="54" spans="1:31" x14ac:dyDescent="0.25">
      <c r="A54" s="9" t="s">
        <v>523</v>
      </c>
      <c r="B54" s="1" t="s">
        <v>201</v>
      </c>
      <c r="C54" s="1" t="s">
        <v>138</v>
      </c>
      <c r="D54" s="10">
        <v>1</v>
      </c>
      <c r="E54" s="10">
        <v>2004</v>
      </c>
      <c r="F54" s="9" t="s">
        <v>38</v>
      </c>
      <c r="G54" s="9" t="s">
        <v>54</v>
      </c>
      <c r="H54" s="1">
        <v>15.05</v>
      </c>
      <c r="I54" s="1">
        <v>2.0499999999999998</v>
      </c>
      <c r="J54" s="9" t="s">
        <v>30</v>
      </c>
      <c r="K54" s="1">
        <v>0.5</v>
      </c>
      <c r="L54" s="10">
        <v>40</v>
      </c>
      <c r="M54" s="3">
        <v>0.41</v>
      </c>
      <c r="N54" s="11">
        <v>1.7745066923076921E-2</v>
      </c>
      <c r="O54">
        <v>801</v>
      </c>
      <c r="P54" s="11">
        <v>0.43561122323622431</v>
      </c>
      <c r="Q54" s="11">
        <v>2.7027027027027029E-2</v>
      </c>
      <c r="R54" s="11">
        <v>0.41471758700544681</v>
      </c>
      <c r="S54" s="11">
        <v>1.7579472795433738E-2</v>
      </c>
      <c r="T54" s="9" t="s">
        <v>40</v>
      </c>
      <c r="U54" s="9" t="s">
        <v>50</v>
      </c>
      <c r="V54" s="9" t="s">
        <v>33</v>
      </c>
      <c r="W54" s="9" t="s">
        <v>956</v>
      </c>
      <c r="X54" s="1">
        <v>15.31</v>
      </c>
      <c r="Y54" s="1">
        <v>15</v>
      </c>
      <c r="Z54" s="3">
        <f>X54/Y54</f>
        <v>1.0206666666666666</v>
      </c>
      <c r="AA54" s="11">
        <v>0.40305854233670962</v>
      </c>
      <c r="AB54" s="11">
        <v>0.14644159375658991</v>
      </c>
      <c r="AC54" s="10">
        <v>0</v>
      </c>
      <c r="AD54" s="9" t="s">
        <v>41</v>
      </c>
      <c r="AE54" s="9" t="s">
        <v>35</v>
      </c>
    </row>
    <row r="55" spans="1:31" x14ac:dyDescent="0.25">
      <c r="A55" s="9" t="s">
        <v>148</v>
      </c>
      <c r="B55" s="1" t="s">
        <v>204</v>
      </c>
      <c r="C55" s="1" t="s">
        <v>139</v>
      </c>
      <c r="D55" s="10">
        <v>2</v>
      </c>
      <c r="E55" s="10">
        <v>2004</v>
      </c>
      <c r="F55" s="9" t="s">
        <v>38</v>
      </c>
      <c r="G55" s="9" t="s">
        <v>54</v>
      </c>
      <c r="H55" s="1">
        <v>15.9</v>
      </c>
      <c r="I55" s="1" t="s">
        <v>31</v>
      </c>
      <c r="J55" s="9" t="s">
        <v>39</v>
      </c>
      <c r="K55" s="1">
        <v>0</v>
      </c>
      <c r="L55" s="10">
        <v>38</v>
      </c>
      <c r="M55" s="3">
        <v>0.24399999999999999</v>
      </c>
      <c r="N55" s="11">
        <v>2.3904663116108109E-2</v>
      </c>
      <c r="O55" t="s">
        <v>63</v>
      </c>
      <c r="P55" s="11">
        <v>0.2490229485597959</v>
      </c>
      <c r="Q55" s="11">
        <v>2.8571428571428571E-2</v>
      </c>
      <c r="R55" s="11">
        <v>0.24738490114149539</v>
      </c>
      <c r="S55" s="11">
        <v>2.3820183091535552E-2</v>
      </c>
      <c r="T55" s="9" t="s">
        <v>40</v>
      </c>
      <c r="U55" s="9" t="s">
        <v>31</v>
      </c>
      <c r="V55" s="9" t="s">
        <v>33</v>
      </c>
      <c r="W55" s="9" t="s">
        <v>151</v>
      </c>
      <c r="X55" s="1" t="s">
        <v>31</v>
      </c>
      <c r="Y55" s="1" t="s">
        <v>31</v>
      </c>
      <c r="Z55" s="3" t="s">
        <v>31</v>
      </c>
      <c r="AA55" s="11" t="s">
        <v>31</v>
      </c>
      <c r="AB55" s="11" t="s">
        <v>31</v>
      </c>
      <c r="AC55" s="10">
        <v>0</v>
      </c>
      <c r="AD55" s="9" t="s">
        <v>34</v>
      </c>
      <c r="AE55" s="9" t="s">
        <v>63</v>
      </c>
    </row>
    <row r="56" spans="1:31" x14ac:dyDescent="0.25">
      <c r="A56" s="9" t="s">
        <v>148</v>
      </c>
      <c r="B56" s="1" t="s">
        <v>207</v>
      </c>
      <c r="C56" s="1" t="s">
        <v>141</v>
      </c>
      <c r="D56" s="10">
        <v>2</v>
      </c>
      <c r="E56" s="10">
        <v>2004</v>
      </c>
      <c r="F56" s="9" t="s">
        <v>38</v>
      </c>
      <c r="G56" s="9" t="s">
        <v>54</v>
      </c>
      <c r="H56" s="1">
        <v>15.9</v>
      </c>
      <c r="I56" s="1" t="s">
        <v>31</v>
      </c>
      <c r="J56" s="9" t="s">
        <v>43</v>
      </c>
      <c r="K56" s="1">
        <v>1</v>
      </c>
      <c r="L56" s="10">
        <v>38</v>
      </c>
      <c r="M56" s="3">
        <v>0.26700000000000002</v>
      </c>
      <c r="N56" s="11">
        <v>2.331092220327027E-2</v>
      </c>
      <c r="O56" t="s">
        <v>63</v>
      </c>
      <c r="P56" s="11">
        <v>0.27363073921724368</v>
      </c>
      <c r="Q56" s="11">
        <v>2.8571428571428571E-2</v>
      </c>
      <c r="R56" s="11">
        <v>0.27065469258119662</v>
      </c>
      <c r="S56" s="11">
        <v>2.3212384265041481E-2</v>
      </c>
      <c r="T56" s="9" t="s">
        <v>40</v>
      </c>
      <c r="U56" s="9" t="s">
        <v>31</v>
      </c>
      <c r="V56" s="9" t="s">
        <v>33</v>
      </c>
      <c r="W56" s="9" t="s">
        <v>151</v>
      </c>
      <c r="X56" s="1" t="s">
        <v>31</v>
      </c>
      <c r="Y56" s="1" t="s">
        <v>31</v>
      </c>
      <c r="Z56" s="3" t="s">
        <v>31</v>
      </c>
      <c r="AA56" s="11" t="s">
        <v>31</v>
      </c>
      <c r="AB56" s="11" t="s">
        <v>31</v>
      </c>
      <c r="AC56" s="10">
        <v>0</v>
      </c>
      <c r="AD56" s="9" t="s">
        <v>34</v>
      </c>
      <c r="AE56" s="9" t="s">
        <v>63</v>
      </c>
    </row>
    <row r="57" spans="1:31" x14ac:dyDescent="0.25">
      <c r="A57" s="9" t="s">
        <v>148</v>
      </c>
      <c r="B57" s="1" t="s">
        <v>210</v>
      </c>
      <c r="C57" s="1" t="s">
        <v>144</v>
      </c>
      <c r="D57" s="10">
        <v>2</v>
      </c>
      <c r="E57" s="10">
        <v>2004</v>
      </c>
      <c r="F57" s="9" t="s">
        <v>38</v>
      </c>
      <c r="G57" s="9" t="s">
        <v>54</v>
      </c>
      <c r="H57" s="1">
        <v>14.86</v>
      </c>
      <c r="I57" s="1" t="s">
        <v>31</v>
      </c>
      <c r="J57" s="9" t="s">
        <v>30</v>
      </c>
      <c r="K57" s="1">
        <v>0.5</v>
      </c>
      <c r="L57" s="10">
        <v>16</v>
      </c>
      <c r="M57" s="3">
        <v>0.49399999999999999</v>
      </c>
      <c r="N57" s="11">
        <v>3.8098771286399997E-2</v>
      </c>
      <c r="O57" t="s">
        <v>63</v>
      </c>
      <c r="P57" s="11">
        <v>0.54133784820264852</v>
      </c>
      <c r="Q57" s="11">
        <v>7.6923076923076927E-2</v>
      </c>
      <c r="R57" s="11">
        <v>0.50908479625078829</v>
      </c>
      <c r="S57" s="11">
        <v>3.6588869684974663E-2</v>
      </c>
      <c r="T57" s="9" t="s">
        <v>40</v>
      </c>
      <c r="U57" s="9" t="s">
        <v>31</v>
      </c>
      <c r="V57" s="9" t="s">
        <v>33</v>
      </c>
      <c r="W57" s="9" t="s">
        <v>151</v>
      </c>
      <c r="X57" s="1" t="s">
        <v>31</v>
      </c>
      <c r="Y57" s="1" t="s">
        <v>31</v>
      </c>
      <c r="Z57" s="3" t="s">
        <v>31</v>
      </c>
      <c r="AA57" s="11" t="s">
        <v>31</v>
      </c>
      <c r="AB57" s="11" t="s">
        <v>31</v>
      </c>
      <c r="AC57" s="10">
        <v>0</v>
      </c>
      <c r="AD57" s="9" t="s">
        <v>34</v>
      </c>
      <c r="AE57" s="9" t="s">
        <v>63</v>
      </c>
    </row>
    <row r="58" spans="1:31" x14ac:dyDescent="0.25">
      <c r="A58" s="9" t="s">
        <v>142</v>
      </c>
      <c r="B58" s="1" t="s">
        <v>214</v>
      </c>
      <c r="C58" s="1" t="s">
        <v>145</v>
      </c>
      <c r="D58" s="10">
        <v>1</v>
      </c>
      <c r="E58" s="10">
        <v>2004</v>
      </c>
      <c r="F58" s="9" t="s">
        <v>38</v>
      </c>
      <c r="G58" s="9" t="s">
        <v>54</v>
      </c>
      <c r="H58" s="1">
        <v>18</v>
      </c>
      <c r="I58" s="1">
        <v>0.9</v>
      </c>
      <c r="J58" s="9" t="s">
        <v>39</v>
      </c>
      <c r="K58" s="1">
        <v>0</v>
      </c>
      <c r="L58" s="10">
        <v>49</v>
      </c>
      <c r="M58" s="3">
        <v>0.37</v>
      </c>
      <c r="N58" s="11">
        <v>1.5519616875E-2</v>
      </c>
      <c r="O58">
        <v>471</v>
      </c>
      <c r="P58" s="11">
        <v>0.38842309971829619</v>
      </c>
      <c r="Q58" s="11">
        <v>2.1739130434782612E-2</v>
      </c>
      <c r="R58" s="11">
        <v>0.37354253525336328</v>
      </c>
      <c r="S58" s="11">
        <v>1.542503527135965E-2</v>
      </c>
      <c r="T58" s="9" t="s">
        <v>40</v>
      </c>
      <c r="U58" s="9" t="s">
        <v>50</v>
      </c>
      <c r="V58" s="9" t="s">
        <v>33</v>
      </c>
      <c r="W58" s="9" t="s">
        <v>911</v>
      </c>
      <c r="X58" s="1">
        <v>17.7</v>
      </c>
      <c r="Y58" s="1">
        <v>15</v>
      </c>
      <c r="Z58" s="3">
        <f t="shared" ref="Z58:Z66" si="1">X58/Y58</f>
        <v>1.18</v>
      </c>
      <c r="AA58" s="11">
        <v>0.31978881166713402</v>
      </c>
      <c r="AB58" s="11">
        <v>0.1218232740815012</v>
      </c>
      <c r="AC58" s="10">
        <v>0</v>
      </c>
      <c r="AD58" s="9" t="s">
        <v>41</v>
      </c>
      <c r="AE58" s="9" t="s">
        <v>35</v>
      </c>
    </row>
    <row r="59" spans="1:31" x14ac:dyDescent="0.25">
      <c r="A59" s="9" t="s">
        <v>142</v>
      </c>
      <c r="B59" s="1" t="s">
        <v>216</v>
      </c>
      <c r="C59" s="1" t="s">
        <v>147</v>
      </c>
      <c r="D59" s="10">
        <v>1</v>
      </c>
      <c r="E59" s="10">
        <v>2004</v>
      </c>
      <c r="F59" s="9" t="s">
        <v>38</v>
      </c>
      <c r="G59" s="9" t="s">
        <v>54</v>
      </c>
      <c r="H59" s="1">
        <v>18</v>
      </c>
      <c r="I59" s="1">
        <v>0.9</v>
      </c>
      <c r="J59" s="9" t="s">
        <v>43</v>
      </c>
      <c r="K59" s="1">
        <v>1</v>
      </c>
      <c r="L59" s="10">
        <v>47</v>
      </c>
      <c r="M59" s="3">
        <v>0.55100000000000005</v>
      </c>
      <c r="N59" s="11">
        <v>1.0542860156543481E-2</v>
      </c>
      <c r="O59">
        <v>471</v>
      </c>
      <c r="P59" s="11">
        <v>0.61981613771714239</v>
      </c>
      <c r="Q59" s="11">
        <v>2.2727272727272731E-2</v>
      </c>
      <c r="R59" s="11">
        <v>0.55541485460495044</v>
      </c>
      <c r="S59" s="11">
        <v>1.039548003120893E-2</v>
      </c>
      <c r="T59" s="9" t="s">
        <v>40</v>
      </c>
      <c r="U59" s="9" t="s">
        <v>50</v>
      </c>
      <c r="V59" s="9" t="s">
        <v>33</v>
      </c>
      <c r="W59" s="9" t="s">
        <v>911</v>
      </c>
      <c r="X59" s="1">
        <v>18.8</v>
      </c>
      <c r="Y59" s="1">
        <v>15</v>
      </c>
      <c r="Z59" s="3">
        <f t="shared" si="1"/>
        <v>1.2533333333333334</v>
      </c>
      <c r="AA59" s="11">
        <v>0.46609041781163552</v>
      </c>
      <c r="AB59" s="11">
        <v>0.11828011005103981</v>
      </c>
      <c r="AC59" s="10">
        <v>0</v>
      </c>
      <c r="AD59" s="9" t="s">
        <v>41</v>
      </c>
      <c r="AE59" s="9" t="s">
        <v>35</v>
      </c>
    </row>
    <row r="60" spans="1:31" x14ac:dyDescent="0.25">
      <c r="A60" s="9" t="s">
        <v>157</v>
      </c>
      <c r="B60" s="1" t="s">
        <v>218</v>
      </c>
      <c r="C60" s="1" t="s">
        <v>150</v>
      </c>
      <c r="D60" s="10">
        <v>2</v>
      </c>
      <c r="E60" s="10">
        <v>2004</v>
      </c>
      <c r="F60" s="9" t="s">
        <v>38</v>
      </c>
      <c r="G60" s="9" t="s">
        <v>29</v>
      </c>
      <c r="H60" s="1">
        <v>43.62</v>
      </c>
      <c r="I60" s="1">
        <v>4.3099999999999996</v>
      </c>
      <c r="J60" s="9" t="s">
        <v>30</v>
      </c>
      <c r="K60" s="1">
        <v>0.47</v>
      </c>
      <c r="L60" s="10">
        <v>17</v>
      </c>
      <c r="M60" s="3">
        <v>0.31</v>
      </c>
      <c r="N60" s="11">
        <v>5.1064700625000001E-2</v>
      </c>
      <c r="O60" t="s">
        <v>63</v>
      </c>
      <c r="P60" s="11">
        <v>0.32054540930194608</v>
      </c>
      <c r="Q60" s="11">
        <v>7.1428571428571425E-2</v>
      </c>
      <c r="R60" s="11">
        <v>0.32076808230626558</v>
      </c>
      <c r="S60" s="11">
        <v>5.0300154492316701E-2</v>
      </c>
      <c r="T60" s="9" t="s">
        <v>40</v>
      </c>
      <c r="U60" s="9" t="s">
        <v>50</v>
      </c>
      <c r="V60" s="9" t="s">
        <v>33</v>
      </c>
      <c r="W60" s="9" t="s">
        <v>957</v>
      </c>
      <c r="X60" s="1">
        <v>13.6</v>
      </c>
      <c r="Y60" s="1">
        <v>15</v>
      </c>
      <c r="Z60" s="3">
        <f t="shared" si="1"/>
        <v>0.90666666666666662</v>
      </c>
      <c r="AA60" s="11">
        <v>0.33840980396904607</v>
      </c>
      <c r="AB60" s="11">
        <v>0.2625146772338946</v>
      </c>
      <c r="AC60" s="10">
        <v>0</v>
      </c>
      <c r="AD60" s="9" t="s">
        <v>34</v>
      </c>
      <c r="AE60" s="9" t="s">
        <v>63</v>
      </c>
    </row>
    <row r="61" spans="1:31" x14ac:dyDescent="0.25">
      <c r="A61" s="9" t="s">
        <v>157</v>
      </c>
      <c r="B61" s="1" t="s">
        <v>221</v>
      </c>
      <c r="C61" s="1" t="s">
        <v>152</v>
      </c>
      <c r="D61" s="10">
        <v>2</v>
      </c>
      <c r="E61" s="10">
        <v>2004</v>
      </c>
      <c r="F61" s="9" t="s">
        <v>28</v>
      </c>
      <c r="G61" s="9" t="s">
        <v>29</v>
      </c>
      <c r="H61" s="1">
        <v>30.3</v>
      </c>
      <c r="I61" s="1">
        <v>9.1</v>
      </c>
      <c r="J61" s="9" t="s">
        <v>30</v>
      </c>
      <c r="K61" s="1">
        <v>0.87</v>
      </c>
      <c r="L61" s="10">
        <v>15</v>
      </c>
      <c r="M61" s="3">
        <v>7.0000000000000007E-2</v>
      </c>
      <c r="N61" s="11">
        <v>7.0730286428571418E-2</v>
      </c>
      <c r="O61" t="s">
        <v>63</v>
      </c>
      <c r="P61" s="11">
        <v>7.0114670654325154E-2</v>
      </c>
      <c r="Q61" s="11">
        <v>8.3333333333333329E-2</v>
      </c>
      <c r="R61" s="11">
        <v>7.3230789331322946E-2</v>
      </c>
      <c r="S61" s="11">
        <v>7.0664518718525873E-2</v>
      </c>
      <c r="T61" s="9" t="s">
        <v>40</v>
      </c>
      <c r="U61" s="9" t="s">
        <v>50</v>
      </c>
      <c r="V61" s="9" t="s">
        <v>33</v>
      </c>
      <c r="W61" s="9" t="s">
        <v>957</v>
      </c>
      <c r="X61" s="1">
        <v>23</v>
      </c>
      <c r="Y61" s="1">
        <v>15</v>
      </c>
      <c r="Z61" s="3">
        <f t="shared" si="1"/>
        <v>1.5333333333333334</v>
      </c>
      <c r="AA61" s="11">
        <v>4.5716585475686321E-2</v>
      </c>
      <c r="AB61" s="11">
        <v>0.18120162106394</v>
      </c>
      <c r="AC61" s="10">
        <v>0</v>
      </c>
      <c r="AD61" s="9" t="s">
        <v>34</v>
      </c>
      <c r="AE61" s="9" t="s">
        <v>63</v>
      </c>
    </row>
    <row r="62" spans="1:31" x14ac:dyDescent="0.25">
      <c r="A62" s="9" t="s">
        <v>524</v>
      </c>
      <c r="B62" s="1" t="s">
        <v>225</v>
      </c>
      <c r="C62" s="1" t="s">
        <v>153</v>
      </c>
      <c r="D62" s="10">
        <v>2</v>
      </c>
      <c r="E62" s="10">
        <v>2004</v>
      </c>
      <c r="F62" s="9" t="s">
        <v>28</v>
      </c>
      <c r="G62" s="9" t="s">
        <v>29</v>
      </c>
      <c r="H62" s="1">
        <v>42.23</v>
      </c>
      <c r="I62" s="1">
        <v>12.94</v>
      </c>
      <c r="J62" s="9" t="s">
        <v>30</v>
      </c>
      <c r="K62" s="1">
        <v>0.5</v>
      </c>
      <c r="L62" s="10">
        <v>201</v>
      </c>
      <c r="M62" s="3">
        <v>0.28000000000000003</v>
      </c>
      <c r="N62" s="11">
        <v>4.2467327999999999E-3</v>
      </c>
      <c r="O62">
        <v>72</v>
      </c>
      <c r="P62" s="11">
        <v>0.28768207245178101</v>
      </c>
      <c r="Q62" s="11">
        <v>5.0505050505050509E-3</v>
      </c>
      <c r="R62" s="11">
        <v>0.28065518072246393</v>
      </c>
      <c r="S62" s="11">
        <v>4.2433481570803948E-3</v>
      </c>
      <c r="T62" s="9" t="s">
        <v>40</v>
      </c>
      <c r="U62" s="9" t="s">
        <v>50</v>
      </c>
      <c r="V62" s="9" t="s">
        <v>33</v>
      </c>
      <c r="W62" s="9" t="s">
        <v>911</v>
      </c>
      <c r="X62" s="1">
        <v>17.64</v>
      </c>
      <c r="Y62" s="1">
        <v>15</v>
      </c>
      <c r="Z62" s="3">
        <f t="shared" si="1"/>
        <v>1.1759999999999999</v>
      </c>
      <c r="AA62" s="11">
        <v>0.24072270141305929</v>
      </c>
      <c r="AB62" s="11">
        <v>5.9804847825357041E-2</v>
      </c>
      <c r="AC62" s="10">
        <v>4</v>
      </c>
      <c r="AD62" s="9" t="s">
        <v>34</v>
      </c>
      <c r="AE62" s="9" t="s">
        <v>35</v>
      </c>
    </row>
    <row r="63" spans="1:31" x14ac:dyDescent="0.25">
      <c r="A63" s="9" t="s">
        <v>525</v>
      </c>
      <c r="B63" s="1" t="s">
        <v>228</v>
      </c>
      <c r="C63" s="1" t="s">
        <v>155</v>
      </c>
      <c r="D63" s="10">
        <v>2</v>
      </c>
      <c r="E63" s="10">
        <v>2004</v>
      </c>
      <c r="F63" s="9" t="s">
        <v>38</v>
      </c>
      <c r="G63" s="9" t="s">
        <v>54</v>
      </c>
      <c r="H63" s="1">
        <v>15.5</v>
      </c>
      <c r="I63" s="1">
        <v>1.6</v>
      </c>
      <c r="J63" s="9" t="s">
        <v>43</v>
      </c>
      <c r="K63" s="1">
        <v>1</v>
      </c>
      <c r="L63" s="10">
        <v>16</v>
      </c>
      <c r="M63" s="3">
        <v>0.13300000000000001</v>
      </c>
      <c r="N63" s="11">
        <v>6.432899338140001E-2</v>
      </c>
      <c r="O63" t="s">
        <v>63</v>
      </c>
      <c r="P63" s="11">
        <v>0.13379264212373229</v>
      </c>
      <c r="Q63" s="11">
        <v>7.6923076923076927E-2</v>
      </c>
      <c r="R63" s="11">
        <v>0.13853007821476829</v>
      </c>
      <c r="S63" s="11">
        <v>6.4132474221266916E-2</v>
      </c>
      <c r="T63" s="9" t="s">
        <v>40</v>
      </c>
      <c r="U63" s="9" t="s">
        <v>50</v>
      </c>
      <c r="V63" s="9" t="s">
        <v>33</v>
      </c>
      <c r="W63" s="9" t="s">
        <v>958</v>
      </c>
      <c r="X63" s="1">
        <v>18.3</v>
      </c>
      <c r="Y63" s="1">
        <v>15</v>
      </c>
      <c r="Z63" s="3">
        <f t="shared" si="1"/>
        <v>1.22</v>
      </c>
      <c r="AA63" s="11">
        <v>0.10933416627248051</v>
      </c>
      <c r="AB63" s="11">
        <v>0.21902461067637871</v>
      </c>
      <c r="AC63" s="10">
        <v>0</v>
      </c>
      <c r="AD63" s="9" t="s">
        <v>34</v>
      </c>
      <c r="AE63" s="9" t="s">
        <v>63</v>
      </c>
    </row>
    <row r="64" spans="1:31" x14ac:dyDescent="0.25">
      <c r="A64" s="9" t="s">
        <v>525</v>
      </c>
      <c r="B64" s="1" t="s">
        <v>232</v>
      </c>
      <c r="C64" s="1" t="s">
        <v>156</v>
      </c>
      <c r="D64" s="10">
        <v>2</v>
      </c>
      <c r="E64" s="10">
        <v>2004</v>
      </c>
      <c r="F64" s="9" t="s">
        <v>28</v>
      </c>
      <c r="G64" s="9" t="s">
        <v>54</v>
      </c>
      <c r="H64" s="1">
        <v>15.4</v>
      </c>
      <c r="I64" s="1">
        <v>2.2400000000000002</v>
      </c>
      <c r="J64" s="9" t="s">
        <v>43</v>
      </c>
      <c r="K64" s="1">
        <v>1</v>
      </c>
      <c r="L64" s="10">
        <v>16</v>
      </c>
      <c r="M64" s="3">
        <v>-6.2E-2</v>
      </c>
      <c r="N64" s="11">
        <v>6.6155118422400003E-2</v>
      </c>
      <c r="O64" s="2" t="s">
        <v>63</v>
      </c>
      <c r="P64" s="11">
        <v>-6.2079626397829803E-2</v>
      </c>
      <c r="Q64" s="11">
        <v>7.6923076923076927E-2</v>
      </c>
      <c r="R64" s="11">
        <v>-6.4697065186355679E-2</v>
      </c>
      <c r="S64" s="11">
        <v>6.6109739978852625E-2</v>
      </c>
      <c r="T64" s="9" t="s">
        <v>40</v>
      </c>
      <c r="U64" s="9" t="s">
        <v>50</v>
      </c>
      <c r="V64" s="9" t="s">
        <v>33</v>
      </c>
      <c r="W64" s="9" t="s">
        <v>958</v>
      </c>
      <c r="X64" s="1">
        <v>21.7</v>
      </c>
      <c r="Y64" s="1">
        <v>15</v>
      </c>
      <c r="Z64" s="3">
        <f t="shared" si="1"/>
        <v>1.4466666666666665</v>
      </c>
      <c r="AA64" s="11">
        <v>-4.2900220547254529E-2</v>
      </c>
      <c r="AB64" s="11">
        <v>0.18494394422919239</v>
      </c>
      <c r="AC64" s="10">
        <v>0</v>
      </c>
      <c r="AD64" s="9" t="s">
        <v>34</v>
      </c>
      <c r="AE64" s="9" t="s">
        <v>63</v>
      </c>
    </row>
    <row r="65" spans="1:31" x14ac:dyDescent="0.25">
      <c r="A65" s="9" t="s">
        <v>526</v>
      </c>
      <c r="B65" s="1" t="s">
        <v>234</v>
      </c>
      <c r="C65" s="1" t="s">
        <v>159</v>
      </c>
      <c r="D65" s="10">
        <v>2</v>
      </c>
      <c r="E65" s="10">
        <v>2005</v>
      </c>
      <c r="F65" s="9" t="s">
        <v>38</v>
      </c>
      <c r="G65" s="9" t="s">
        <v>54</v>
      </c>
      <c r="H65" s="1">
        <v>8.42</v>
      </c>
      <c r="I65" s="1">
        <v>8.08</v>
      </c>
      <c r="J65" s="9" t="s">
        <v>30</v>
      </c>
      <c r="K65" s="1">
        <v>0.56999999999999995</v>
      </c>
      <c r="L65" s="10">
        <v>21</v>
      </c>
      <c r="M65" s="3">
        <v>0.46400000000000002</v>
      </c>
      <c r="N65" s="11">
        <v>3.07880183808E-2</v>
      </c>
      <c r="O65" t="s">
        <v>63</v>
      </c>
      <c r="P65" s="11">
        <v>0.50239676672522737</v>
      </c>
      <c r="Q65" s="11">
        <v>5.5555555555555552E-2</v>
      </c>
      <c r="R65" s="11">
        <v>0.47453102496433408</v>
      </c>
      <c r="S65" s="11">
        <v>3.00173253563286E-2</v>
      </c>
      <c r="T65" s="9" t="s">
        <v>40</v>
      </c>
      <c r="U65" s="9" t="s">
        <v>46</v>
      </c>
      <c r="V65" s="9" t="s">
        <v>33</v>
      </c>
      <c r="W65" s="9" t="s">
        <v>258</v>
      </c>
      <c r="X65" s="1">
        <v>8.8000000000000007</v>
      </c>
      <c r="Y65" s="1">
        <v>15</v>
      </c>
      <c r="Z65" s="3">
        <f t="shared" si="1"/>
        <v>0.58666666666666667</v>
      </c>
      <c r="AA65" s="11">
        <v>0.66600865008085619</v>
      </c>
      <c r="AB65" s="11">
        <v>0.2068448091823443</v>
      </c>
      <c r="AC65" s="10">
        <v>0</v>
      </c>
      <c r="AD65" s="9" t="s">
        <v>34</v>
      </c>
      <c r="AE65" s="9" t="s">
        <v>63</v>
      </c>
    </row>
    <row r="66" spans="1:31" x14ac:dyDescent="0.25">
      <c r="A66" s="9" t="s">
        <v>526</v>
      </c>
      <c r="B66" s="1" t="s">
        <v>237</v>
      </c>
      <c r="C66" s="1" t="s">
        <v>160</v>
      </c>
      <c r="D66" s="10">
        <v>2</v>
      </c>
      <c r="E66" s="10">
        <v>2005</v>
      </c>
      <c r="F66" s="9" t="s">
        <v>28</v>
      </c>
      <c r="G66" s="9" t="s">
        <v>54</v>
      </c>
      <c r="H66" s="1">
        <v>8.58</v>
      </c>
      <c r="I66" s="1">
        <v>8.5</v>
      </c>
      <c r="J66" s="9" t="s">
        <v>30</v>
      </c>
      <c r="K66" s="1">
        <v>0.53</v>
      </c>
      <c r="L66" s="10">
        <v>60</v>
      </c>
      <c r="M66" s="3">
        <v>0.35</v>
      </c>
      <c r="N66" s="11">
        <v>1.305095338983051E-2</v>
      </c>
      <c r="O66" t="s">
        <v>63</v>
      </c>
      <c r="P66" s="11">
        <v>0.36544375427139619</v>
      </c>
      <c r="Q66" s="11">
        <v>1.754385964912281E-2</v>
      </c>
      <c r="R66" s="11">
        <v>0.35274037578769818</v>
      </c>
      <c r="S66" s="11">
        <v>1.299373266937285E-2</v>
      </c>
      <c r="T66" s="9" t="s">
        <v>40</v>
      </c>
      <c r="U66" s="9" t="s">
        <v>46</v>
      </c>
      <c r="V66" s="9" t="s">
        <v>33</v>
      </c>
      <c r="W66" s="9" t="s">
        <v>258</v>
      </c>
      <c r="X66" s="1">
        <v>12.4</v>
      </c>
      <c r="Y66" s="1">
        <v>15</v>
      </c>
      <c r="Z66" s="3">
        <f t="shared" si="1"/>
        <v>0.82666666666666666</v>
      </c>
      <c r="AA66" s="11">
        <v>0.41186048527049091</v>
      </c>
      <c r="AB66" s="11">
        <v>0.13696722772265141</v>
      </c>
      <c r="AC66" s="10">
        <v>0</v>
      </c>
      <c r="AD66" s="9" t="s">
        <v>34</v>
      </c>
      <c r="AE66" s="9" t="s">
        <v>63</v>
      </c>
    </row>
    <row r="67" spans="1:31" x14ac:dyDescent="0.25">
      <c r="A67" s="9" t="s">
        <v>527</v>
      </c>
      <c r="B67" s="1" t="s">
        <v>240</v>
      </c>
      <c r="C67" s="1" t="s">
        <v>162</v>
      </c>
      <c r="D67" s="10">
        <v>2</v>
      </c>
      <c r="E67" s="10">
        <v>2005</v>
      </c>
      <c r="F67" s="9" t="s">
        <v>38</v>
      </c>
      <c r="G67" s="9" t="s">
        <v>29</v>
      </c>
      <c r="H67" s="1">
        <v>23.5</v>
      </c>
      <c r="I67" s="1" t="s">
        <v>31</v>
      </c>
      <c r="J67" s="9" t="s">
        <v>43</v>
      </c>
      <c r="K67" s="1">
        <v>1</v>
      </c>
      <c r="L67" s="10">
        <v>19</v>
      </c>
      <c r="M67" s="3">
        <v>0.27</v>
      </c>
      <c r="N67" s="11">
        <v>4.7750800555555563E-2</v>
      </c>
      <c r="O67">
        <v>35</v>
      </c>
      <c r="P67" s="11">
        <v>0.27686382265510012</v>
      </c>
      <c r="Q67" s="11">
        <v>6.25E-2</v>
      </c>
      <c r="R67" s="11">
        <v>0.27837344481605941</v>
      </c>
      <c r="S67" s="11">
        <v>4.7278968088935697E-2</v>
      </c>
      <c r="T67" s="9" t="s">
        <v>40</v>
      </c>
      <c r="U67" s="9" t="s">
        <v>50</v>
      </c>
      <c r="V67" s="9" t="s">
        <v>33</v>
      </c>
      <c r="W67" s="9" t="s">
        <v>331</v>
      </c>
      <c r="X67" s="1" t="s">
        <v>31</v>
      </c>
      <c r="Y67" s="1" t="s">
        <v>31</v>
      </c>
      <c r="Z67" s="3" t="s">
        <v>31</v>
      </c>
      <c r="AA67" s="11" t="s">
        <v>31</v>
      </c>
      <c r="AB67" s="11" t="s">
        <v>31</v>
      </c>
      <c r="AC67" s="10">
        <v>0</v>
      </c>
      <c r="AD67" s="9" t="s">
        <v>41</v>
      </c>
      <c r="AE67" s="9" t="s">
        <v>35</v>
      </c>
    </row>
    <row r="68" spans="1:31" x14ac:dyDescent="0.25">
      <c r="A68" s="9" t="s">
        <v>528</v>
      </c>
      <c r="B68" s="1" t="s">
        <v>245</v>
      </c>
      <c r="C68" s="1" t="s">
        <v>164</v>
      </c>
      <c r="D68" s="10">
        <v>2</v>
      </c>
      <c r="E68" s="10">
        <v>2006</v>
      </c>
      <c r="F68" s="9" t="s">
        <v>38</v>
      </c>
      <c r="G68" s="9" t="s">
        <v>54</v>
      </c>
      <c r="H68" s="1">
        <v>15.1</v>
      </c>
      <c r="I68" s="1">
        <v>7.9</v>
      </c>
      <c r="J68" s="9" t="s">
        <v>30</v>
      </c>
      <c r="K68" s="1">
        <v>0.43</v>
      </c>
      <c r="L68" s="10">
        <v>41</v>
      </c>
      <c r="M68" s="3">
        <v>0.159</v>
      </c>
      <c r="N68" s="11">
        <v>2.3751928224024998E-2</v>
      </c>
      <c r="O68" t="s">
        <v>63</v>
      </c>
      <c r="P68" s="11">
        <v>0.16036059168340189</v>
      </c>
      <c r="Q68" s="11">
        <v>2.6315789473684209E-2</v>
      </c>
      <c r="R68" s="11">
        <v>0.161104862084473</v>
      </c>
      <c r="S68" s="11">
        <v>2.3719102431329509E-2</v>
      </c>
      <c r="T68" s="9" t="s">
        <v>40</v>
      </c>
      <c r="U68" s="9" t="s">
        <v>50</v>
      </c>
      <c r="V68" s="9" t="s">
        <v>33</v>
      </c>
      <c r="W68" s="9" t="s">
        <v>956</v>
      </c>
      <c r="X68" s="1">
        <v>13.4</v>
      </c>
      <c r="Y68" s="1">
        <v>15</v>
      </c>
      <c r="Z68" s="3">
        <f t="shared" ref="Z68:Z71" si="2">X68/Y68</f>
        <v>0.89333333333333331</v>
      </c>
      <c r="AA68" s="11">
        <v>0.17741844563768869</v>
      </c>
      <c r="AB68" s="11">
        <v>0.17528285090980389</v>
      </c>
      <c r="AC68" s="10">
        <v>0</v>
      </c>
      <c r="AD68" s="9" t="s">
        <v>34</v>
      </c>
      <c r="AE68" s="9" t="s">
        <v>63</v>
      </c>
    </row>
    <row r="69" spans="1:31" x14ac:dyDescent="0.25">
      <c r="A69" s="9" t="s">
        <v>528</v>
      </c>
      <c r="B69" s="1" t="s">
        <v>249</v>
      </c>
      <c r="C69" s="1" t="s">
        <v>165</v>
      </c>
      <c r="D69" s="10">
        <v>2</v>
      </c>
      <c r="E69" s="10">
        <v>2006</v>
      </c>
      <c r="F69" s="9" t="s">
        <v>28</v>
      </c>
      <c r="G69" s="9" t="s">
        <v>54</v>
      </c>
      <c r="H69" s="1">
        <v>16.7</v>
      </c>
      <c r="I69" s="1">
        <v>8.6999999999999993</v>
      </c>
      <c r="J69" s="9" t="s">
        <v>30</v>
      </c>
      <c r="K69" s="1">
        <v>0.37</v>
      </c>
      <c r="L69" s="10">
        <v>43</v>
      </c>
      <c r="M69" s="3">
        <v>0.155</v>
      </c>
      <c r="N69" s="11">
        <v>2.2679219062499999E-2</v>
      </c>
      <c r="O69" t="s">
        <v>63</v>
      </c>
      <c r="P69" s="11">
        <v>0.1562594977993601</v>
      </c>
      <c r="Q69" s="11">
        <v>2.5000000000000001E-2</v>
      </c>
      <c r="R69" s="11">
        <v>0.15694885865202779</v>
      </c>
      <c r="S69" s="11">
        <v>2.2650973654218979E-2</v>
      </c>
      <c r="T69" s="9" t="s">
        <v>40</v>
      </c>
      <c r="U69" s="9" t="s">
        <v>50</v>
      </c>
      <c r="V69" s="9" t="s">
        <v>33</v>
      </c>
      <c r="W69" s="9" t="s">
        <v>956</v>
      </c>
      <c r="X69" s="1">
        <v>11.5</v>
      </c>
      <c r="Y69" s="1">
        <v>15</v>
      </c>
      <c r="Z69" s="3">
        <f t="shared" si="2"/>
        <v>0.76666666666666672</v>
      </c>
      <c r="AA69" s="11">
        <v>0.20049189549129581</v>
      </c>
      <c r="AB69" s="11">
        <v>0.1962618786336261</v>
      </c>
      <c r="AC69" s="10">
        <v>0</v>
      </c>
      <c r="AD69" s="9" t="s">
        <v>34</v>
      </c>
      <c r="AE69" s="9" t="s">
        <v>63</v>
      </c>
    </row>
    <row r="70" spans="1:31" x14ac:dyDescent="0.25">
      <c r="A70" s="9" t="s">
        <v>176</v>
      </c>
      <c r="B70" s="1" t="s">
        <v>252</v>
      </c>
      <c r="C70" s="1" t="s">
        <v>167</v>
      </c>
      <c r="D70" s="10">
        <v>2</v>
      </c>
      <c r="E70" s="10">
        <v>2006</v>
      </c>
      <c r="F70" s="9" t="s">
        <v>38</v>
      </c>
      <c r="G70" s="9" t="s">
        <v>29</v>
      </c>
      <c r="H70" s="1">
        <v>21.41</v>
      </c>
      <c r="I70" s="1">
        <v>10.91</v>
      </c>
      <c r="J70" s="9" t="s">
        <v>43</v>
      </c>
      <c r="K70" s="1">
        <v>1</v>
      </c>
      <c r="L70" s="10">
        <v>23</v>
      </c>
      <c r="M70" s="3">
        <v>0.46</v>
      </c>
      <c r="N70" s="11">
        <v>2.825338909090909E-2</v>
      </c>
      <c r="O70" t="s">
        <v>63</v>
      </c>
      <c r="P70" s="11">
        <v>0.49731128757203102</v>
      </c>
      <c r="Q70" s="11">
        <v>0.05</v>
      </c>
      <c r="R70" s="11">
        <v>0.46940869993248241</v>
      </c>
      <c r="S70" s="11">
        <v>2.7630120713020678E-2</v>
      </c>
      <c r="T70" s="9" t="s">
        <v>40</v>
      </c>
      <c r="U70" s="9" t="s">
        <v>31</v>
      </c>
      <c r="V70" s="9" t="s">
        <v>33</v>
      </c>
      <c r="W70" s="9" t="s">
        <v>959</v>
      </c>
      <c r="X70" s="1">
        <v>11.18</v>
      </c>
      <c r="Y70" s="1">
        <v>15</v>
      </c>
      <c r="Z70" s="3">
        <f t="shared" si="2"/>
        <v>0.74533333333333329</v>
      </c>
      <c r="AA70" s="11">
        <v>0.57074711606328499</v>
      </c>
      <c r="AB70" s="11">
        <v>0.20559967864959719</v>
      </c>
      <c r="AC70" s="10">
        <v>0</v>
      </c>
      <c r="AD70" s="9" t="s">
        <v>41</v>
      </c>
      <c r="AE70" s="9" t="s">
        <v>63</v>
      </c>
    </row>
    <row r="71" spans="1:31" x14ac:dyDescent="0.25">
      <c r="A71" s="9" t="s">
        <v>176</v>
      </c>
      <c r="B71" s="1" t="s">
        <v>256</v>
      </c>
      <c r="C71" s="1" t="s">
        <v>168</v>
      </c>
      <c r="D71" s="10">
        <v>2</v>
      </c>
      <c r="E71" s="10">
        <v>2006</v>
      </c>
      <c r="F71" s="9" t="s">
        <v>28</v>
      </c>
      <c r="G71" s="9" t="s">
        <v>29</v>
      </c>
      <c r="H71" s="1">
        <v>20.79</v>
      </c>
      <c r="I71" s="1">
        <v>10.58</v>
      </c>
      <c r="J71" s="9" t="s">
        <v>43</v>
      </c>
      <c r="K71" s="1">
        <v>1</v>
      </c>
      <c r="L71" s="10">
        <v>24</v>
      </c>
      <c r="M71" s="3">
        <v>0.3</v>
      </c>
      <c r="N71" s="11">
        <v>3.6004347826086962E-2</v>
      </c>
      <c r="O71" t="s">
        <v>63</v>
      </c>
      <c r="P71" s="11">
        <v>0.30951960420311181</v>
      </c>
      <c r="Q71" s="11">
        <v>4.7619047619047623E-2</v>
      </c>
      <c r="R71" s="11">
        <v>0.30683184613132009</v>
      </c>
      <c r="S71" s="11">
        <v>3.5677037592612683E-2</v>
      </c>
      <c r="T71" s="9" t="s">
        <v>40</v>
      </c>
      <c r="U71" s="9" t="s">
        <v>31</v>
      </c>
      <c r="V71" s="9" t="s">
        <v>33</v>
      </c>
      <c r="W71" s="9" t="s">
        <v>959</v>
      </c>
      <c r="X71" s="1">
        <v>20.64</v>
      </c>
      <c r="Y71" s="1">
        <v>15</v>
      </c>
      <c r="Z71" s="3">
        <f t="shared" si="2"/>
        <v>1.3760000000000001</v>
      </c>
      <c r="AA71" s="11">
        <v>0.2228053870700456</v>
      </c>
      <c r="AB71" s="11">
        <v>0.1577464232694237</v>
      </c>
      <c r="AC71" s="10">
        <v>0</v>
      </c>
      <c r="AD71" s="9" t="s">
        <v>41</v>
      </c>
      <c r="AE71" s="9" t="s">
        <v>63</v>
      </c>
    </row>
    <row r="72" spans="1:31" x14ac:dyDescent="0.25">
      <c r="A72" s="9" t="s">
        <v>169</v>
      </c>
      <c r="B72" s="1" t="s">
        <v>280</v>
      </c>
      <c r="C72" s="1" t="s">
        <v>171</v>
      </c>
      <c r="D72" s="10">
        <v>1</v>
      </c>
      <c r="E72" s="10">
        <v>2006</v>
      </c>
      <c r="F72" s="9" t="s">
        <v>38</v>
      </c>
      <c r="G72" s="9" t="s">
        <v>29</v>
      </c>
      <c r="H72" s="1">
        <v>79.5</v>
      </c>
      <c r="I72" s="1">
        <v>0.5</v>
      </c>
      <c r="J72" s="9" t="s">
        <v>30</v>
      </c>
      <c r="K72" s="1">
        <v>0.61</v>
      </c>
      <c r="L72" s="10">
        <v>102</v>
      </c>
      <c r="M72" s="3">
        <v>-9.7000000000000003E-2</v>
      </c>
      <c r="N72" s="11">
        <v>9.7155497948613855E-3</v>
      </c>
      <c r="O72" t="s">
        <v>63</v>
      </c>
      <c r="P72" s="11">
        <v>-9.7305953429122363E-2</v>
      </c>
      <c r="Q72" s="11">
        <v>1.01010101010101E-2</v>
      </c>
      <c r="R72" s="11">
        <v>-9.7491377228810572E-2</v>
      </c>
      <c r="S72" s="11">
        <v>9.7136752431383911E-3</v>
      </c>
      <c r="T72" s="9" t="s">
        <v>40</v>
      </c>
      <c r="U72" s="9" t="s">
        <v>31</v>
      </c>
      <c r="V72" s="9" t="s">
        <v>51</v>
      </c>
      <c r="W72" s="9" t="s">
        <v>115</v>
      </c>
      <c r="X72" s="1" t="s">
        <v>31</v>
      </c>
      <c r="Y72" s="1" t="s">
        <v>31</v>
      </c>
      <c r="Z72" s="3" t="s">
        <v>31</v>
      </c>
      <c r="AA72" s="11" t="s">
        <v>31</v>
      </c>
      <c r="AB72" s="11" t="s">
        <v>31</v>
      </c>
      <c r="AC72" s="10">
        <v>0</v>
      </c>
      <c r="AD72" s="9" t="s">
        <v>34</v>
      </c>
      <c r="AE72" s="9" t="s">
        <v>63</v>
      </c>
    </row>
    <row r="73" spans="1:31" x14ac:dyDescent="0.25">
      <c r="A73" s="9" t="s">
        <v>529</v>
      </c>
      <c r="B73" s="1" t="s">
        <v>281</v>
      </c>
      <c r="C73" s="1" t="s">
        <v>173</v>
      </c>
      <c r="D73" s="10">
        <v>2</v>
      </c>
      <c r="E73" s="10">
        <v>2006</v>
      </c>
      <c r="F73" s="9" t="s">
        <v>38</v>
      </c>
      <c r="G73" s="9" t="s">
        <v>54</v>
      </c>
      <c r="H73" s="1">
        <v>10.77</v>
      </c>
      <c r="I73" s="1">
        <v>1.48</v>
      </c>
      <c r="J73" s="9" t="s">
        <v>43</v>
      </c>
      <c r="K73" s="1">
        <v>1</v>
      </c>
      <c r="L73" s="10">
        <v>13</v>
      </c>
      <c r="M73" s="3">
        <v>-0.111</v>
      </c>
      <c r="N73" s="11">
        <v>8.1292483920083328E-2</v>
      </c>
      <c r="O73" t="s">
        <v>63</v>
      </c>
      <c r="P73" s="11">
        <v>-0.1114592770628627</v>
      </c>
      <c r="Q73" s="11">
        <v>0.1</v>
      </c>
      <c r="R73" s="11">
        <v>-0.1172252649063214</v>
      </c>
      <c r="S73" s="11">
        <v>8.1058775881523173E-2</v>
      </c>
      <c r="T73" s="9" t="s">
        <v>40</v>
      </c>
      <c r="U73" s="9" t="s">
        <v>46</v>
      </c>
      <c r="V73" s="9" t="s">
        <v>33</v>
      </c>
      <c r="W73" s="9" t="s">
        <v>264</v>
      </c>
      <c r="X73" s="1">
        <v>9.41</v>
      </c>
      <c r="Y73" s="1">
        <v>15</v>
      </c>
      <c r="Z73" s="3">
        <f t="shared" ref="Z73:Z83" si="3">X73/Y73</f>
        <v>0.6273333333333333</v>
      </c>
      <c r="AA73" s="11">
        <v>-0.1752832376087278</v>
      </c>
      <c r="AB73" s="11">
        <v>0.46436611209214479</v>
      </c>
      <c r="AC73" s="10">
        <v>0</v>
      </c>
      <c r="AD73" s="9" t="s">
        <v>41</v>
      </c>
      <c r="AE73" s="9" t="s">
        <v>63</v>
      </c>
    </row>
    <row r="74" spans="1:31" x14ac:dyDescent="0.25">
      <c r="A74" s="9" t="s">
        <v>529</v>
      </c>
      <c r="B74" s="1" t="s">
        <v>282</v>
      </c>
      <c r="C74" s="1" t="s">
        <v>174</v>
      </c>
      <c r="D74" s="10">
        <v>2</v>
      </c>
      <c r="E74" s="10">
        <v>2006</v>
      </c>
      <c r="F74" s="9" t="s">
        <v>28</v>
      </c>
      <c r="G74" s="9" t="s">
        <v>54</v>
      </c>
      <c r="H74" s="1">
        <v>10.16</v>
      </c>
      <c r="I74" s="1">
        <v>1.92</v>
      </c>
      <c r="J74" s="9" t="s">
        <v>43</v>
      </c>
      <c r="K74" s="1">
        <v>1</v>
      </c>
      <c r="L74" s="10">
        <v>38</v>
      </c>
      <c r="M74" s="3">
        <v>2.4E-2</v>
      </c>
      <c r="N74" s="11">
        <v>2.699590085881081E-2</v>
      </c>
      <c r="O74" t="s">
        <v>63</v>
      </c>
      <c r="P74" s="11">
        <v>2.4004609593180331E-2</v>
      </c>
      <c r="Q74" s="11">
        <v>2.8571428571428571E-2</v>
      </c>
      <c r="R74" s="11">
        <v>2.435527832469906E-2</v>
      </c>
      <c r="S74" s="11">
        <v>2.6994972775607289E-2</v>
      </c>
      <c r="T74" s="9" t="s">
        <v>40</v>
      </c>
      <c r="U74" s="9" t="s">
        <v>46</v>
      </c>
      <c r="V74" s="9" t="s">
        <v>33</v>
      </c>
      <c r="W74" s="9" t="s">
        <v>264</v>
      </c>
      <c r="X74" s="1">
        <v>16.079999999999998</v>
      </c>
      <c r="Y74" s="1">
        <v>15</v>
      </c>
      <c r="Z74" s="3">
        <f t="shared" si="3"/>
        <v>1.0719999999999998</v>
      </c>
      <c r="AA74" s="11">
        <v>2.2388896779587851E-2</v>
      </c>
      <c r="AB74" s="11">
        <v>0.15544528900255261</v>
      </c>
      <c r="AC74" s="10">
        <v>0</v>
      </c>
      <c r="AD74" s="9" t="s">
        <v>41</v>
      </c>
      <c r="AE74" s="9" t="s">
        <v>63</v>
      </c>
    </row>
    <row r="75" spans="1:31" x14ac:dyDescent="0.25">
      <c r="A75" s="9" t="s">
        <v>529</v>
      </c>
      <c r="B75" s="1" t="s">
        <v>283</v>
      </c>
      <c r="C75" s="1" t="s">
        <v>175</v>
      </c>
      <c r="D75" s="10">
        <v>2</v>
      </c>
      <c r="E75" s="10">
        <v>2006</v>
      </c>
      <c r="F75" s="9" t="s">
        <v>28</v>
      </c>
      <c r="G75" s="9" t="s">
        <v>54</v>
      </c>
      <c r="H75" s="1">
        <v>10.08</v>
      </c>
      <c r="I75" s="1">
        <v>1.31</v>
      </c>
      <c r="J75" s="9" t="s">
        <v>43</v>
      </c>
      <c r="K75" s="1">
        <v>1</v>
      </c>
      <c r="L75" s="10">
        <v>12</v>
      </c>
      <c r="M75" s="3">
        <v>-0.14299999999999999</v>
      </c>
      <c r="N75" s="11">
        <v>8.7229105600090909E-2</v>
      </c>
      <c r="O75" t="s">
        <v>63</v>
      </c>
      <c r="P75" s="11">
        <v>-0.1439868725985155</v>
      </c>
      <c r="Q75" s="11">
        <v>0.1111111111111111</v>
      </c>
      <c r="R75" s="11">
        <v>-0.15194189364564789</v>
      </c>
      <c r="S75" s="11">
        <v>8.6760027360112055E-2</v>
      </c>
      <c r="T75" s="9" t="s">
        <v>40</v>
      </c>
      <c r="U75" s="9" t="s">
        <v>46</v>
      </c>
      <c r="V75" s="9" t="s">
        <v>33</v>
      </c>
      <c r="W75" s="9" t="s">
        <v>264</v>
      </c>
      <c r="X75" s="1">
        <v>12.16</v>
      </c>
      <c r="Y75" s="1">
        <v>15</v>
      </c>
      <c r="Z75" s="3">
        <f t="shared" si="3"/>
        <v>0.81066666666666665</v>
      </c>
      <c r="AA75" s="11">
        <v>-0.17546464505051221</v>
      </c>
      <c r="AB75" s="11">
        <v>0.37997840209576061</v>
      </c>
      <c r="AC75" s="10">
        <v>0</v>
      </c>
      <c r="AD75" s="9" t="s">
        <v>41</v>
      </c>
      <c r="AE75" s="9" t="s">
        <v>63</v>
      </c>
    </row>
    <row r="76" spans="1:31" x14ac:dyDescent="0.25">
      <c r="A76" s="9" t="s">
        <v>530</v>
      </c>
      <c r="B76" s="1" t="s">
        <v>285</v>
      </c>
      <c r="C76" s="1" t="s">
        <v>178</v>
      </c>
      <c r="D76" s="10">
        <v>2</v>
      </c>
      <c r="E76" s="10">
        <v>2006</v>
      </c>
      <c r="F76" s="9" t="s">
        <v>38</v>
      </c>
      <c r="G76" s="9" t="s">
        <v>54</v>
      </c>
      <c r="H76" s="1">
        <v>12.4</v>
      </c>
      <c r="I76" s="1">
        <v>1.2</v>
      </c>
      <c r="J76" s="9" t="s">
        <v>30</v>
      </c>
      <c r="K76" s="1">
        <v>0.46200000000000002</v>
      </c>
      <c r="L76" s="10">
        <v>13</v>
      </c>
      <c r="M76" s="3">
        <v>0.59299999999999997</v>
      </c>
      <c r="N76" s="11">
        <v>3.5029918266749997E-2</v>
      </c>
      <c r="O76" t="s">
        <v>63</v>
      </c>
      <c r="P76" s="11">
        <v>0.6822805622337268</v>
      </c>
      <c r="Q76" s="11">
        <v>0.1</v>
      </c>
      <c r="R76" s="11">
        <v>0.61290653388453376</v>
      </c>
      <c r="S76" s="11">
        <v>3.2483950347220882E-2</v>
      </c>
      <c r="T76" s="9" t="s">
        <v>40</v>
      </c>
      <c r="U76" s="9" t="s">
        <v>31</v>
      </c>
      <c r="V76" s="9" t="s">
        <v>33</v>
      </c>
      <c r="W76" s="9" t="s">
        <v>332</v>
      </c>
      <c r="X76" s="1">
        <v>15.3</v>
      </c>
      <c r="Y76" s="1">
        <v>15</v>
      </c>
      <c r="Z76" s="3">
        <f t="shared" si="3"/>
        <v>1.02</v>
      </c>
      <c r="AA76" s="11">
        <v>0.58538297698217201</v>
      </c>
      <c r="AB76" s="11">
        <v>0.24297706410914441</v>
      </c>
      <c r="AC76" s="10">
        <v>0</v>
      </c>
      <c r="AD76" s="9" t="s">
        <v>34</v>
      </c>
      <c r="AE76" s="9" t="s">
        <v>63</v>
      </c>
    </row>
    <row r="77" spans="1:31" x14ac:dyDescent="0.25">
      <c r="A77" s="9" t="s">
        <v>530</v>
      </c>
      <c r="B77" s="1" t="s">
        <v>287</v>
      </c>
      <c r="C77" s="1" t="s">
        <v>179</v>
      </c>
      <c r="D77" s="10">
        <v>2</v>
      </c>
      <c r="E77" s="10">
        <v>2006</v>
      </c>
      <c r="F77" s="9" t="s">
        <v>28</v>
      </c>
      <c r="G77" s="9" t="s">
        <v>54</v>
      </c>
      <c r="H77" s="1">
        <v>12.3</v>
      </c>
      <c r="I77" s="1">
        <v>0.97</v>
      </c>
      <c r="J77" s="9" t="s">
        <v>30</v>
      </c>
      <c r="K77" s="1">
        <v>0.5</v>
      </c>
      <c r="L77" s="10">
        <v>14</v>
      </c>
      <c r="M77" s="3">
        <v>0.40799999999999997</v>
      </c>
      <c r="N77" s="11">
        <v>5.3444789484307711E-2</v>
      </c>
      <c r="O77" t="s">
        <v>63</v>
      </c>
      <c r="P77" s="11">
        <v>0.43320945091699092</v>
      </c>
      <c r="Q77" s="11">
        <v>9.0909090909090912E-2</v>
      </c>
      <c r="R77" s="11">
        <v>0.42466382032010153</v>
      </c>
      <c r="S77" s="11">
        <v>5.1680274176282279E-2</v>
      </c>
      <c r="T77" s="9" t="s">
        <v>40</v>
      </c>
      <c r="U77" s="9" t="s">
        <v>31</v>
      </c>
      <c r="V77" s="9" t="s">
        <v>33</v>
      </c>
      <c r="W77" s="9" t="s">
        <v>332</v>
      </c>
      <c r="X77" s="1">
        <v>17.5</v>
      </c>
      <c r="Y77" s="1">
        <v>15</v>
      </c>
      <c r="Z77" s="3">
        <f t="shared" si="3"/>
        <v>1.1666666666666667</v>
      </c>
      <c r="AA77" s="11">
        <v>0.35770224278305551</v>
      </c>
      <c r="AB77" s="11">
        <v>0.24174062313102221</v>
      </c>
      <c r="AC77" s="10">
        <v>0</v>
      </c>
      <c r="AD77" s="9" t="s">
        <v>34</v>
      </c>
      <c r="AE77" s="9" t="s">
        <v>63</v>
      </c>
    </row>
    <row r="78" spans="1:31" x14ac:dyDescent="0.25">
      <c r="A78" s="9" t="s">
        <v>531</v>
      </c>
      <c r="B78" s="1" t="s">
        <v>290</v>
      </c>
      <c r="C78" s="1" t="s">
        <v>181</v>
      </c>
      <c r="D78" s="10">
        <v>2</v>
      </c>
      <c r="E78" s="10">
        <v>2007</v>
      </c>
      <c r="F78" s="9" t="s">
        <v>38</v>
      </c>
      <c r="G78" s="9" t="s">
        <v>54</v>
      </c>
      <c r="H78" s="1">
        <v>10.5</v>
      </c>
      <c r="I78" s="1">
        <v>1.92</v>
      </c>
      <c r="J78" s="9" t="s">
        <v>31</v>
      </c>
      <c r="K78" s="1" t="s">
        <v>31</v>
      </c>
      <c r="L78" s="10">
        <v>20</v>
      </c>
      <c r="M78" s="3">
        <v>-0.55000000000000004</v>
      </c>
      <c r="N78" s="11">
        <v>2.5605592105263159E-2</v>
      </c>
      <c r="O78" t="s">
        <v>63</v>
      </c>
      <c r="P78" s="11">
        <v>-0.61838131357446346</v>
      </c>
      <c r="Q78" s="11">
        <v>5.8823529411764712E-2</v>
      </c>
      <c r="R78" s="11">
        <v>-0.56162834429733666</v>
      </c>
      <c r="S78" s="11">
        <v>2.466531672434804E-2</v>
      </c>
      <c r="T78" s="9" t="s">
        <v>40</v>
      </c>
      <c r="U78" s="9" t="s">
        <v>31</v>
      </c>
      <c r="V78" s="9" t="s">
        <v>33</v>
      </c>
      <c r="W78" s="9" t="s">
        <v>332</v>
      </c>
      <c r="X78" s="1">
        <v>11</v>
      </c>
      <c r="Y78" s="1">
        <v>15</v>
      </c>
      <c r="Z78" s="3">
        <f t="shared" si="3"/>
        <v>0.73333333333333328</v>
      </c>
      <c r="AA78" s="11">
        <v>-0.66815310478106105</v>
      </c>
      <c r="AB78" s="11">
        <v>0.18979230909421041</v>
      </c>
      <c r="AC78" s="10">
        <v>0</v>
      </c>
      <c r="AD78" s="9" t="s">
        <v>34</v>
      </c>
      <c r="AE78" s="9" t="s">
        <v>63</v>
      </c>
    </row>
    <row r="79" spans="1:31" x14ac:dyDescent="0.25">
      <c r="A79" s="9" t="s">
        <v>531</v>
      </c>
      <c r="B79" s="1" t="s">
        <v>294</v>
      </c>
      <c r="C79" s="1" t="s">
        <v>182</v>
      </c>
      <c r="D79" s="10">
        <v>2</v>
      </c>
      <c r="E79" s="10">
        <v>2007</v>
      </c>
      <c r="F79" s="9" t="s">
        <v>28</v>
      </c>
      <c r="G79" s="9" t="s">
        <v>54</v>
      </c>
      <c r="H79" s="1">
        <v>10.75</v>
      </c>
      <c r="I79" s="1">
        <v>2.33</v>
      </c>
      <c r="J79" s="9" t="s">
        <v>31</v>
      </c>
      <c r="K79" s="1" t="s">
        <v>31</v>
      </c>
      <c r="L79" s="10">
        <v>21</v>
      </c>
      <c r="M79" s="3">
        <v>0.25</v>
      </c>
      <c r="N79" s="11">
        <v>4.39453125E-2</v>
      </c>
      <c r="O79" t="s">
        <v>63</v>
      </c>
      <c r="P79" s="11">
        <v>0.25541281188299542</v>
      </c>
      <c r="Q79" s="11">
        <v>5.5555555555555552E-2</v>
      </c>
      <c r="R79" s="11">
        <v>0.25692709136765018</v>
      </c>
      <c r="S79" s="11">
        <v>4.3616723078622313E-2</v>
      </c>
      <c r="T79" s="9" t="s">
        <v>40</v>
      </c>
      <c r="U79" s="9" t="s">
        <v>31</v>
      </c>
      <c r="V79" s="9" t="s">
        <v>33</v>
      </c>
      <c r="W79" s="9" t="s">
        <v>332</v>
      </c>
      <c r="X79" s="1">
        <v>12</v>
      </c>
      <c r="Y79" s="1">
        <v>15</v>
      </c>
      <c r="Z79" s="3">
        <f t="shared" si="3"/>
        <v>0.8</v>
      </c>
      <c r="AA79" s="11">
        <v>0.30714755841697561</v>
      </c>
      <c r="AB79" s="11">
        <v>0.2636392016201527</v>
      </c>
      <c r="AC79" s="10">
        <v>0</v>
      </c>
      <c r="AD79" s="9" t="s">
        <v>34</v>
      </c>
      <c r="AE79" s="9" t="s">
        <v>63</v>
      </c>
    </row>
    <row r="80" spans="1:31" x14ac:dyDescent="0.25">
      <c r="A80" s="9" t="s">
        <v>532</v>
      </c>
      <c r="B80" s="1" t="s">
        <v>295</v>
      </c>
      <c r="C80" s="1" t="s">
        <v>184</v>
      </c>
      <c r="D80" s="10">
        <v>3</v>
      </c>
      <c r="E80" s="10">
        <v>2007</v>
      </c>
      <c r="F80" s="9" t="s">
        <v>38</v>
      </c>
      <c r="G80" s="9" t="s">
        <v>29</v>
      </c>
      <c r="H80" s="1">
        <v>58.5</v>
      </c>
      <c r="I80" s="1">
        <v>7.8</v>
      </c>
      <c r="J80" s="9" t="s">
        <v>39</v>
      </c>
      <c r="K80" s="1">
        <v>0</v>
      </c>
      <c r="L80" s="10">
        <v>18</v>
      </c>
      <c r="M80" s="3">
        <v>-0.23</v>
      </c>
      <c r="N80" s="11">
        <v>5.2764612352941193E-2</v>
      </c>
      <c r="O80">
        <v>33</v>
      </c>
      <c r="P80" s="11">
        <v>-0.2341894667593668</v>
      </c>
      <c r="Q80" s="11">
        <v>6.6666666666666666E-2</v>
      </c>
      <c r="R80" s="11">
        <v>-0.23783625031640879</v>
      </c>
      <c r="S80" s="11">
        <v>5.2356915158804911E-2</v>
      </c>
      <c r="T80" s="9" t="s">
        <v>40</v>
      </c>
      <c r="U80" s="9" t="s">
        <v>50</v>
      </c>
      <c r="V80" s="9" t="s">
        <v>33</v>
      </c>
      <c r="W80" s="9" t="s">
        <v>960</v>
      </c>
      <c r="X80" s="1">
        <v>4</v>
      </c>
      <c r="Y80" s="1">
        <v>15</v>
      </c>
      <c r="Z80" s="3">
        <f t="shared" si="3"/>
        <v>0.26666666666666666</v>
      </c>
      <c r="AA80" s="11">
        <v>-0.6632641094102415</v>
      </c>
      <c r="AB80" s="11">
        <v>0.41490758618788021</v>
      </c>
      <c r="AC80" s="10">
        <v>0</v>
      </c>
      <c r="AD80" s="9" t="s">
        <v>41</v>
      </c>
      <c r="AE80" s="9" t="s">
        <v>263</v>
      </c>
    </row>
    <row r="81" spans="1:31" x14ac:dyDescent="0.25">
      <c r="A81" s="9" t="s">
        <v>532</v>
      </c>
      <c r="B81" s="1" t="s">
        <v>297</v>
      </c>
      <c r="C81" s="1" t="s">
        <v>186</v>
      </c>
      <c r="D81" s="10">
        <v>3</v>
      </c>
      <c r="E81" s="10">
        <v>2007</v>
      </c>
      <c r="F81" s="9" t="s">
        <v>38</v>
      </c>
      <c r="G81" s="9" t="s">
        <v>29</v>
      </c>
      <c r="H81" s="1">
        <v>58.5</v>
      </c>
      <c r="I81" s="1">
        <v>7.8</v>
      </c>
      <c r="J81" s="9" t="s">
        <v>43</v>
      </c>
      <c r="K81" s="1">
        <v>1</v>
      </c>
      <c r="L81" s="10">
        <v>17</v>
      </c>
      <c r="M81" s="3">
        <v>0.18</v>
      </c>
      <c r="N81" s="11">
        <v>5.8515610000000003E-2</v>
      </c>
      <c r="O81">
        <v>34</v>
      </c>
      <c r="P81" s="11">
        <v>0.18198268860070571</v>
      </c>
      <c r="Q81" s="11">
        <v>7.1428571428571425E-2</v>
      </c>
      <c r="R81" s="11">
        <v>0.18677760581242969</v>
      </c>
      <c r="S81" s="11">
        <v>5.8215329758812578E-2</v>
      </c>
      <c r="T81" s="9" t="s">
        <v>40</v>
      </c>
      <c r="U81" s="9" t="s">
        <v>50</v>
      </c>
      <c r="V81" s="9" t="s">
        <v>33</v>
      </c>
      <c r="W81" s="9" t="s">
        <v>960</v>
      </c>
      <c r="X81" s="1">
        <v>4.2</v>
      </c>
      <c r="Y81" s="1">
        <v>15</v>
      </c>
      <c r="Z81" s="3">
        <f t="shared" si="3"/>
        <v>0.28000000000000003</v>
      </c>
      <c r="AA81" s="11">
        <v>0.5470648541060944</v>
      </c>
      <c r="AB81" s="11">
        <v>0.55900705844471155</v>
      </c>
      <c r="AC81" s="10">
        <v>0</v>
      </c>
      <c r="AD81" s="9" t="s">
        <v>41</v>
      </c>
      <c r="AE81" s="9" t="s">
        <v>263</v>
      </c>
    </row>
    <row r="82" spans="1:31" x14ac:dyDescent="0.25">
      <c r="A82" s="9" t="s">
        <v>532</v>
      </c>
      <c r="B82" s="1" t="s">
        <v>299</v>
      </c>
      <c r="C82" s="1" t="s">
        <v>188</v>
      </c>
      <c r="D82" s="10">
        <v>3</v>
      </c>
      <c r="E82" s="10">
        <v>2007</v>
      </c>
      <c r="F82" s="9" t="s">
        <v>28</v>
      </c>
      <c r="G82" s="9" t="s">
        <v>29</v>
      </c>
      <c r="H82" s="1">
        <v>59.1</v>
      </c>
      <c r="I82" s="1">
        <v>8.6999999999999993</v>
      </c>
      <c r="J82" s="9" t="s">
        <v>39</v>
      </c>
      <c r="K82" s="1">
        <v>0</v>
      </c>
      <c r="L82" s="10">
        <v>12</v>
      </c>
      <c r="M82" s="3">
        <v>-0.02</v>
      </c>
      <c r="N82" s="11">
        <v>9.0836378181818195E-2</v>
      </c>
      <c r="O82">
        <v>34</v>
      </c>
      <c r="P82" s="11">
        <v>-2.000266730684962E-2</v>
      </c>
      <c r="Q82" s="11">
        <v>0.1111111111111111</v>
      </c>
      <c r="R82" s="11">
        <v>-2.1288615557276899E-2</v>
      </c>
      <c r="S82" s="11">
        <v>9.0826708644565379E-2</v>
      </c>
      <c r="T82" s="9" t="s">
        <v>40</v>
      </c>
      <c r="U82" s="9" t="s">
        <v>50</v>
      </c>
      <c r="V82" s="9" t="s">
        <v>33</v>
      </c>
      <c r="W82" s="9" t="s">
        <v>960</v>
      </c>
      <c r="X82" s="1">
        <v>5</v>
      </c>
      <c r="Y82" s="1">
        <v>15</v>
      </c>
      <c r="Z82" s="3">
        <f t="shared" si="3"/>
        <v>0.33333333333333331</v>
      </c>
      <c r="AA82" s="11">
        <v>-5.990422978731539E-2</v>
      </c>
      <c r="AB82" s="11">
        <v>0.94395891674175314</v>
      </c>
      <c r="AC82" s="10">
        <v>0</v>
      </c>
      <c r="AD82" s="9" t="s">
        <v>41</v>
      </c>
      <c r="AE82" s="9" t="s">
        <v>263</v>
      </c>
    </row>
    <row r="83" spans="1:31" x14ac:dyDescent="0.25">
      <c r="A83" s="9" t="s">
        <v>532</v>
      </c>
      <c r="B83" s="1" t="s">
        <v>300</v>
      </c>
      <c r="C83" s="1" t="s">
        <v>189</v>
      </c>
      <c r="D83" s="10">
        <v>3</v>
      </c>
      <c r="E83" s="10">
        <v>2007</v>
      </c>
      <c r="F83" s="9" t="s">
        <v>28</v>
      </c>
      <c r="G83" s="9" t="s">
        <v>29</v>
      </c>
      <c r="H83" s="1">
        <v>59.1</v>
      </c>
      <c r="I83" s="1">
        <v>8.6999999999999993</v>
      </c>
      <c r="J83" s="9" t="s">
        <v>43</v>
      </c>
      <c r="K83" s="1">
        <v>1</v>
      </c>
      <c r="L83" s="10">
        <v>23</v>
      </c>
      <c r="M83" s="3">
        <v>-0.01</v>
      </c>
      <c r="N83" s="11">
        <v>4.5445455000000003E-2</v>
      </c>
      <c r="O83">
        <v>34</v>
      </c>
      <c r="P83" s="11">
        <v>-1.000033335333477E-2</v>
      </c>
      <c r="Q83" s="11">
        <v>0.05</v>
      </c>
      <c r="R83" s="11">
        <v>-1.026649655540544E-2</v>
      </c>
      <c r="S83" s="11">
        <v>4.544496405483256E-2</v>
      </c>
      <c r="T83" s="9" t="s">
        <v>40</v>
      </c>
      <c r="U83" s="9" t="s">
        <v>50</v>
      </c>
      <c r="V83" s="9" t="s">
        <v>33</v>
      </c>
      <c r="W83" s="9" t="s">
        <v>960</v>
      </c>
      <c r="X83" s="1">
        <v>3.6</v>
      </c>
      <c r="Y83" s="1">
        <v>15</v>
      </c>
      <c r="Z83" s="3">
        <f t="shared" si="3"/>
        <v>0.24000000000000002</v>
      </c>
      <c r="AA83" s="11">
        <v>-4.163262278750423E-2</v>
      </c>
      <c r="AB83" s="11">
        <v>0.90696898288644545</v>
      </c>
      <c r="AC83" s="10">
        <v>0</v>
      </c>
      <c r="AD83" s="9" t="s">
        <v>41</v>
      </c>
      <c r="AE83" s="9" t="s">
        <v>263</v>
      </c>
    </row>
    <row r="84" spans="1:31" x14ac:dyDescent="0.25">
      <c r="A84" s="9" t="s">
        <v>948</v>
      </c>
      <c r="B84" s="1" t="s">
        <v>260</v>
      </c>
      <c r="C84" s="1" t="s">
        <v>191</v>
      </c>
      <c r="D84" s="10">
        <v>2</v>
      </c>
      <c r="E84" s="10">
        <v>2007</v>
      </c>
      <c r="F84" s="9" t="s">
        <v>38</v>
      </c>
      <c r="G84" s="9" t="s">
        <v>29</v>
      </c>
      <c r="H84" s="1">
        <v>40.1</v>
      </c>
      <c r="I84" s="1">
        <v>4.22</v>
      </c>
      <c r="J84" s="9" t="s">
        <v>30</v>
      </c>
      <c r="K84" s="1">
        <v>0.45</v>
      </c>
      <c r="L84" s="10">
        <v>44</v>
      </c>
      <c r="M84" s="3">
        <v>-0.111</v>
      </c>
      <c r="N84" s="11">
        <v>2.2686274582348839E-2</v>
      </c>
      <c r="O84" t="s">
        <v>63</v>
      </c>
      <c r="P84" s="11">
        <v>-0.1114592770628627</v>
      </c>
      <c r="Q84" s="11">
        <v>2.4390243902439029E-2</v>
      </c>
      <c r="R84" s="11">
        <v>-0.1123778544198813</v>
      </c>
      <c r="S84" s="11">
        <v>2.2672137716532891E-2</v>
      </c>
      <c r="T84" s="9" t="s">
        <v>40</v>
      </c>
      <c r="U84" s="9" t="s">
        <v>31</v>
      </c>
      <c r="V84" s="9" t="s">
        <v>33</v>
      </c>
      <c r="W84" s="9" t="s">
        <v>266</v>
      </c>
      <c r="X84" s="1" t="s">
        <v>31</v>
      </c>
      <c r="Y84" s="1" t="s">
        <v>31</v>
      </c>
      <c r="Z84" s="3" t="s">
        <v>31</v>
      </c>
      <c r="AA84" s="11" t="s">
        <v>31</v>
      </c>
      <c r="AB84" s="11" t="s">
        <v>31</v>
      </c>
      <c r="AC84" s="10">
        <v>0</v>
      </c>
      <c r="AD84" s="9" t="s">
        <v>34</v>
      </c>
      <c r="AE84" s="9" t="s">
        <v>63</v>
      </c>
    </row>
    <row r="85" spans="1:31" x14ac:dyDescent="0.25">
      <c r="A85" s="9" t="s">
        <v>948</v>
      </c>
      <c r="B85" s="1" t="s">
        <v>471</v>
      </c>
      <c r="C85" s="1" t="s">
        <v>192</v>
      </c>
      <c r="D85" s="10">
        <v>2</v>
      </c>
      <c r="E85" s="10">
        <v>2007</v>
      </c>
      <c r="F85" s="9" t="s">
        <v>38</v>
      </c>
      <c r="G85" s="9" t="s">
        <v>54</v>
      </c>
      <c r="H85" s="1">
        <v>10.47</v>
      </c>
      <c r="I85" s="1">
        <v>2.04</v>
      </c>
      <c r="J85" s="9" t="s">
        <v>30</v>
      </c>
      <c r="K85" s="1">
        <v>0.63</v>
      </c>
      <c r="L85" s="10">
        <v>24</v>
      </c>
      <c r="M85" s="3">
        <v>0.23400000000000001</v>
      </c>
      <c r="N85" s="11">
        <v>3.8847226936347817E-2</v>
      </c>
      <c r="O85" t="s">
        <v>63</v>
      </c>
      <c r="P85" s="11">
        <v>0.23841701736237089</v>
      </c>
      <c r="Q85" s="11">
        <v>4.7619047619047623E-2</v>
      </c>
      <c r="R85" s="11">
        <v>0.23955909157928179</v>
      </c>
      <c r="S85" s="11">
        <v>3.8631144778863542E-2</v>
      </c>
      <c r="T85" s="9" t="s">
        <v>40</v>
      </c>
      <c r="U85" s="9" t="s">
        <v>31</v>
      </c>
      <c r="V85" s="9" t="s">
        <v>33</v>
      </c>
      <c r="W85" s="9" t="s">
        <v>266</v>
      </c>
      <c r="X85" s="1" t="s">
        <v>31</v>
      </c>
      <c r="Y85" s="1" t="s">
        <v>31</v>
      </c>
      <c r="Z85" s="3" t="s">
        <v>31</v>
      </c>
      <c r="AA85" s="11" t="s">
        <v>31</v>
      </c>
      <c r="AB85" s="11" t="s">
        <v>31</v>
      </c>
      <c r="AC85" s="10">
        <v>0</v>
      </c>
      <c r="AD85" s="9" t="s">
        <v>34</v>
      </c>
      <c r="AE85" s="9" t="s">
        <v>63</v>
      </c>
    </row>
    <row r="86" spans="1:31" x14ac:dyDescent="0.25">
      <c r="A86" s="9" t="s">
        <v>533</v>
      </c>
      <c r="B86" s="1" t="s">
        <v>472</v>
      </c>
      <c r="C86" s="1" t="s">
        <v>194</v>
      </c>
      <c r="D86" s="10">
        <v>2</v>
      </c>
      <c r="E86" s="10">
        <v>2007</v>
      </c>
      <c r="F86" s="9" t="s">
        <v>38</v>
      </c>
      <c r="G86" s="9" t="s">
        <v>29</v>
      </c>
      <c r="H86" s="1">
        <v>28.48</v>
      </c>
      <c r="I86" s="1">
        <v>7.35</v>
      </c>
      <c r="J86" s="9" t="s">
        <v>30</v>
      </c>
      <c r="K86" s="1">
        <v>0.45</v>
      </c>
      <c r="L86" s="10">
        <v>62</v>
      </c>
      <c r="M86" s="3">
        <v>0.28399999999999997</v>
      </c>
      <c r="N86" s="11">
        <v>1.385562934977049E-2</v>
      </c>
      <c r="O86">
        <v>1459</v>
      </c>
      <c r="P86" s="11">
        <v>0.29202765864463048</v>
      </c>
      <c r="Q86" s="11">
        <v>1.6949152542372881E-2</v>
      </c>
      <c r="R86" s="11">
        <v>0.2862531344867304</v>
      </c>
      <c r="S86" s="11">
        <v>1.381692770556571E-2</v>
      </c>
      <c r="T86" s="9" t="s">
        <v>40</v>
      </c>
      <c r="U86" s="9" t="s">
        <v>50</v>
      </c>
      <c r="V86" s="9" t="s">
        <v>33</v>
      </c>
      <c r="W86" s="9" t="s">
        <v>911</v>
      </c>
      <c r="X86" s="1">
        <v>12.53</v>
      </c>
      <c r="Y86" s="1">
        <v>15</v>
      </c>
      <c r="Z86" s="3">
        <f>X86/Y86</f>
        <v>0.83533333333333326</v>
      </c>
      <c r="AA86" s="11">
        <v>0.33419687135120141</v>
      </c>
      <c r="AB86" s="11">
        <v>0.14074570186128471</v>
      </c>
      <c r="AC86" s="10">
        <v>0</v>
      </c>
      <c r="AD86" s="9" t="s">
        <v>41</v>
      </c>
      <c r="AE86" s="9" t="s">
        <v>35</v>
      </c>
    </row>
    <row r="87" spans="1:31" x14ac:dyDescent="0.25">
      <c r="A87" s="9" t="s">
        <v>534</v>
      </c>
      <c r="B87" s="1" t="s">
        <v>473</v>
      </c>
      <c r="C87" s="1" t="s">
        <v>195</v>
      </c>
      <c r="D87" s="10">
        <v>2</v>
      </c>
      <c r="E87" s="10">
        <v>2007</v>
      </c>
      <c r="F87" s="9" t="s">
        <v>38</v>
      </c>
      <c r="G87" s="9" t="s">
        <v>29</v>
      </c>
      <c r="H87" s="1">
        <v>40.799999999999997</v>
      </c>
      <c r="I87" s="1">
        <v>9.4</v>
      </c>
      <c r="J87" s="9" t="s">
        <v>30</v>
      </c>
      <c r="K87" s="1">
        <v>0.9</v>
      </c>
      <c r="L87" s="10">
        <v>44</v>
      </c>
      <c r="M87" s="3">
        <v>0.376</v>
      </c>
      <c r="N87" s="11">
        <v>1.7145004031999998E-2</v>
      </c>
      <c r="O87" t="s">
        <v>63</v>
      </c>
      <c r="P87" s="11">
        <v>0.39539282506193058</v>
      </c>
      <c r="Q87" s="11">
        <v>2.4390243902439029E-2</v>
      </c>
      <c r="R87" s="11">
        <v>0.38002691869020838</v>
      </c>
      <c r="S87" s="11">
        <v>1.702363607206895E-2</v>
      </c>
      <c r="T87" s="9" t="s">
        <v>40</v>
      </c>
      <c r="U87" s="9" t="s">
        <v>46</v>
      </c>
      <c r="V87" s="9" t="s">
        <v>33</v>
      </c>
      <c r="W87" s="9" t="s">
        <v>247</v>
      </c>
      <c r="X87" s="1" t="s">
        <v>31</v>
      </c>
      <c r="Y87" s="1" t="s">
        <v>31</v>
      </c>
      <c r="Z87" s="3" t="s">
        <v>31</v>
      </c>
      <c r="AA87" s="11" t="s">
        <v>31</v>
      </c>
      <c r="AB87" s="11" t="s">
        <v>31</v>
      </c>
      <c r="AC87" s="10">
        <v>0</v>
      </c>
      <c r="AD87" s="9" t="s">
        <v>34</v>
      </c>
      <c r="AE87" s="9" t="s">
        <v>63</v>
      </c>
    </row>
    <row r="88" spans="1:31" x14ac:dyDescent="0.25">
      <c r="A88" s="9" t="s">
        <v>534</v>
      </c>
      <c r="B88" s="1" t="s">
        <v>475</v>
      </c>
      <c r="C88" s="1" t="s">
        <v>196</v>
      </c>
      <c r="D88" s="10">
        <v>2</v>
      </c>
      <c r="E88" s="10">
        <v>2007</v>
      </c>
      <c r="F88" s="9" t="s">
        <v>28</v>
      </c>
      <c r="G88" s="9" t="s">
        <v>29</v>
      </c>
      <c r="H88" s="1">
        <v>40.6</v>
      </c>
      <c r="I88" s="1">
        <v>10.4</v>
      </c>
      <c r="J88" s="9" t="s">
        <v>30</v>
      </c>
      <c r="K88" s="1">
        <v>0.9</v>
      </c>
      <c r="L88" s="10">
        <v>43</v>
      </c>
      <c r="M88" s="3">
        <v>0.32</v>
      </c>
      <c r="N88" s="11">
        <v>1.918299428571428E-2</v>
      </c>
      <c r="O88" t="s">
        <v>63</v>
      </c>
      <c r="P88" s="11">
        <v>0.33164710870513209</v>
      </c>
      <c r="Q88" s="11">
        <v>2.5000000000000001E-2</v>
      </c>
      <c r="R88" s="11">
        <v>0.32368291170394098</v>
      </c>
      <c r="S88" s="11">
        <v>1.9081800706968081E-2</v>
      </c>
      <c r="T88" s="9" t="s">
        <v>40</v>
      </c>
      <c r="U88" s="9" t="s">
        <v>46</v>
      </c>
      <c r="V88" s="9" t="s">
        <v>33</v>
      </c>
      <c r="W88" s="9" t="s">
        <v>247</v>
      </c>
      <c r="X88" s="1" t="s">
        <v>31</v>
      </c>
      <c r="Y88" s="1" t="s">
        <v>31</v>
      </c>
      <c r="Z88" s="3" t="s">
        <v>31</v>
      </c>
      <c r="AA88" s="11" t="s">
        <v>31</v>
      </c>
      <c r="AB88" s="11" t="s">
        <v>31</v>
      </c>
      <c r="AC88" s="10">
        <v>0</v>
      </c>
      <c r="AD88" s="9" t="s">
        <v>34</v>
      </c>
      <c r="AE88" s="9" t="s">
        <v>63</v>
      </c>
    </row>
    <row r="89" spans="1:31" x14ac:dyDescent="0.25">
      <c r="A89" s="9" t="s">
        <v>535</v>
      </c>
      <c r="B89" s="1" t="s">
        <v>477</v>
      </c>
      <c r="C89" s="1" t="s">
        <v>197</v>
      </c>
      <c r="D89" s="10">
        <v>3</v>
      </c>
      <c r="E89" s="10">
        <v>2007</v>
      </c>
      <c r="F89" s="9" t="s">
        <v>38</v>
      </c>
      <c r="G89" s="9" t="s">
        <v>29</v>
      </c>
      <c r="H89" s="1">
        <v>28.24</v>
      </c>
      <c r="I89" s="1">
        <v>7.35</v>
      </c>
      <c r="J89" s="9" t="s">
        <v>30</v>
      </c>
      <c r="K89" s="1">
        <v>0.46200000000000002</v>
      </c>
      <c r="L89" s="10">
        <v>63</v>
      </c>
      <c r="M89" s="3">
        <v>0.36</v>
      </c>
      <c r="N89" s="11">
        <v>1.221929290322581E-2</v>
      </c>
      <c r="O89">
        <v>2165</v>
      </c>
      <c r="P89" s="11">
        <v>0.37688590118818999</v>
      </c>
      <c r="Q89" s="11">
        <v>1.666666666666667E-2</v>
      </c>
      <c r="R89" s="11">
        <v>0.36265308439709931</v>
      </c>
      <c r="S89" s="11">
        <v>1.2165520489245371E-2</v>
      </c>
      <c r="T89" s="9" t="s">
        <v>40</v>
      </c>
      <c r="U89" s="9" t="s">
        <v>46</v>
      </c>
      <c r="V89" s="9" t="s">
        <v>33</v>
      </c>
      <c r="W89" s="9" t="s">
        <v>950</v>
      </c>
      <c r="X89" s="1">
        <v>12.76</v>
      </c>
      <c r="Y89" s="1">
        <v>15</v>
      </c>
      <c r="Z89" s="3">
        <f>X89/Y89</f>
        <v>0.85066666666666668</v>
      </c>
      <c r="AA89" s="11">
        <v>0.41309759570218663</v>
      </c>
      <c r="AB89" s="11">
        <v>0.13060621809804299</v>
      </c>
      <c r="AC89" s="10">
        <v>2</v>
      </c>
      <c r="AD89" s="9" t="s">
        <v>34</v>
      </c>
      <c r="AE89" s="9" t="s">
        <v>35</v>
      </c>
    </row>
    <row r="90" spans="1:31" x14ac:dyDescent="0.25">
      <c r="A90" s="9" t="s">
        <v>536</v>
      </c>
      <c r="B90" s="1" t="s">
        <v>478</v>
      </c>
      <c r="C90" s="1" t="s">
        <v>199</v>
      </c>
      <c r="D90" s="10">
        <v>2</v>
      </c>
      <c r="E90" s="10">
        <v>2007</v>
      </c>
      <c r="F90" s="9" t="s">
        <v>38</v>
      </c>
      <c r="G90" s="9" t="s">
        <v>29</v>
      </c>
      <c r="H90" s="1">
        <v>34.32</v>
      </c>
      <c r="I90" s="1" t="s">
        <v>31</v>
      </c>
      <c r="J90" s="9" t="s">
        <v>39</v>
      </c>
      <c r="K90" s="1">
        <v>0</v>
      </c>
      <c r="L90" s="10">
        <v>22</v>
      </c>
      <c r="M90" s="3">
        <v>0.60199999999999998</v>
      </c>
      <c r="N90" s="11">
        <v>1.9358507581714288E-2</v>
      </c>
      <c r="O90" t="s">
        <v>63</v>
      </c>
      <c r="P90" s="11">
        <v>0.69627806117193336</v>
      </c>
      <c r="Q90" s="11">
        <v>5.2631578947368418E-2</v>
      </c>
      <c r="R90" s="11">
        <v>0.61230368469517438</v>
      </c>
      <c r="S90" s="11">
        <v>1.8606202582149751E-2</v>
      </c>
      <c r="T90" s="9" t="s">
        <v>40</v>
      </c>
      <c r="U90" s="9" t="s">
        <v>46</v>
      </c>
      <c r="V90" s="9" t="s">
        <v>33</v>
      </c>
      <c r="W90" s="9" t="s">
        <v>911</v>
      </c>
      <c r="X90" s="1" t="s">
        <v>31</v>
      </c>
      <c r="Y90" s="1" t="s">
        <v>31</v>
      </c>
      <c r="Z90" s="3" t="s">
        <v>31</v>
      </c>
      <c r="AA90" s="11" t="s">
        <v>31</v>
      </c>
      <c r="AB90" s="11" t="s">
        <v>31</v>
      </c>
      <c r="AC90" s="10">
        <v>0</v>
      </c>
      <c r="AD90" s="9" t="s">
        <v>34</v>
      </c>
      <c r="AE90" s="9" t="s">
        <v>63</v>
      </c>
    </row>
    <row r="91" spans="1:31" x14ac:dyDescent="0.25">
      <c r="A91" s="9" t="s">
        <v>536</v>
      </c>
      <c r="B91" s="1" t="s">
        <v>404</v>
      </c>
      <c r="C91" s="1" t="s">
        <v>200</v>
      </c>
      <c r="D91" s="10">
        <v>2</v>
      </c>
      <c r="E91" s="10">
        <v>2007</v>
      </c>
      <c r="F91" s="9" t="s">
        <v>38</v>
      </c>
      <c r="G91" s="9" t="s">
        <v>29</v>
      </c>
      <c r="H91" s="1">
        <v>37.770000000000003</v>
      </c>
      <c r="I91" s="1" t="s">
        <v>31</v>
      </c>
      <c r="J91" s="9" t="s">
        <v>43</v>
      </c>
      <c r="K91" s="1">
        <v>1</v>
      </c>
      <c r="L91" s="10">
        <v>35</v>
      </c>
      <c r="M91" s="3">
        <v>0.32700000000000001</v>
      </c>
      <c r="N91" s="11">
        <v>2.345811208944118E-2</v>
      </c>
      <c r="O91" t="s">
        <v>63</v>
      </c>
      <c r="P91" s="11">
        <v>0.33946535234373981</v>
      </c>
      <c r="Q91" s="11">
        <v>3.125E-2</v>
      </c>
      <c r="R91" s="11">
        <v>0.33170873419353608</v>
      </c>
      <c r="S91" s="11">
        <v>2.3295452435759818E-2</v>
      </c>
      <c r="T91" s="9" t="s">
        <v>40</v>
      </c>
      <c r="U91" s="9" t="s">
        <v>46</v>
      </c>
      <c r="V91" s="9" t="s">
        <v>33</v>
      </c>
      <c r="W91" s="9" t="s">
        <v>911</v>
      </c>
      <c r="X91" s="1" t="s">
        <v>31</v>
      </c>
      <c r="Y91" s="1" t="s">
        <v>31</v>
      </c>
      <c r="Z91" s="3" t="s">
        <v>31</v>
      </c>
      <c r="AA91" s="11" t="s">
        <v>31</v>
      </c>
      <c r="AB91" s="11" t="s">
        <v>31</v>
      </c>
      <c r="AC91" s="10">
        <v>0</v>
      </c>
      <c r="AD91" s="9" t="s">
        <v>34</v>
      </c>
      <c r="AE91" s="9" t="s">
        <v>63</v>
      </c>
    </row>
    <row r="92" spans="1:31" x14ac:dyDescent="0.25">
      <c r="A92" s="9" t="s">
        <v>536</v>
      </c>
      <c r="B92" s="1" t="s">
        <v>474</v>
      </c>
      <c r="C92" s="1" t="s">
        <v>202</v>
      </c>
      <c r="D92" s="10">
        <v>2</v>
      </c>
      <c r="E92" s="10">
        <v>2007</v>
      </c>
      <c r="F92" s="9" t="s">
        <v>28</v>
      </c>
      <c r="G92" s="9" t="s">
        <v>29</v>
      </c>
      <c r="H92" s="1">
        <v>40.96</v>
      </c>
      <c r="I92" s="1" t="s">
        <v>31</v>
      </c>
      <c r="J92" s="9" t="s">
        <v>39</v>
      </c>
      <c r="K92" s="1">
        <v>0</v>
      </c>
      <c r="L92" s="10">
        <v>69</v>
      </c>
      <c r="M92" s="3">
        <v>0.33600000000000002</v>
      </c>
      <c r="N92" s="11">
        <v>1.157284568847059E-2</v>
      </c>
      <c r="O92" t="s">
        <v>63</v>
      </c>
      <c r="P92" s="11">
        <v>0.34957660231007859</v>
      </c>
      <c r="Q92" s="11">
        <v>1.515151515151515E-2</v>
      </c>
      <c r="R92" s="11">
        <v>0.33829235176734102</v>
      </c>
      <c r="S92" s="11">
        <v>1.153255111270696E-2</v>
      </c>
      <c r="T92" s="9" t="s">
        <v>40</v>
      </c>
      <c r="U92" s="9" t="s">
        <v>46</v>
      </c>
      <c r="V92" s="9" t="s">
        <v>33</v>
      </c>
      <c r="W92" s="9" t="s">
        <v>911</v>
      </c>
      <c r="X92" s="1" t="s">
        <v>31</v>
      </c>
      <c r="Y92" s="1" t="s">
        <v>31</v>
      </c>
      <c r="Z92" s="3" t="s">
        <v>31</v>
      </c>
      <c r="AA92" s="11" t="s">
        <v>31</v>
      </c>
      <c r="AB92" s="11" t="s">
        <v>31</v>
      </c>
      <c r="AC92" s="10">
        <v>0</v>
      </c>
      <c r="AD92" s="9" t="s">
        <v>34</v>
      </c>
      <c r="AE92" s="9" t="s">
        <v>63</v>
      </c>
    </row>
    <row r="93" spans="1:31" x14ac:dyDescent="0.25">
      <c r="A93" s="9" t="s">
        <v>536</v>
      </c>
      <c r="B93" s="1" t="s">
        <v>479</v>
      </c>
      <c r="C93" s="1" t="s">
        <v>205</v>
      </c>
      <c r="D93" s="10">
        <v>2</v>
      </c>
      <c r="E93" s="10">
        <v>2007</v>
      </c>
      <c r="F93" s="9" t="s">
        <v>28</v>
      </c>
      <c r="G93" s="9" t="s">
        <v>29</v>
      </c>
      <c r="H93" s="1">
        <v>39.64</v>
      </c>
      <c r="I93" s="1" t="s">
        <v>31</v>
      </c>
      <c r="J93" s="9" t="s">
        <v>43</v>
      </c>
      <c r="K93" s="1">
        <v>1</v>
      </c>
      <c r="L93" s="10">
        <v>205</v>
      </c>
      <c r="M93" s="3">
        <v>0.27700000000000002</v>
      </c>
      <c r="N93" s="11">
        <v>4.1785751933382364E-3</v>
      </c>
      <c r="O93" t="s">
        <v>63</v>
      </c>
      <c r="P93" s="11">
        <v>0.2844298169368874</v>
      </c>
      <c r="Q93" s="11">
        <v>4.9504950495049514E-3</v>
      </c>
      <c r="R93" s="11">
        <v>0.27763642161255242</v>
      </c>
      <c r="S93" s="11">
        <v>4.175380719758817E-3</v>
      </c>
      <c r="T93" s="9" t="s">
        <v>40</v>
      </c>
      <c r="U93" s="9" t="s">
        <v>46</v>
      </c>
      <c r="V93" s="9" t="s">
        <v>33</v>
      </c>
      <c r="W93" s="9" t="s">
        <v>911</v>
      </c>
      <c r="X93" s="1" t="s">
        <v>31</v>
      </c>
      <c r="Y93" s="1" t="s">
        <v>31</v>
      </c>
      <c r="Z93" s="3" t="s">
        <v>31</v>
      </c>
      <c r="AA93" s="11" t="s">
        <v>31</v>
      </c>
      <c r="AB93" s="11" t="s">
        <v>31</v>
      </c>
      <c r="AC93" s="10">
        <v>0</v>
      </c>
      <c r="AD93" s="9" t="s">
        <v>34</v>
      </c>
      <c r="AE93" s="9" t="s">
        <v>63</v>
      </c>
    </row>
    <row r="94" spans="1:31" x14ac:dyDescent="0.25">
      <c r="A94" s="9" t="s">
        <v>537</v>
      </c>
      <c r="B94" s="1" t="s">
        <v>480</v>
      </c>
      <c r="C94" s="1" t="s">
        <v>206</v>
      </c>
      <c r="D94" s="10">
        <v>2</v>
      </c>
      <c r="E94" s="10">
        <v>2007</v>
      </c>
      <c r="F94" s="9" t="s">
        <v>38</v>
      </c>
      <c r="G94" s="9" t="s">
        <v>54</v>
      </c>
      <c r="H94" s="1">
        <v>13.1</v>
      </c>
      <c r="I94" s="1">
        <v>3.1</v>
      </c>
      <c r="J94" s="9" t="s">
        <v>43</v>
      </c>
      <c r="K94" s="1">
        <v>1</v>
      </c>
      <c r="L94" s="10">
        <v>22</v>
      </c>
      <c r="M94" s="3">
        <v>0.41</v>
      </c>
      <c r="N94" s="11">
        <v>3.2955124285714288E-2</v>
      </c>
      <c r="O94">
        <v>489</v>
      </c>
      <c r="P94" s="11">
        <v>0.43561122323622431</v>
      </c>
      <c r="Q94" s="11">
        <v>5.2631578947368418E-2</v>
      </c>
      <c r="R94" s="11">
        <v>0.41938476927712698</v>
      </c>
      <c r="S94" s="11">
        <v>3.234132695067795E-2</v>
      </c>
      <c r="T94" s="9" t="s">
        <v>40</v>
      </c>
      <c r="U94" s="9" t="s">
        <v>50</v>
      </c>
      <c r="V94" s="9" t="s">
        <v>33</v>
      </c>
      <c r="W94" s="9" t="s">
        <v>266</v>
      </c>
      <c r="X94" s="1">
        <v>11</v>
      </c>
      <c r="Y94" s="1">
        <v>15</v>
      </c>
      <c r="Z94" s="3">
        <f>X94/Y94</f>
        <v>0.73333333333333328</v>
      </c>
      <c r="AA94" s="11">
        <v>0.5226101316628321</v>
      </c>
      <c r="AB94" s="11">
        <v>0.22714611923038899</v>
      </c>
      <c r="AC94" s="10">
        <v>2</v>
      </c>
      <c r="AD94" s="9" t="s">
        <v>41</v>
      </c>
      <c r="AE94" s="9" t="s">
        <v>35</v>
      </c>
    </row>
    <row r="95" spans="1:31" x14ac:dyDescent="0.25">
      <c r="A95" s="9" t="s">
        <v>538</v>
      </c>
      <c r="B95" s="1" t="s">
        <v>481</v>
      </c>
      <c r="C95" s="1" t="s">
        <v>208</v>
      </c>
      <c r="D95" s="10">
        <v>2</v>
      </c>
      <c r="E95" s="10">
        <v>2008</v>
      </c>
      <c r="F95" s="9" t="s">
        <v>38</v>
      </c>
      <c r="G95" s="9" t="s">
        <v>29</v>
      </c>
      <c r="H95" s="1">
        <v>31.5</v>
      </c>
      <c r="I95" s="1">
        <v>11.1</v>
      </c>
      <c r="J95" s="9" t="s">
        <v>30</v>
      </c>
      <c r="K95" s="1">
        <v>0.56000000000000005</v>
      </c>
      <c r="L95" s="10">
        <v>27</v>
      </c>
      <c r="M95" s="3">
        <v>-0.114</v>
      </c>
      <c r="N95" s="11">
        <v>3.7468342154461542E-2</v>
      </c>
      <c r="O95" t="s">
        <v>63</v>
      </c>
      <c r="P95" s="11">
        <v>-0.11449773494107431</v>
      </c>
      <c r="Q95" s="11">
        <v>4.1666666666666657E-2</v>
      </c>
      <c r="R95" s="11">
        <v>-0.11646860404903089</v>
      </c>
      <c r="S95" s="11">
        <v>3.7425159077810591E-2</v>
      </c>
      <c r="T95" s="9" t="s">
        <v>40</v>
      </c>
      <c r="U95" s="9" t="s">
        <v>31</v>
      </c>
      <c r="V95" s="9" t="s">
        <v>33</v>
      </c>
      <c r="W95" s="9" t="s">
        <v>911</v>
      </c>
      <c r="X95" s="1">
        <v>15</v>
      </c>
      <c r="Y95" s="1">
        <v>15</v>
      </c>
      <c r="Z95" s="3">
        <f>X95/Y95</f>
        <v>1</v>
      </c>
      <c r="AA95" s="11">
        <v>-0.114</v>
      </c>
      <c r="AB95" s="11">
        <v>0.19869614993753651</v>
      </c>
      <c r="AC95" s="10">
        <v>3</v>
      </c>
      <c r="AD95" s="9" t="s">
        <v>41</v>
      </c>
      <c r="AE95" s="9" t="s">
        <v>63</v>
      </c>
    </row>
    <row r="96" spans="1:31" x14ac:dyDescent="0.25">
      <c r="A96" s="9" t="s">
        <v>539</v>
      </c>
      <c r="B96" s="1" t="s">
        <v>476</v>
      </c>
      <c r="C96" s="1" t="s">
        <v>209</v>
      </c>
      <c r="D96" s="10">
        <v>3</v>
      </c>
      <c r="E96" s="10">
        <v>2008</v>
      </c>
      <c r="F96" s="9" t="s">
        <v>38</v>
      </c>
      <c r="G96" s="9" t="s">
        <v>29</v>
      </c>
      <c r="H96" s="1">
        <v>21.6</v>
      </c>
      <c r="I96" s="1">
        <v>2.5</v>
      </c>
      <c r="J96" s="9" t="s">
        <v>30</v>
      </c>
      <c r="K96" s="1">
        <v>0.54300000000000004</v>
      </c>
      <c r="L96" s="10">
        <v>164</v>
      </c>
      <c r="M96" s="3">
        <v>0.35</v>
      </c>
      <c r="N96" s="11">
        <v>4.7239647239263813E-3</v>
      </c>
      <c r="O96">
        <v>10324</v>
      </c>
      <c r="P96" s="11">
        <v>0.36544375427139619</v>
      </c>
      <c r="Q96" s="11">
        <v>6.2111801242236021E-3</v>
      </c>
      <c r="R96" s="11">
        <v>0.3509595882628152</v>
      </c>
      <c r="S96" s="11">
        <v>4.7167253511216541E-3</v>
      </c>
      <c r="T96" s="9" t="s">
        <v>40</v>
      </c>
      <c r="U96" s="9" t="s">
        <v>31</v>
      </c>
      <c r="V96" s="9" t="s">
        <v>33</v>
      </c>
      <c r="W96" s="9" t="s">
        <v>911</v>
      </c>
      <c r="X96" s="1">
        <v>14</v>
      </c>
      <c r="Y96" s="1">
        <v>15</v>
      </c>
      <c r="Z96" s="3">
        <f>X96/Y96</f>
        <v>0.93333333333333335</v>
      </c>
      <c r="AA96" s="11">
        <v>0.37164707312358308</v>
      </c>
      <c r="AB96" s="11">
        <v>7.6758702715616245E-2</v>
      </c>
      <c r="AC96" s="10">
        <v>0</v>
      </c>
      <c r="AD96" s="9" t="s">
        <v>34</v>
      </c>
      <c r="AE96" s="9" t="s">
        <v>35</v>
      </c>
    </row>
    <row r="97" spans="1:31" x14ac:dyDescent="0.25">
      <c r="A97" s="9" t="s">
        <v>203</v>
      </c>
      <c r="B97" s="1" t="s">
        <v>482</v>
      </c>
      <c r="C97" s="1" t="s">
        <v>211</v>
      </c>
      <c r="D97" s="10">
        <v>2</v>
      </c>
      <c r="E97" s="10">
        <v>2008</v>
      </c>
      <c r="F97" s="9" t="s">
        <v>38</v>
      </c>
      <c r="G97" s="9" t="s">
        <v>29</v>
      </c>
      <c r="H97" s="1">
        <v>51.11</v>
      </c>
      <c r="I97" s="1" t="s">
        <v>31</v>
      </c>
      <c r="J97" s="9" t="s">
        <v>30</v>
      </c>
      <c r="K97" s="1">
        <v>0.43</v>
      </c>
      <c r="L97" s="10">
        <v>55</v>
      </c>
      <c r="M97" s="3">
        <v>0.17899999999999999</v>
      </c>
      <c r="N97" s="11">
        <v>1.73508264015E-2</v>
      </c>
      <c r="O97" t="s">
        <v>63</v>
      </c>
      <c r="P97" s="11">
        <v>0.18094939554247139</v>
      </c>
      <c r="Q97" s="11">
        <v>1.9230769230769228E-2</v>
      </c>
      <c r="R97" s="11">
        <v>0.18070440906671509</v>
      </c>
      <c r="S97" s="11">
        <v>1.7328854115815921E-2</v>
      </c>
      <c r="T97" s="9" t="s">
        <v>40</v>
      </c>
      <c r="U97" s="9" t="s">
        <v>31</v>
      </c>
      <c r="V97" s="9" t="s">
        <v>51</v>
      </c>
      <c r="W97" s="9" t="s">
        <v>961</v>
      </c>
      <c r="X97" s="1">
        <v>15.46</v>
      </c>
      <c r="Y97" s="1">
        <v>16</v>
      </c>
      <c r="Z97" s="3">
        <f>X97/Y97</f>
        <v>0.96625000000000005</v>
      </c>
      <c r="AA97" s="11">
        <v>0.18504167666070401</v>
      </c>
      <c r="AB97" s="11">
        <v>0.139385992547048</v>
      </c>
      <c r="AC97" s="10">
        <v>0</v>
      </c>
      <c r="AD97" s="9" t="s">
        <v>41</v>
      </c>
      <c r="AE97" s="9" t="s">
        <v>63</v>
      </c>
    </row>
    <row r="98" spans="1:31" x14ac:dyDescent="0.25">
      <c r="A98" s="9" t="s">
        <v>203</v>
      </c>
      <c r="B98" s="1" t="s">
        <v>483</v>
      </c>
      <c r="C98" s="1" t="s">
        <v>212</v>
      </c>
      <c r="D98" s="10">
        <v>2</v>
      </c>
      <c r="E98" s="10">
        <v>2008</v>
      </c>
      <c r="F98" s="9" t="s">
        <v>28</v>
      </c>
      <c r="G98" s="9" t="s">
        <v>29</v>
      </c>
      <c r="H98" s="1">
        <v>59.75</v>
      </c>
      <c r="I98" s="1" t="s">
        <v>31</v>
      </c>
      <c r="J98" s="9" t="s">
        <v>30</v>
      </c>
      <c r="K98" s="1">
        <v>0.25</v>
      </c>
      <c r="L98" s="10">
        <v>32</v>
      </c>
      <c r="M98" s="3">
        <v>-2.1999999999999999E-2</v>
      </c>
      <c r="N98" s="11">
        <v>3.2226846266322579E-2</v>
      </c>
      <c r="O98" t="s">
        <v>63</v>
      </c>
      <c r="P98" s="11">
        <v>-2.2003550364416199E-2</v>
      </c>
      <c r="Q98" s="11">
        <v>3.4482758620689662E-2</v>
      </c>
      <c r="R98" s="11">
        <v>-2.239609242942962E-2</v>
      </c>
      <c r="S98" s="11">
        <v>3.2225712312104943E-2</v>
      </c>
      <c r="T98" s="9" t="s">
        <v>40</v>
      </c>
      <c r="U98" s="9" t="s">
        <v>31</v>
      </c>
      <c r="V98" s="9" t="s">
        <v>51</v>
      </c>
      <c r="W98" s="9" t="s">
        <v>961</v>
      </c>
      <c r="X98" s="1" t="s">
        <v>31</v>
      </c>
      <c r="Y98" s="1" t="s">
        <v>31</v>
      </c>
      <c r="Z98" s="3" t="s">
        <v>31</v>
      </c>
      <c r="AA98" s="11" t="s">
        <v>31</v>
      </c>
      <c r="AB98" s="11" t="s">
        <v>31</v>
      </c>
      <c r="AC98" s="10">
        <v>0</v>
      </c>
      <c r="AD98" s="9" t="s">
        <v>41</v>
      </c>
      <c r="AE98" s="9" t="s">
        <v>63</v>
      </c>
    </row>
    <row r="99" spans="1:31" x14ac:dyDescent="0.25">
      <c r="A99" s="9" t="s">
        <v>540</v>
      </c>
      <c r="B99" s="1" t="s">
        <v>484</v>
      </c>
      <c r="C99" s="1" t="s">
        <v>213</v>
      </c>
      <c r="D99" s="10">
        <v>2</v>
      </c>
      <c r="E99" s="10">
        <v>2009</v>
      </c>
      <c r="F99" s="9" t="s">
        <v>38</v>
      </c>
      <c r="G99" s="9" t="s">
        <v>54</v>
      </c>
      <c r="H99" s="1">
        <v>9.25</v>
      </c>
      <c r="I99" s="1">
        <v>3.78</v>
      </c>
      <c r="J99" s="9" t="s">
        <v>30</v>
      </c>
      <c r="K99" s="1">
        <v>0.33</v>
      </c>
      <c r="L99" s="10">
        <v>12</v>
      </c>
      <c r="M99" s="3">
        <v>0.23</v>
      </c>
      <c r="N99" s="11">
        <v>8.154531000000001E-2</v>
      </c>
      <c r="O99">
        <v>278</v>
      </c>
      <c r="P99" s="11">
        <v>0.2341894667593668</v>
      </c>
      <c r="Q99" s="11">
        <v>0.1111111111111111</v>
      </c>
      <c r="R99" s="11">
        <v>0.24374492155875069</v>
      </c>
      <c r="S99" s="11">
        <v>8.042786937027542E-2</v>
      </c>
      <c r="T99" s="9" t="s">
        <v>40</v>
      </c>
      <c r="U99" s="9" t="s">
        <v>50</v>
      </c>
      <c r="V99" s="9" t="s">
        <v>33</v>
      </c>
      <c r="W99" s="9" t="s">
        <v>333</v>
      </c>
      <c r="X99" s="1">
        <v>19</v>
      </c>
      <c r="Y99" s="1">
        <v>15</v>
      </c>
      <c r="Z99" s="3">
        <f>X99/Y99</f>
        <v>1.2666666666666666</v>
      </c>
      <c r="AA99" s="11">
        <v>0.1834157997335136</v>
      </c>
      <c r="AB99" s="11">
        <v>0.25040864913848487</v>
      </c>
      <c r="AC99" s="10">
        <v>0</v>
      </c>
      <c r="AD99" s="9" t="s">
        <v>34</v>
      </c>
      <c r="AE99" s="9" t="s">
        <v>35</v>
      </c>
    </row>
    <row r="100" spans="1:31" x14ac:dyDescent="0.25">
      <c r="A100" s="9" t="s">
        <v>540</v>
      </c>
      <c r="B100" s="1" t="s">
        <v>485</v>
      </c>
      <c r="C100" s="1" t="s">
        <v>215</v>
      </c>
      <c r="D100" s="10">
        <v>2</v>
      </c>
      <c r="E100" s="10">
        <v>2009</v>
      </c>
      <c r="F100" s="9" t="s">
        <v>38</v>
      </c>
      <c r="G100" s="9" t="s">
        <v>54</v>
      </c>
      <c r="H100" s="1">
        <v>12.08</v>
      </c>
      <c r="I100" s="1">
        <v>6.85</v>
      </c>
      <c r="J100" s="9" t="s">
        <v>31</v>
      </c>
      <c r="K100" s="1" t="s">
        <v>31</v>
      </c>
      <c r="L100" s="10">
        <v>11</v>
      </c>
      <c r="M100" s="3">
        <v>-0.11</v>
      </c>
      <c r="N100" s="11">
        <v>9.759464100000001E-2</v>
      </c>
      <c r="O100">
        <v>279</v>
      </c>
      <c r="P100" s="11">
        <v>-0.1104469157900972</v>
      </c>
      <c r="Q100" s="11">
        <v>0.125</v>
      </c>
      <c r="R100" s="11">
        <v>-0.1179748486698466</v>
      </c>
      <c r="S100" s="11">
        <v>9.723575826937339E-2</v>
      </c>
      <c r="T100" s="9" t="s">
        <v>40</v>
      </c>
      <c r="U100" s="9" t="s">
        <v>50</v>
      </c>
      <c r="V100" s="9" t="s">
        <v>51</v>
      </c>
      <c r="W100" s="9" t="s">
        <v>334</v>
      </c>
      <c r="X100" s="1" t="s">
        <v>31</v>
      </c>
      <c r="Y100" s="1" t="s">
        <v>31</v>
      </c>
      <c r="Z100" s="3" t="s">
        <v>31</v>
      </c>
      <c r="AA100" s="11" t="s">
        <v>31</v>
      </c>
      <c r="AB100" s="11" t="s">
        <v>31</v>
      </c>
      <c r="AC100" s="10">
        <v>0</v>
      </c>
      <c r="AD100" s="9" t="s">
        <v>34</v>
      </c>
      <c r="AE100" s="9" t="s">
        <v>35</v>
      </c>
    </row>
    <row r="101" spans="1:31" x14ac:dyDescent="0.25">
      <c r="A101" s="9" t="s">
        <v>540</v>
      </c>
      <c r="B101" s="1" t="s">
        <v>486</v>
      </c>
      <c r="C101" s="1" t="s">
        <v>217</v>
      </c>
      <c r="D101" s="10">
        <v>2</v>
      </c>
      <c r="E101" s="10">
        <v>2009</v>
      </c>
      <c r="F101" s="9" t="s">
        <v>28</v>
      </c>
      <c r="G101" s="9" t="s">
        <v>54</v>
      </c>
      <c r="H101" s="1">
        <v>16.53</v>
      </c>
      <c r="I101" s="1">
        <v>7.67</v>
      </c>
      <c r="J101" s="9" t="s">
        <v>30</v>
      </c>
      <c r="K101" s="1">
        <v>0.63</v>
      </c>
      <c r="L101" s="10">
        <v>16</v>
      </c>
      <c r="M101" s="3">
        <v>-0.3</v>
      </c>
      <c r="N101" s="11">
        <v>5.5206666666666668E-2</v>
      </c>
      <c r="O101">
        <v>278</v>
      </c>
      <c r="P101" s="11">
        <v>-0.30951960420311181</v>
      </c>
      <c r="Q101" s="11">
        <v>7.6923076923076927E-2</v>
      </c>
      <c r="R101" s="11">
        <v>-0.31137538122174901</v>
      </c>
      <c r="S101" s="11">
        <v>5.4366062922309902E-2</v>
      </c>
      <c r="T101" s="9" t="s">
        <v>40</v>
      </c>
      <c r="U101" s="9" t="s">
        <v>50</v>
      </c>
      <c r="V101" s="9" t="s">
        <v>33</v>
      </c>
      <c r="W101" s="9" t="s">
        <v>333</v>
      </c>
      <c r="X101" s="1">
        <v>25</v>
      </c>
      <c r="Y101" s="1">
        <v>15</v>
      </c>
      <c r="Z101" s="3">
        <f>X101/Y101</f>
        <v>1.6666666666666667</v>
      </c>
      <c r="AA101" s="11">
        <v>-0.1854192697718241</v>
      </c>
      <c r="AB101" s="11">
        <v>0.16720721469345221</v>
      </c>
      <c r="AC101" s="10">
        <v>0</v>
      </c>
      <c r="AD101" s="9" t="s">
        <v>34</v>
      </c>
      <c r="AE101" s="9" t="s">
        <v>35</v>
      </c>
    </row>
    <row r="102" spans="1:31" x14ac:dyDescent="0.25">
      <c r="A102" s="9" t="s">
        <v>541</v>
      </c>
      <c r="B102" s="1" t="s">
        <v>487</v>
      </c>
      <c r="C102" s="1" t="s">
        <v>219</v>
      </c>
      <c r="D102" s="10">
        <v>2</v>
      </c>
      <c r="E102" s="10">
        <v>2009</v>
      </c>
      <c r="F102" s="9" t="s">
        <v>38</v>
      </c>
      <c r="G102" s="9" t="s">
        <v>54</v>
      </c>
      <c r="H102" s="1">
        <v>10.5</v>
      </c>
      <c r="I102" s="1">
        <v>1.27</v>
      </c>
      <c r="J102" s="9" t="s">
        <v>30</v>
      </c>
      <c r="K102" s="1">
        <v>0.53</v>
      </c>
      <c r="L102" s="10">
        <v>66</v>
      </c>
      <c r="M102" s="3">
        <v>0.25700000000000001</v>
      </c>
      <c r="N102" s="11">
        <v>1.3419453390784611E-2</v>
      </c>
      <c r="O102" t="s">
        <v>63</v>
      </c>
      <c r="P102" s="11">
        <v>0.26289358193624418</v>
      </c>
      <c r="Q102" s="11">
        <v>1.5873015873015869E-2</v>
      </c>
      <c r="R102" s="11">
        <v>0.25893863309950121</v>
      </c>
      <c r="S102" s="11">
        <v>1.33907256293022E-2</v>
      </c>
      <c r="T102" s="9" t="s">
        <v>40</v>
      </c>
      <c r="U102" s="9" t="s">
        <v>50</v>
      </c>
      <c r="V102" s="9" t="s">
        <v>33</v>
      </c>
      <c r="W102" s="9" t="s">
        <v>332</v>
      </c>
      <c r="X102" s="1">
        <v>10.6</v>
      </c>
      <c r="Y102" s="1">
        <v>15</v>
      </c>
      <c r="Z102" s="3">
        <f>X102/Y102</f>
        <v>0.70666666666666667</v>
      </c>
      <c r="AA102" s="11">
        <v>0.35220572380234871</v>
      </c>
      <c r="AB102" s="11">
        <v>0.15527127878135519</v>
      </c>
      <c r="AC102" s="10">
        <v>0</v>
      </c>
      <c r="AD102" s="9" t="s">
        <v>34</v>
      </c>
      <c r="AE102" s="9" t="s">
        <v>63</v>
      </c>
    </row>
    <row r="103" spans="1:31" x14ac:dyDescent="0.25">
      <c r="A103" s="9" t="s">
        <v>541</v>
      </c>
      <c r="B103" s="1" t="s">
        <v>488</v>
      </c>
      <c r="C103" s="1" t="s">
        <v>220</v>
      </c>
      <c r="D103" s="10">
        <v>2</v>
      </c>
      <c r="E103" s="10">
        <v>2009</v>
      </c>
      <c r="F103" s="9" t="s">
        <v>28</v>
      </c>
      <c r="G103" s="9" t="s">
        <v>54</v>
      </c>
      <c r="H103" s="1">
        <v>10.4</v>
      </c>
      <c r="I103" s="1">
        <v>1.24</v>
      </c>
      <c r="J103" s="9" t="s">
        <v>30</v>
      </c>
      <c r="K103" s="1">
        <v>0.56999999999999995</v>
      </c>
      <c r="L103" s="10">
        <v>47</v>
      </c>
      <c r="M103" s="3">
        <v>0.26400000000000001</v>
      </c>
      <c r="N103" s="11">
        <v>1.8814468096E-2</v>
      </c>
      <c r="O103" t="s">
        <v>63</v>
      </c>
      <c r="P103" s="11">
        <v>0.27040322798896332</v>
      </c>
      <c r="Q103" s="11">
        <v>2.2727272727272731E-2</v>
      </c>
      <c r="R103" s="11">
        <v>0.26686129899624111</v>
      </c>
      <c r="S103" s="11">
        <v>1.875307964593274E-2</v>
      </c>
      <c r="T103" s="9" t="s">
        <v>40</v>
      </c>
      <c r="U103" s="9" t="s">
        <v>50</v>
      </c>
      <c r="V103" s="9" t="s">
        <v>33</v>
      </c>
      <c r="W103" s="9" t="s">
        <v>332</v>
      </c>
      <c r="X103" s="1">
        <v>15.1</v>
      </c>
      <c r="Y103" s="1">
        <v>15</v>
      </c>
      <c r="Z103" s="3">
        <f>X103/Y103</f>
        <v>1.0066666666666666</v>
      </c>
      <c r="AA103" s="11">
        <v>0.26237238376918193</v>
      </c>
      <c r="AB103" s="11">
        <v>0.14302769718003619</v>
      </c>
      <c r="AC103" s="10">
        <v>0</v>
      </c>
      <c r="AD103" s="9" t="s">
        <v>34</v>
      </c>
      <c r="AE103" s="9" t="s">
        <v>63</v>
      </c>
    </row>
    <row r="104" spans="1:31" x14ac:dyDescent="0.25">
      <c r="A104" s="9" t="s">
        <v>542</v>
      </c>
      <c r="B104" s="1" t="s">
        <v>280</v>
      </c>
      <c r="C104" s="1" t="s">
        <v>222</v>
      </c>
      <c r="D104" s="10">
        <v>2</v>
      </c>
      <c r="E104" s="10">
        <v>2009</v>
      </c>
      <c r="F104" s="9" t="s">
        <v>38</v>
      </c>
      <c r="G104" s="9" t="s">
        <v>29</v>
      </c>
      <c r="H104" s="1">
        <v>78.400000000000006</v>
      </c>
      <c r="I104" s="1">
        <v>1.5</v>
      </c>
      <c r="J104" s="9" t="s">
        <v>30</v>
      </c>
      <c r="K104" s="1">
        <v>0.28999999999999998</v>
      </c>
      <c r="L104" s="10">
        <v>99</v>
      </c>
      <c r="M104" s="3">
        <v>0.21</v>
      </c>
      <c r="N104" s="11">
        <v>9.3239266326530616E-3</v>
      </c>
      <c r="O104">
        <v>5</v>
      </c>
      <c r="P104" s="11">
        <v>0.21317134656485981</v>
      </c>
      <c r="Q104" s="11">
        <v>1.041666666666667E-2</v>
      </c>
      <c r="R104" s="11">
        <v>0.21105815774042161</v>
      </c>
      <c r="S104" s="11">
        <v>9.3152368751664646E-3</v>
      </c>
      <c r="T104" s="9" t="s">
        <v>40</v>
      </c>
      <c r="U104" s="9" t="s">
        <v>50</v>
      </c>
      <c r="V104" s="9" t="s">
        <v>33</v>
      </c>
      <c r="W104" s="9" t="s">
        <v>962</v>
      </c>
      <c r="X104" s="1" t="s">
        <v>31</v>
      </c>
      <c r="Y104" s="1" t="s">
        <v>31</v>
      </c>
      <c r="Z104" s="3" t="s">
        <v>31</v>
      </c>
      <c r="AA104" s="11" t="s">
        <v>31</v>
      </c>
      <c r="AB104" s="11" t="s">
        <v>31</v>
      </c>
      <c r="AC104" s="10">
        <v>1</v>
      </c>
      <c r="AD104" s="9" t="s">
        <v>41</v>
      </c>
      <c r="AE104" s="9" t="s">
        <v>35</v>
      </c>
    </row>
    <row r="105" spans="1:31" x14ac:dyDescent="0.25">
      <c r="A105" s="9" t="s">
        <v>543</v>
      </c>
      <c r="B105" s="1" t="s">
        <v>489</v>
      </c>
      <c r="C105" s="1" t="s">
        <v>223</v>
      </c>
      <c r="D105" s="10">
        <v>2</v>
      </c>
      <c r="E105" s="10">
        <v>2009</v>
      </c>
      <c r="F105" s="9" t="s">
        <v>38</v>
      </c>
      <c r="G105" s="9" t="s">
        <v>54</v>
      </c>
      <c r="H105" s="1">
        <v>9.1</v>
      </c>
      <c r="I105" s="1">
        <v>0.1</v>
      </c>
      <c r="J105" s="9" t="s">
        <v>30</v>
      </c>
      <c r="K105" s="1">
        <v>0.5</v>
      </c>
      <c r="L105" s="10">
        <v>209</v>
      </c>
      <c r="M105" s="3">
        <v>0.2</v>
      </c>
      <c r="N105" s="11">
        <v>4.4307692307692303E-3</v>
      </c>
      <c r="O105">
        <v>186</v>
      </c>
      <c r="P105" s="11">
        <v>0.20273255405408211</v>
      </c>
      <c r="Q105" s="11">
        <v>4.8543689320388354E-3</v>
      </c>
      <c r="R105" s="11">
        <v>0.2004686545922065</v>
      </c>
      <c r="S105" s="11">
        <v>4.4290369557415266E-3</v>
      </c>
      <c r="T105" s="9" t="s">
        <v>40</v>
      </c>
      <c r="U105" s="9" t="s">
        <v>50</v>
      </c>
      <c r="V105" s="9" t="s">
        <v>51</v>
      </c>
      <c r="W105" s="9" t="s">
        <v>115</v>
      </c>
      <c r="X105" s="1" t="s">
        <v>31</v>
      </c>
      <c r="Y105" s="1" t="s">
        <v>31</v>
      </c>
      <c r="Z105" s="3" t="s">
        <v>31</v>
      </c>
      <c r="AA105" s="11" t="s">
        <v>31</v>
      </c>
      <c r="AB105" s="11" t="s">
        <v>31</v>
      </c>
      <c r="AC105" s="10">
        <v>1</v>
      </c>
      <c r="AD105" s="9" t="s">
        <v>41</v>
      </c>
      <c r="AE105" s="9" t="s">
        <v>35</v>
      </c>
    </row>
    <row r="106" spans="1:31" x14ac:dyDescent="0.25">
      <c r="A106" s="9" t="s">
        <v>544</v>
      </c>
      <c r="B106" s="1" t="s">
        <v>490</v>
      </c>
      <c r="C106" s="1" t="s">
        <v>224</v>
      </c>
      <c r="D106" s="10">
        <v>2</v>
      </c>
      <c r="E106" s="10">
        <v>2009</v>
      </c>
      <c r="F106" s="9" t="s">
        <v>28</v>
      </c>
      <c r="G106" s="9" t="s">
        <v>29</v>
      </c>
      <c r="H106" s="1">
        <v>32</v>
      </c>
      <c r="I106" s="1">
        <v>7</v>
      </c>
      <c r="J106" s="9" t="s">
        <v>39</v>
      </c>
      <c r="K106" s="1">
        <v>0</v>
      </c>
      <c r="L106" s="10">
        <v>10</v>
      </c>
      <c r="M106" s="3">
        <v>1.7000000000000001E-2</v>
      </c>
      <c r="N106" s="11">
        <v>0.111046898169</v>
      </c>
      <c r="O106" t="s">
        <v>63</v>
      </c>
      <c r="P106" s="11">
        <v>1.7001637950696671E-2</v>
      </c>
      <c r="Q106" s="11">
        <v>0.1428571428571429</v>
      </c>
      <c r="R106" s="11">
        <v>1.8471796364890339E-2</v>
      </c>
      <c r="S106" s="11">
        <v>0.111035300211167</v>
      </c>
      <c r="T106" s="9" t="s">
        <v>40</v>
      </c>
      <c r="U106" s="9" t="s">
        <v>31</v>
      </c>
      <c r="V106" s="9" t="s">
        <v>33</v>
      </c>
      <c r="W106" s="9" t="s">
        <v>963</v>
      </c>
      <c r="X106" s="1" t="s">
        <v>31</v>
      </c>
      <c r="Y106" s="1" t="s">
        <v>31</v>
      </c>
      <c r="Z106" s="3" t="s">
        <v>31</v>
      </c>
      <c r="AA106" s="11" t="s">
        <v>31</v>
      </c>
      <c r="AB106" s="11" t="s">
        <v>31</v>
      </c>
      <c r="AC106" s="10">
        <v>0</v>
      </c>
      <c r="AD106" s="9" t="s">
        <v>34</v>
      </c>
      <c r="AE106" s="9" t="s">
        <v>63</v>
      </c>
    </row>
    <row r="107" spans="1:31" x14ac:dyDescent="0.25">
      <c r="A107" s="9" t="s">
        <v>544</v>
      </c>
      <c r="B107" s="1" t="s">
        <v>491</v>
      </c>
      <c r="C107" s="1" t="s">
        <v>226</v>
      </c>
      <c r="D107" s="10">
        <v>2</v>
      </c>
      <c r="E107" s="10">
        <v>2009</v>
      </c>
      <c r="F107" s="9" t="s">
        <v>38</v>
      </c>
      <c r="G107" s="9" t="s">
        <v>29</v>
      </c>
      <c r="H107" s="1">
        <v>33</v>
      </c>
      <c r="I107" s="1">
        <v>7</v>
      </c>
      <c r="J107" s="9" t="s">
        <v>39</v>
      </c>
      <c r="K107" s="1">
        <v>0</v>
      </c>
      <c r="L107" s="10">
        <v>25</v>
      </c>
      <c r="M107" s="3">
        <v>0.14899999999999999</v>
      </c>
      <c r="N107" s="11">
        <v>3.9837120183374999E-2</v>
      </c>
      <c r="O107" t="s">
        <v>63</v>
      </c>
      <c r="P107" s="11">
        <v>0.15011757463769079</v>
      </c>
      <c r="Q107" s="11">
        <v>4.5454545454545463E-2</v>
      </c>
      <c r="R107" s="11">
        <v>0.1524999328029909</v>
      </c>
      <c r="S107" s="11">
        <v>3.9751183050039669E-2</v>
      </c>
      <c r="T107" s="9" t="s">
        <v>40</v>
      </c>
      <c r="U107" s="9" t="s">
        <v>31</v>
      </c>
      <c r="V107" s="9" t="s">
        <v>33</v>
      </c>
      <c r="W107" s="9" t="s">
        <v>963</v>
      </c>
      <c r="X107" s="1" t="s">
        <v>31</v>
      </c>
      <c r="Y107" s="1" t="s">
        <v>31</v>
      </c>
      <c r="Z107" s="3" t="s">
        <v>31</v>
      </c>
      <c r="AA107" s="11" t="s">
        <v>31</v>
      </c>
      <c r="AB107" s="11" t="s">
        <v>31</v>
      </c>
      <c r="AC107" s="10">
        <v>0</v>
      </c>
      <c r="AD107" s="9" t="s">
        <v>34</v>
      </c>
      <c r="AE107" s="9" t="s">
        <v>63</v>
      </c>
    </row>
    <row r="108" spans="1:31" x14ac:dyDescent="0.25">
      <c r="A108" s="9" t="s">
        <v>544</v>
      </c>
      <c r="B108" s="1" t="s">
        <v>492</v>
      </c>
      <c r="C108" s="1" t="s">
        <v>227</v>
      </c>
      <c r="D108" s="10">
        <v>2</v>
      </c>
      <c r="E108" s="10">
        <v>2009</v>
      </c>
      <c r="F108" s="9" t="s">
        <v>28</v>
      </c>
      <c r="G108" s="9" t="s">
        <v>29</v>
      </c>
      <c r="H108" s="1">
        <v>32</v>
      </c>
      <c r="I108" s="1">
        <v>5</v>
      </c>
      <c r="J108" s="9" t="s">
        <v>39</v>
      </c>
      <c r="K108" s="1">
        <v>0</v>
      </c>
      <c r="L108" s="10">
        <v>13</v>
      </c>
      <c r="M108" s="3">
        <v>0.26900000000000002</v>
      </c>
      <c r="N108" s="11">
        <v>7.1709509526749995E-2</v>
      </c>
      <c r="O108" t="s">
        <v>63</v>
      </c>
      <c r="P108" s="11">
        <v>0.27578550398230461</v>
      </c>
      <c r="Q108" s="11">
        <v>0.1</v>
      </c>
      <c r="R108" s="11">
        <v>0.28290969652089382</v>
      </c>
      <c r="S108" s="11">
        <v>7.0527522673894547E-2</v>
      </c>
      <c r="T108" s="9" t="s">
        <v>40</v>
      </c>
      <c r="U108" s="9" t="s">
        <v>31</v>
      </c>
      <c r="V108" s="9" t="s">
        <v>33</v>
      </c>
      <c r="W108" s="9" t="s">
        <v>963</v>
      </c>
      <c r="X108" s="1" t="s">
        <v>31</v>
      </c>
      <c r="Y108" s="1" t="s">
        <v>31</v>
      </c>
      <c r="Z108" s="3" t="s">
        <v>31</v>
      </c>
      <c r="AA108" s="11" t="s">
        <v>31</v>
      </c>
      <c r="AB108" s="11" t="s">
        <v>31</v>
      </c>
      <c r="AC108" s="10">
        <v>0</v>
      </c>
      <c r="AD108" s="9" t="s">
        <v>34</v>
      </c>
      <c r="AE108" s="9" t="s">
        <v>63</v>
      </c>
    </row>
    <row r="109" spans="1:31" x14ac:dyDescent="0.25">
      <c r="A109" s="9" t="s">
        <v>949</v>
      </c>
      <c r="B109" s="1" t="s">
        <v>493</v>
      </c>
      <c r="C109" s="1" t="s">
        <v>229</v>
      </c>
      <c r="D109" s="10">
        <v>2</v>
      </c>
      <c r="E109" s="10">
        <v>2009</v>
      </c>
      <c r="F109" s="9" t="s">
        <v>28</v>
      </c>
      <c r="G109" s="9" t="s">
        <v>54</v>
      </c>
      <c r="H109" s="1">
        <v>3.72</v>
      </c>
      <c r="I109" s="1">
        <v>0.94</v>
      </c>
      <c r="J109" s="9" t="s">
        <v>30</v>
      </c>
      <c r="K109" s="1">
        <v>0.91</v>
      </c>
      <c r="L109" s="10">
        <v>21</v>
      </c>
      <c r="M109" s="3">
        <v>0.06</v>
      </c>
      <c r="N109" s="11">
        <v>4.9640648000000002E-2</v>
      </c>
      <c r="O109">
        <v>728</v>
      </c>
      <c r="P109" s="11">
        <v>6.0072155921031697E-2</v>
      </c>
      <c r="Q109" s="11">
        <v>5.5555555555555552E-2</v>
      </c>
      <c r="R109" s="11">
        <v>6.1782459808259527E-2</v>
      </c>
      <c r="S109" s="11">
        <v>4.9619021268066513E-2</v>
      </c>
      <c r="T109" s="9" t="s">
        <v>40</v>
      </c>
      <c r="U109" s="9" t="s">
        <v>50</v>
      </c>
      <c r="V109" s="9" t="s">
        <v>33</v>
      </c>
      <c r="W109" s="9" t="s">
        <v>77</v>
      </c>
      <c r="X109" s="1" t="s">
        <v>31</v>
      </c>
      <c r="Y109" s="1" t="s">
        <v>31</v>
      </c>
      <c r="Z109" s="3" t="s">
        <v>31</v>
      </c>
      <c r="AA109" s="11" t="s">
        <v>31</v>
      </c>
      <c r="AB109" s="11" t="s">
        <v>31</v>
      </c>
      <c r="AC109" s="10">
        <v>1</v>
      </c>
      <c r="AD109" s="9" t="s">
        <v>41</v>
      </c>
      <c r="AE109" s="9" t="s">
        <v>35</v>
      </c>
    </row>
    <row r="110" spans="1:31" x14ac:dyDescent="0.25">
      <c r="A110" s="9" t="s">
        <v>949</v>
      </c>
      <c r="B110" s="1" t="s">
        <v>494</v>
      </c>
      <c r="C110" s="1" t="s">
        <v>230</v>
      </c>
      <c r="D110" s="10">
        <v>2</v>
      </c>
      <c r="E110" s="10">
        <v>2009</v>
      </c>
      <c r="F110" s="9" t="s">
        <v>28</v>
      </c>
      <c r="G110" s="9" t="s">
        <v>54</v>
      </c>
      <c r="H110" s="1">
        <v>3.44</v>
      </c>
      <c r="I110" s="1">
        <v>1</v>
      </c>
      <c r="J110" s="9" t="s">
        <v>30</v>
      </c>
      <c r="K110" s="1">
        <v>0.92</v>
      </c>
      <c r="L110" s="10">
        <v>10</v>
      </c>
      <c r="M110" s="3">
        <v>0.73</v>
      </c>
      <c r="N110" s="11">
        <v>2.4242490000000009E-2</v>
      </c>
      <c r="O110">
        <v>728</v>
      </c>
      <c r="P110" s="11">
        <v>0.92872736424672486</v>
      </c>
      <c r="Q110" s="11">
        <v>0.1428571428571429</v>
      </c>
      <c r="R110" s="11">
        <v>0.75401272511622819</v>
      </c>
      <c r="S110" s="11">
        <v>2.068465362015626E-2</v>
      </c>
      <c r="T110" s="9" t="s">
        <v>40</v>
      </c>
      <c r="U110" s="9" t="s">
        <v>50</v>
      </c>
      <c r="V110" s="9" t="s">
        <v>33</v>
      </c>
      <c r="W110" s="9" t="s">
        <v>77</v>
      </c>
      <c r="X110" s="1" t="s">
        <v>31</v>
      </c>
      <c r="Y110" s="1" t="s">
        <v>31</v>
      </c>
      <c r="Z110" s="3" t="s">
        <v>31</v>
      </c>
      <c r="AA110" s="11" t="s">
        <v>31</v>
      </c>
      <c r="AB110" s="11" t="s">
        <v>31</v>
      </c>
      <c r="AC110" s="10">
        <v>1</v>
      </c>
      <c r="AD110" s="9" t="s">
        <v>41</v>
      </c>
      <c r="AE110" s="9" t="s">
        <v>35</v>
      </c>
    </row>
    <row r="111" spans="1:31" x14ac:dyDescent="0.25">
      <c r="A111" s="9" t="s">
        <v>545</v>
      </c>
      <c r="B111" s="1" t="s">
        <v>495</v>
      </c>
      <c r="C111" s="1" t="s">
        <v>233</v>
      </c>
      <c r="D111" s="10">
        <v>2</v>
      </c>
      <c r="E111" s="10">
        <v>2010</v>
      </c>
      <c r="F111" s="9" t="s">
        <v>38</v>
      </c>
      <c r="G111" s="9" t="s">
        <v>29</v>
      </c>
      <c r="H111" s="1">
        <v>33.340000000000003</v>
      </c>
      <c r="I111" s="1">
        <v>12.6</v>
      </c>
      <c r="J111" s="9" t="s">
        <v>30</v>
      </c>
      <c r="K111" s="1">
        <v>0.42</v>
      </c>
      <c r="L111" s="10">
        <v>67</v>
      </c>
      <c r="M111" s="3">
        <v>0.309</v>
      </c>
      <c r="N111" s="11">
        <v>1.239628214183333E-2</v>
      </c>
      <c r="O111" t="s">
        <v>63</v>
      </c>
      <c r="P111" s="11">
        <v>0.31943947107111492</v>
      </c>
      <c r="Q111" s="11">
        <v>1.5625E-2</v>
      </c>
      <c r="R111" s="11">
        <v>0.31121915621417512</v>
      </c>
      <c r="S111" s="11">
        <v>1.235858518811662E-2</v>
      </c>
      <c r="T111" s="9" t="s">
        <v>40</v>
      </c>
      <c r="U111" s="9" t="s">
        <v>31</v>
      </c>
      <c r="V111" s="9" t="s">
        <v>33</v>
      </c>
      <c r="W111" s="9" t="s">
        <v>151</v>
      </c>
      <c r="X111" s="1">
        <v>13.39</v>
      </c>
      <c r="Y111" s="1">
        <v>15</v>
      </c>
      <c r="Z111" s="3">
        <f>X111/Y111</f>
        <v>0.89266666666666672</v>
      </c>
      <c r="AA111" s="11">
        <v>0.34201628126269967</v>
      </c>
      <c r="AB111" s="11">
        <v>0.1274663964086358</v>
      </c>
      <c r="AC111" s="10">
        <v>0</v>
      </c>
      <c r="AD111" s="9" t="s">
        <v>34</v>
      </c>
      <c r="AE111" s="9" t="s">
        <v>63</v>
      </c>
    </row>
    <row r="112" spans="1:31" x14ac:dyDescent="0.25">
      <c r="A112" s="9" t="s">
        <v>545</v>
      </c>
      <c r="B112" s="1" t="s">
        <v>403</v>
      </c>
      <c r="C112" s="1" t="s">
        <v>235</v>
      </c>
      <c r="D112" s="10">
        <v>2</v>
      </c>
      <c r="E112" s="10">
        <v>2010</v>
      </c>
      <c r="F112" s="9" t="s">
        <v>28</v>
      </c>
      <c r="G112" s="9" t="s">
        <v>29</v>
      </c>
      <c r="H112" s="1">
        <v>36.090000000000003</v>
      </c>
      <c r="I112" s="1" t="s">
        <v>31</v>
      </c>
      <c r="J112" s="9" t="s">
        <v>30</v>
      </c>
      <c r="K112" s="1">
        <v>0.35</v>
      </c>
      <c r="L112" s="10">
        <v>77</v>
      </c>
      <c r="M112" s="3">
        <v>0.20599999999999999</v>
      </c>
      <c r="N112" s="11">
        <v>1.206485281705263E-2</v>
      </c>
      <c r="O112" t="s">
        <v>63</v>
      </c>
      <c r="P112" s="11">
        <v>0.20899045801999749</v>
      </c>
      <c r="Q112" s="11">
        <v>1.3513513513513511E-2</v>
      </c>
      <c r="R112" s="11">
        <v>0.20735385795641101</v>
      </c>
      <c r="S112" s="11">
        <v>1.205075498325734E-2</v>
      </c>
      <c r="T112" s="9" t="s">
        <v>40</v>
      </c>
      <c r="U112" s="9" t="s">
        <v>31</v>
      </c>
      <c r="V112" s="9" t="s">
        <v>33</v>
      </c>
      <c r="W112" s="9" t="s">
        <v>151</v>
      </c>
      <c r="X112" s="1" t="s">
        <v>31</v>
      </c>
      <c r="Y112" s="1" t="s">
        <v>31</v>
      </c>
      <c r="Z112" s="3" t="s">
        <v>31</v>
      </c>
      <c r="AA112" s="11" t="s">
        <v>31</v>
      </c>
      <c r="AB112" s="11" t="s">
        <v>31</v>
      </c>
      <c r="AC112" s="10">
        <v>0</v>
      </c>
      <c r="AD112" s="9" t="s">
        <v>34</v>
      </c>
      <c r="AE112" s="9" t="s">
        <v>63</v>
      </c>
    </row>
    <row r="113" spans="1:31" x14ac:dyDescent="0.25">
      <c r="A113" s="9" t="s">
        <v>231</v>
      </c>
      <c r="B113" s="1" t="s">
        <v>496</v>
      </c>
      <c r="C113" s="1" t="s">
        <v>236</v>
      </c>
      <c r="D113" s="10">
        <v>2</v>
      </c>
      <c r="E113" s="10">
        <v>2010</v>
      </c>
      <c r="F113" s="9" t="s">
        <v>38</v>
      </c>
      <c r="G113" s="9" t="s">
        <v>29</v>
      </c>
      <c r="H113" s="1">
        <v>68.69</v>
      </c>
      <c r="I113" s="1">
        <v>0.67</v>
      </c>
      <c r="J113" s="9" t="s">
        <v>30</v>
      </c>
      <c r="K113" s="1">
        <v>0.53</v>
      </c>
      <c r="L113" s="10">
        <v>234</v>
      </c>
      <c r="M113" s="3">
        <v>0.105</v>
      </c>
      <c r="N113" s="11">
        <v>4.1977319769313307E-3</v>
      </c>
      <c r="O113" t="s">
        <v>63</v>
      </c>
      <c r="P113" s="11">
        <v>0.10538844783849891</v>
      </c>
      <c r="Q113" s="11">
        <v>4.329004329004329E-3</v>
      </c>
      <c r="R113" s="11">
        <v>0.1052259645414747</v>
      </c>
      <c r="S113" s="11">
        <v>4.197328725789303E-3</v>
      </c>
      <c r="T113" s="9" t="s">
        <v>40</v>
      </c>
      <c r="U113" s="9" t="s">
        <v>46</v>
      </c>
      <c r="V113" s="9" t="s">
        <v>51</v>
      </c>
      <c r="W113" s="9" t="s">
        <v>115</v>
      </c>
      <c r="X113" s="1">
        <v>7.74</v>
      </c>
      <c r="Y113" s="1">
        <v>7.5</v>
      </c>
      <c r="Z113" s="3">
        <f>X113/Y113</f>
        <v>1.032</v>
      </c>
      <c r="AA113" s="11">
        <v>0.1017784463975641</v>
      </c>
      <c r="AB113" s="11">
        <v>6.332972664121557E-2</v>
      </c>
      <c r="AC113" s="10">
        <v>0</v>
      </c>
      <c r="AD113" s="9" t="s">
        <v>41</v>
      </c>
      <c r="AE113" s="9" t="s">
        <v>63</v>
      </c>
    </row>
    <row r="114" spans="1:31" x14ac:dyDescent="0.25">
      <c r="A114" s="9" t="s">
        <v>546</v>
      </c>
      <c r="B114" s="1" t="s">
        <v>497</v>
      </c>
      <c r="C114" s="1" t="s">
        <v>238</v>
      </c>
      <c r="D114" s="10">
        <v>2</v>
      </c>
      <c r="E114" s="10">
        <v>2010</v>
      </c>
      <c r="F114" s="9" t="s">
        <v>38</v>
      </c>
      <c r="G114" s="9" t="s">
        <v>54</v>
      </c>
      <c r="H114" s="1">
        <v>15.75</v>
      </c>
      <c r="I114" s="1">
        <v>1.1299999999999999</v>
      </c>
      <c r="J114" s="9" t="s">
        <v>39</v>
      </c>
      <c r="K114" s="1">
        <v>0</v>
      </c>
      <c r="L114" s="10">
        <v>24</v>
      </c>
      <c r="M114" s="3">
        <v>0</v>
      </c>
      <c r="N114" s="11">
        <v>4.3478260869565223E-2</v>
      </c>
      <c r="O114" t="s">
        <v>63</v>
      </c>
      <c r="P114" s="11">
        <v>0</v>
      </c>
      <c r="Q114" s="11">
        <v>4.7619047619047623E-2</v>
      </c>
      <c r="R114" s="11">
        <v>0</v>
      </c>
      <c r="S114" s="11">
        <v>4.3478260869565223E-2</v>
      </c>
      <c r="T114" s="9" t="s">
        <v>40</v>
      </c>
      <c r="U114" s="9" t="s">
        <v>50</v>
      </c>
      <c r="V114" s="9" t="s">
        <v>33</v>
      </c>
      <c r="W114" s="9" t="s">
        <v>956</v>
      </c>
      <c r="X114" s="1">
        <v>13.9</v>
      </c>
      <c r="Y114" s="1">
        <v>15</v>
      </c>
      <c r="Z114" s="3">
        <f>X114/Y114</f>
        <v>0.92666666666666664</v>
      </c>
      <c r="AA114" s="11">
        <v>0</v>
      </c>
      <c r="AB114" s="11" t="s">
        <v>31</v>
      </c>
      <c r="AC114" s="10">
        <v>4</v>
      </c>
      <c r="AD114" s="9" t="s">
        <v>34</v>
      </c>
      <c r="AE114" s="9" t="s">
        <v>63</v>
      </c>
    </row>
    <row r="115" spans="1:31" x14ac:dyDescent="0.25">
      <c r="A115" s="9" t="s">
        <v>546</v>
      </c>
      <c r="B115" s="1" t="s">
        <v>981</v>
      </c>
      <c r="C115" s="1" t="s">
        <v>241</v>
      </c>
      <c r="D115" s="10">
        <v>2</v>
      </c>
      <c r="E115" s="10">
        <v>2010</v>
      </c>
      <c r="F115" s="9" t="s">
        <v>38</v>
      </c>
      <c r="G115" s="9" t="s">
        <v>54</v>
      </c>
      <c r="H115" s="1">
        <v>15.75</v>
      </c>
      <c r="I115" s="1">
        <v>1.1299999999999999</v>
      </c>
      <c r="J115" s="9" t="s">
        <v>43</v>
      </c>
      <c r="K115" s="1">
        <v>1</v>
      </c>
      <c r="L115" s="10">
        <v>26</v>
      </c>
      <c r="M115" s="3">
        <v>0.36399999999999999</v>
      </c>
      <c r="N115" s="11">
        <v>3.010252760064001E-2</v>
      </c>
      <c r="O115">
        <v>360</v>
      </c>
      <c r="P115" s="11">
        <v>0.3814891375316426</v>
      </c>
      <c r="Q115" s="11">
        <v>4.3478260869565223E-2</v>
      </c>
      <c r="R115" s="11">
        <v>0.37115088511412991</v>
      </c>
      <c r="S115" s="11">
        <v>2.973879697299639E-2</v>
      </c>
      <c r="T115" s="9" t="s">
        <v>40</v>
      </c>
      <c r="U115" s="9" t="s">
        <v>50</v>
      </c>
      <c r="V115" s="9" t="s">
        <v>33</v>
      </c>
      <c r="W115" s="9" t="s">
        <v>956</v>
      </c>
      <c r="X115" s="1">
        <v>13.1</v>
      </c>
      <c r="Y115" s="1">
        <v>15</v>
      </c>
      <c r="Z115" s="3">
        <f>X115/Y115</f>
        <v>0.87333333333333329</v>
      </c>
      <c r="AA115" s="11">
        <v>0.40846030431862868</v>
      </c>
      <c r="AB115" s="11">
        <v>0.20489700678850811</v>
      </c>
      <c r="AC115" s="10">
        <v>4</v>
      </c>
      <c r="AD115" s="9" t="s">
        <v>34</v>
      </c>
      <c r="AE115" s="9" t="s">
        <v>35</v>
      </c>
    </row>
    <row r="116" spans="1:31" x14ac:dyDescent="0.25">
      <c r="A116" s="9" t="s">
        <v>547</v>
      </c>
      <c r="B116" s="1" t="s">
        <v>982</v>
      </c>
      <c r="C116" s="1" t="s">
        <v>243</v>
      </c>
      <c r="D116" s="10">
        <v>2</v>
      </c>
      <c r="E116" s="10">
        <v>2010</v>
      </c>
      <c r="F116" s="9" t="s">
        <v>38</v>
      </c>
      <c r="G116" s="9" t="s">
        <v>54</v>
      </c>
      <c r="H116" s="1">
        <v>10.88</v>
      </c>
      <c r="I116" s="1" t="s">
        <v>31</v>
      </c>
      <c r="J116" s="9" t="s">
        <v>39</v>
      </c>
      <c r="K116" s="1">
        <v>0</v>
      </c>
      <c r="L116" s="10">
        <v>166</v>
      </c>
      <c r="M116" s="3">
        <v>0.22</v>
      </c>
      <c r="N116" s="11">
        <v>5.4881367272727284E-3</v>
      </c>
      <c r="O116">
        <v>304</v>
      </c>
      <c r="P116" s="11">
        <v>0.22365610902183239</v>
      </c>
      <c r="Q116" s="11">
        <v>6.1349693251533744E-3</v>
      </c>
      <c r="R116" s="11">
        <v>0.22064670207488071</v>
      </c>
      <c r="S116" s="11">
        <v>5.4848502530426783E-3</v>
      </c>
      <c r="T116" s="9" t="s">
        <v>40</v>
      </c>
      <c r="U116" s="9" t="s">
        <v>50</v>
      </c>
      <c r="V116" s="9" t="s">
        <v>33</v>
      </c>
      <c r="W116" s="9" t="s">
        <v>266</v>
      </c>
      <c r="X116" s="1" t="s">
        <v>31</v>
      </c>
      <c r="Y116" s="1" t="s">
        <v>31</v>
      </c>
      <c r="Z116" s="3" t="s">
        <v>31</v>
      </c>
      <c r="AA116" s="11" t="s">
        <v>31</v>
      </c>
      <c r="AB116" s="11" t="s">
        <v>31</v>
      </c>
      <c r="AC116" s="10">
        <v>0</v>
      </c>
      <c r="AD116" s="9" t="s">
        <v>41</v>
      </c>
      <c r="AE116" s="9" t="s">
        <v>35</v>
      </c>
    </row>
    <row r="117" spans="1:31" x14ac:dyDescent="0.25">
      <c r="A117" s="9" t="s">
        <v>547</v>
      </c>
      <c r="B117" s="1" t="s">
        <v>983</v>
      </c>
      <c r="C117" s="1" t="s">
        <v>246</v>
      </c>
      <c r="D117" s="10">
        <v>2</v>
      </c>
      <c r="E117" s="10">
        <v>2010</v>
      </c>
      <c r="F117" s="9" t="s">
        <v>38</v>
      </c>
      <c r="G117" s="9" t="s">
        <v>54</v>
      </c>
      <c r="H117" s="1">
        <v>10.95</v>
      </c>
      <c r="I117" s="1" t="s">
        <v>31</v>
      </c>
      <c r="J117" s="9" t="s">
        <v>43</v>
      </c>
      <c r="K117" s="1">
        <v>1</v>
      </c>
      <c r="L117" s="10">
        <v>143</v>
      </c>
      <c r="M117" s="3">
        <v>0.23</v>
      </c>
      <c r="N117" s="11">
        <v>6.3168902112676062E-3</v>
      </c>
      <c r="O117">
        <v>304</v>
      </c>
      <c r="P117" s="11">
        <v>0.2341894667593668</v>
      </c>
      <c r="Q117" s="11">
        <v>7.1428571428571426E-3</v>
      </c>
      <c r="R117" s="11">
        <v>0.23078429487174809</v>
      </c>
      <c r="S117" s="11">
        <v>6.3120703818783869E-3</v>
      </c>
      <c r="T117" s="9" t="s">
        <v>40</v>
      </c>
      <c r="U117" s="9" t="s">
        <v>50</v>
      </c>
      <c r="V117" s="9" t="s">
        <v>33</v>
      </c>
      <c r="W117" s="9" t="s">
        <v>266</v>
      </c>
      <c r="X117" s="1" t="s">
        <v>31</v>
      </c>
      <c r="Y117" s="1" t="s">
        <v>31</v>
      </c>
      <c r="Z117" s="3" t="s">
        <v>31</v>
      </c>
      <c r="AA117" s="11" t="s">
        <v>31</v>
      </c>
      <c r="AB117" s="11" t="s">
        <v>31</v>
      </c>
      <c r="AC117" s="10">
        <v>0</v>
      </c>
      <c r="AD117" s="9" t="s">
        <v>41</v>
      </c>
      <c r="AE117" s="9" t="s">
        <v>35</v>
      </c>
    </row>
    <row r="118" spans="1:31" x14ac:dyDescent="0.25">
      <c r="A118" s="9" t="s">
        <v>548</v>
      </c>
      <c r="B118" s="1" t="s">
        <v>984</v>
      </c>
      <c r="C118" s="1" t="s">
        <v>250</v>
      </c>
      <c r="D118" s="10">
        <v>2</v>
      </c>
      <c r="E118" s="10">
        <v>2010</v>
      </c>
      <c r="F118" s="9" t="s">
        <v>38</v>
      </c>
      <c r="G118" s="9" t="s">
        <v>54</v>
      </c>
      <c r="H118" s="1">
        <v>11.8</v>
      </c>
      <c r="I118" s="1">
        <v>3.8</v>
      </c>
      <c r="J118" s="9" t="s">
        <v>30</v>
      </c>
      <c r="K118" s="1">
        <v>0.48</v>
      </c>
      <c r="L118" s="10">
        <v>649</v>
      </c>
      <c r="M118" s="3">
        <v>0.13500000000000001</v>
      </c>
      <c r="N118" s="11">
        <v>1.4874724546682101E-3</v>
      </c>
      <c r="O118" t="s">
        <v>239</v>
      </c>
      <c r="P118" s="11">
        <v>0.1358292114918119</v>
      </c>
      <c r="Q118" s="11">
        <v>1.5479876160990711E-3</v>
      </c>
      <c r="R118" s="11">
        <v>0.13510277713273541</v>
      </c>
      <c r="S118" s="11">
        <v>1.4873883371664539E-3</v>
      </c>
      <c r="T118" s="9" t="s">
        <v>40</v>
      </c>
      <c r="U118" s="9" t="s">
        <v>50</v>
      </c>
      <c r="V118" s="9" t="s">
        <v>33</v>
      </c>
      <c r="W118" s="9" t="s">
        <v>266</v>
      </c>
      <c r="X118" s="1" t="s">
        <v>31</v>
      </c>
      <c r="Y118" s="1" t="s">
        <v>31</v>
      </c>
      <c r="Z118" s="3" t="s">
        <v>31</v>
      </c>
      <c r="AA118" s="11" t="s">
        <v>31</v>
      </c>
      <c r="AB118" s="11" t="s">
        <v>31</v>
      </c>
      <c r="AC118" s="10">
        <v>0</v>
      </c>
      <c r="AD118" s="9" t="s">
        <v>41</v>
      </c>
      <c r="AE118" s="9" t="s">
        <v>35</v>
      </c>
    </row>
    <row r="119" spans="1:31" x14ac:dyDescent="0.25">
      <c r="A119" s="9" t="s">
        <v>549</v>
      </c>
      <c r="B119" s="1" t="s">
        <v>985</v>
      </c>
      <c r="C119" s="1" t="s">
        <v>261</v>
      </c>
      <c r="D119" s="10">
        <v>2</v>
      </c>
      <c r="E119" s="10">
        <v>2011</v>
      </c>
      <c r="F119" s="9" t="s">
        <v>38</v>
      </c>
      <c r="G119" s="9" t="s">
        <v>29</v>
      </c>
      <c r="H119" s="1">
        <v>18.5</v>
      </c>
      <c r="I119" s="1">
        <v>1.4</v>
      </c>
      <c r="J119" s="9" t="s">
        <v>43</v>
      </c>
      <c r="K119" s="1">
        <v>1</v>
      </c>
      <c r="L119" s="10">
        <v>14</v>
      </c>
      <c r="M119" s="3">
        <v>0.56999999999999995</v>
      </c>
      <c r="N119" s="11">
        <v>3.5058462307692322E-2</v>
      </c>
      <c r="O119">
        <v>1060</v>
      </c>
      <c r="P119" s="11">
        <v>0.64752284482737277</v>
      </c>
      <c r="Q119" s="11">
        <v>9.0909090909090912E-2</v>
      </c>
      <c r="R119" s="11">
        <v>0.58817773848843979</v>
      </c>
      <c r="S119" s="11">
        <v>3.2905954624484202E-2</v>
      </c>
      <c r="T119" s="9" t="s">
        <v>40</v>
      </c>
      <c r="U119" s="9" t="s">
        <v>50</v>
      </c>
      <c r="V119" s="9" t="s">
        <v>33</v>
      </c>
      <c r="W119" s="9" t="s">
        <v>242</v>
      </c>
      <c r="X119" s="1">
        <v>13.9</v>
      </c>
      <c r="Y119" s="1">
        <v>15</v>
      </c>
      <c r="Z119" s="3">
        <f>X119/Y119</f>
        <v>0.92666666666666664</v>
      </c>
      <c r="AA119" s="11">
        <v>0.59929789763747843</v>
      </c>
      <c r="AB119" s="11">
        <v>0.23672504559744059</v>
      </c>
      <c r="AC119" s="10">
        <v>0</v>
      </c>
      <c r="AD119" s="9" t="s">
        <v>34</v>
      </c>
      <c r="AE119" s="9" t="s">
        <v>35</v>
      </c>
    </row>
    <row r="120" spans="1:31" x14ac:dyDescent="0.25">
      <c r="A120" s="9" t="s">
        <v>549</v>
      </c>
      <c r="B120" s="1" t="s">
        <v>986</v>
      </c>
      <c r="C120" s="1" t="s">
        <v>262</v>
      </c>
      <c r="D120" s="10">
        <v>2</v>
      </c>
      <c r="E120" s="10">
        <v>2011</v>
      </c>
      <c r="F120" s="9" t="s">
        <v>28</v>
      </c>
      <c r="G120" s="9" t="s">
        <v>29</v>
      </c>
      <c r="H120" s="1">
        <v>19.3</v>
      </c>
      <c r="I120" s="1">
        <v>0.8</v>
      </c>
      <c r="J120" s="9" t="s">
        <v>43</v>
      </c>
      <c r="K120" s="1">
        <v>1</v>
      </c>
      <c r="L120" s="10">
        <v>14</v>
      </c>
      <c r="M120" s="3">
        <v>0.28999999999999998</v>
      </c>
      <c r="N120" s="11">
        <v>6.4528677692307704E-2</v>
      </c>
      <c r="O120">
        <v>1060</v>
      </c>
      <c r="P120" s="11">
        <v>0.29856626366017841</v>
      </c>
      <c r="Q120" s="11">
        <v>9.0909090909090912E-2</v>
      </c>
      <c r="R120" s="11">
        <v>0.30328799807232992</v>
      </c>
      <c r="S120" s="11">
        <v>6.3422597301365014E-2</v>
      </c>
      <c r="T120" s="9" t="s">
        <v>40</v>
      </c>
      <c r="U120" s="9" t="s">
        <v>50</v>
      </c>
      <c r="V120" s="9" t="s">
        <v>33</v>
      </c>
      <c r="W120" s="9" t="s">
        <v>242</v>
      </c>
      <c r="X120" s="1">
        <v>17.600000000000001</v>
      </c>
      <c r="Y120" s="1">
        <v>15</v>
      </c>
      <c r="Z120" s="3">
        <f>X120/Y120</f>
        <v>1.1733333333333333</v>
      </c>
      <c r="AA120" s="11">
        <v>0.25005299445173468</v>
      </c>
      <c r="AB120" s="11">
        <v>0.243825099115099</v>
      </c>
      <c r="AC120" s="10">
        <v>0</v>
      </c>
      <c r="AD120" s="9" t="s">
        <v>34</v>
      </c>
      <c r="AE120" s="9" t="s">
        <v>35</v>
      </c>
    </row>
    <row r="121" spans="1:31" x14ac:dyDescent="0.25">
      <c r="A121" s="9" t="s">
        <v>550</v>
      </c>
      <c r="B121" s="1" t="s">
        <v>987</v>
      </c>
      <c r="C121" s="1" t="s">
        <v>253</v>
      </c>
      <c r="D121" s="10">
        <v>3</v>
      </c>
      <c r="E121" s="10">
        <v>2011</v>
      </c>
      <c r="F121" s="9" t="s">
        <v>38</v>
      </c>
      <c r="G121" s="9" t="s">
        <v>29</v>
      </c>
      <c r="H121" s="1">
        <v>22.56</v>
      </c>
      <c r="I121" s="1">
        <v>1.74</v>
      </c>
      <c r="J121" s="9" t="s">
        <v>30</v>
      </c>
      <c r="K121" s="1">
        <v>0.44</v>
      </c>
      <c r="L121" s="10">
        <v>27</v>
      </c>
      <c r="M121" s="3">
        <v>1.9E-2</v>
      </c>
      <c r="N121" s="11">
        <v>3.8433774243115393E-2</v>
      </c>
      <c r="O121">
        <v>1670</v>
      </c>
      <c r="P121" s="11">
        <v>1.9002286828680801E-2</v>
      </c>
      <c r="Q121" s="11">
        <v>4.1666666666666657E-2</v>
      </c>
      <c r="R121" s="11">
        <v>1.9417266208941849E-2</v>
      </c>
      <c r="S121" s="11">
        <v>3.8432541603759009E-2</v>
      </c>
      <c r="T121" s="9" t="s">
        <v>40</v>
      </c>
      <c r="U121" s="9" t="s">
        <v>50</v>
      </c>
      <c r="V121" s="9" t="s">
        <v>33</v>
      </c>
      <c r="W121" s="9" t="s">
        <v>266</v>
      </c>
      <c r="X121" s="1">
        <v>8.3699999999999992</v>
      </c>
      <c r="Y121" s="1">
        <v>15</v>
      </c>
      <c r="Z121" s="3">
        <f>X121/Y121</f>
        <v>0.55799999999999994</v>
      </c>
      <c r="AA121" s="11">
        <v>3.4036594263861152E-2</v>
      </c>
      <c r="AB121" s="11">
        <v>0.35792948808660818</v>
      </c>
      <c r="AC121" s="10">
        <v>1</v>
      </c>
      <c r="AD121" s="9" t="s">
        <v>41</v>
      </c>
      <c r="AE121" s="9" t="s">
        <v>35</v>
      </c>
    </row>
    <row r="122" spans="1:31" x14ac:dyDescent="0.25">
      <c r="A122" s="9" t="s">
        <v>550</v>
      </c>
      <c r="B122" s="1" t="s">
        <v>988</v>
      </c>
      <c r="C122" s="1" t="s">
        <v>257</v>
      </c>
      <c r="D122" s="10">
        <v>3</v>
      </c>
      <c r="E122" s="10">
        <v>2011</v>
      </c>
      <c r="F122" s="9" t="s">
        <v>28</v>
      </c>
      <c r="G122" s="9" t="s">
        <v>29</v>
      </c>
      <c r="H122" s="1">
        <v>23.07</v>
      </c>
      <c r="I122" s="1">
        <v>2.2400000000000002</v>
      </c>
      <c r="J122" s="9" t="s">
        <v>30</v>
      </c>
      <c r="K122" s="1">
        <v>0.46700000000000003</v>
      </c>
      <c r="L122" s="10">
        <v>30</v>
      </c>
      <c r="M122" s="3">
        <v>0.67900000000000005</v>
      </c>
      <c r="N122" s="11">
        <v>1.001644150624138E-2</v>
      </c>
      <c r="O122">
        <v>1670</v>
      </c>
      <c r="P122" s="11">
        <v>0.82725626697376253</v>
      </c>
      <c r="Q122" s="11">
        <v>3.7037037037037042E-2</v>
      </c>
      <c r="R122" s="11">
        <v>0.68581962315102418</v>
      </c>
      <c r="S122" s="11">
        <v>9.673470781447667E-3</v>
      </c>
      <c r="T122" s="9" t="s">
        <v>40</v>
      </c>
      <c r="U122" s="9" t="s">
        <v>50</v>
      </c>
      <c r="V122" s="9" t="s">
        <v>33</v>
      </c>
      <c r="W122" s="9" t="s">
        <v>266</v>
      </c>
      <c r="X122" s="1">
        <v>10.87</v>
      </c>
      <c r="Y122" s="1">
        <v>15</v>
      </c>
      <c r="Z122" s="3">
        <f>X122/Y122</f>
        <v>0.72466666666666657</v>
      </c>
      <c r="AA122" s="11">
        <v>0.78715927665988372</v>
      </c>
      <c r="AB122" s="11">
        <v>0.113515181983545</v>
      </c>
      <c r="AC122" s="10">
        <v>1</v>
      </c>
      <c r="AD122" s="9" t="s">
        <v>41</v>
      </c>
      <c r="AE122" s="9" t="s">
        <v>35</v>
      </c>
    </row>
    <row r="123" spans="1:31" x14ac:dyDescent="0.25">
      <c r="A123" s="9" t="s">
        <v>550</v>
      </c>
      <c r="B123" s="1" t="s">
        <v>989</v>
      </c>
      <c r="C123" s="1" t="s">
        <v>407</v>
      </c>
      <c r="D123" s="10">
        <v>3</v>
      </c>
      <c r="E123" s="10">
        <v>2011</v>
      </c>
      <c r="F123" s="9" t="s">
        <v>28</v>
      </c>
      <c r="G123" s="9" t="s">
        <v>29</v>
      </c>
      <c r="H123" s="1">
        <v>23.02</v>
      </c>
      <c r="I123" s="1">
        <v>1.55</v>
      </c>
      <c r="J123" s="9" t="s">
        <v>30</v>
      </c>
      <c r="K123" s="1">
        <v>0.27</v>
      </c>
      <c r="L123" s="10">
        <v>37</v>
      </c>
      <c r="M123" s="3">
        <v>0.40600000000000003</v>
      </c>
      <c r="N123" s="11">
        <v>1.9374969636000001E-2</v>
      </c>
      <c r="O123">
        <v>1670</v>
      </c>
      <c r="P123" s="11">
        <v>0.43081237650398269</v>
      </c>
      <c r="Q123" s="11">
        <v>2.9411764705882349E-2</v>
      </c>
      <c r="R123" s="11">
        <v>0.41111518479420761</v>
      </c>
      <c r="S123" s="11">
        <v>1.9181525413236072E-2</v>
      </c>
      <c r="T123" s="9" t="s">
        <v>40</v>
      </c>
      <c r="U123" s="9" t="s">
        <v>50</v>
      </c>
      <c r="V123" s="9" t="s">
        <v>33</v>
      </c>
      <c r="W123" s="9" t="s">
        <v>266</v>
      </c>
      <c r="X123" s="1">
        <v>12.25</v>
      </c>
      <c r="Y123" s="1">
        <v>15</v>
      </c>
      <c r="Z123" s="3">
        <f>X123/Y123</f>
        <v>0.81666666666666665</v>
      </c>
      <c r="AA123" s="11">
        <v>0.47786405175607122</v>
      </c>
      <c r="AB123" s="11">
        <v>0.167987320367946</v>
      </c>
      <c r="AC123" s="10">
        <v>1</v>
      </c>
      <c r="AD123" s="9" t="s">
        <v>41</v>
      </c>
      <c r="AE123" s="9" t="s">
        <v>35</v>
      </c>
    </row>
    <row r="124" spans="1:31" x14ac:dyDescent="0.25">
      <c r="A124" s="9" t="s">
        <v>244</v>
      </c>
      <c r="B124" s="1" t="s">
        <v>990</v>
      </c>
      <c r="C124" s="1" t="s">
        <v>408</v>
      </c>
      <c r="D124" s="10">
        <v>2</v>
      </c>
      <c r="E124" s="10">
        <v>2011</v>
      </c>
      <c r="F124" s="9" t="s">
        <v>38</v>
      </c>
      <c r="G124" s="9" t="s">
        <v>29</v>
      </c>
      <c r="H124" s="1">
        <v>21.1</v>
      </c>
      <c r="I124" s="1">
        <v>2.5499999999999998</v>
      </c>
      <c r="J124" s="9" t="s">
        <v>30</v>
      </c>
      <c r="K124" s="1">
        <v>0.36</v>
      </c>
      <c r="L124" s="10">
        <v>80</v>
      </c>
      <c r="M124" s="3">
        <v>0.28899999999999998</v>
      </c>
      <c r="N124" s="11">
        <v>1.0632072879000001E-2</v>
      </c>
      <c r="O124" t="s">
        <v>63</v>
      </c>
      <c r="P124" s="11">
        <v>0.29747478656797322</v>
      </c>
      <c r="Q124" s="11">
        <v>1.298701298701299E-2</v>
      </c>
      <c r="R124" s="11">
        <v>0.29074378685232011</v>
      </c>
      <c r="S124" s="11">
        <v>1.0608629763488321E-2</v>
      </c>
      <c r="T124" s="9" t="s">
        <v>40</v>
      </c>
      <c r="U124" s="9" t="s">
        <v>31</v>
      </c>
      <c r="V124" s="9" t="s">
        <v>33</v>
      </c>
      <c r="W124" s="9" t="s">
        <v>247</v>
      </c>
      <c r="X124" s="1" t="s">
        <v>31</v>
      </c>
      <c r="Y124" s="1" t="s">
        <v>31</v>
      </c>
      <c r="Z124" s="3" t="s">
        <v>31</v>
      </c>
      <c r="AA124" s="11" t="s">
        <v>31</v>
      </c>
      <c r="AB124" s="11" t="s">
        <v>31</v>
      </c>
      <c r="AC124" s="10">
        <v>0</v>
      </c>
      <c r="AD124" s="9" t="s">
        <v>34</v>
      </c>
      <c r="AE124" s="9" t="s">
        <v>63</v>
      </c>
    </row>
    <row r="125" spans="1:31" x14ac:dyDescent="0.25">
      <c r="A125" s="9" t="s">
        <v>248</v>
      </c>
      <c r="B125" s="1" t="s">
        <v>991</v>
      </c>
      <c r="C125" s="1" t="s">
        <v>409</v>
      </c>
      <c r="D125" s="10">
        <v>2</v>
      </c>
      <c r="E125" s="10">
        <v>2011</v>
      </c>
      <c r="F125" s="9" t="s">
        <v>28</v>
      </c>
      <c r="G125" s="9" t="s">
        <v>29</v>
      </c>
      <c r="H125" s="1">
        <v>81.7</v>
      </c>
      <c r="I125" s="1">
        <v>6.7</v>
      </c>
      <c r="J125" s="9" t="s">
        <v>30</v>
      </c>
      <c r="K125" s="1">
        <v>0.43</v>
      </c>
      <c r="L125" s="10">
        <v>194</v>
      </c>
      <c r="M125" s="3">
        <v>0</v>
      </c>
      <c r="N125" s="11">
        <v>5.1813471502590684E-3</v>
      </c>
      <c r="O125" t="s">
        <v>63</v>
      </c>
      <c r="P125" s="11">
        <v>0</v>
      </c>
      <c r="Q125" s="11">
        <v>5.235602094240838E-3</v>
      </c>
      <c r="R125" s="11">
        <v>0</v>
      </c>
      <c r="S125" s="11">
        <v>5.1813471502590684E-3</v>
      </c>
      <c r="T125" s="9" t="s">
        <v>40</v>
      </c>
      <c r="U125" s="9" t="s">
        <v>46</v>
      </c>
      <c r="V125" s="9" t="s">
        <v>33</v>
      </c>
      <c r="W125" s="9" t="s">
        <v>335</v>
      </c>
      <c r="X125" s="1" t="s">
        <v>31</v>
      </c>
      <c r="Y125" s="1" t="s">
        <v>31</v>
      </c>
      <c r="Z125" s="3" t="s">
        <v>31</v>
      </c>
      <c r="AA125" s="11" t="s">
        <v>31</v>
      </c>
      <c r="AB125" s="11" t="s">
        <v>31</v>
      </c>
      <c r="AC125" s="10">
        <v>0</v>
      </c>
      <c r="AD125" s="9" t="s">
        <v>34</v>
      </c>
      <c r="AE125" s="9" t="s">
        <v>63</v>
      </c>
    </row>
    <row r="126" spans="1:31" x14ac:dyDescent="0.25">
      <c r="A126" s="9" t="s">
        <v>255</v>
      </c>
      <c r="B126" s="1" t="s">
        <v>992</v>
      </c>
      <c r="C126" s="1" t="s">
        <v>410</v>
      </c>
      <c r="D126" s="10">
        <v>2</v>
      </c>
      <c r="E126" s="10">
        <v>2012</v>
      </c>
      <c r="F126" s="9" t="s">
        <v>38</v>
      </c>
      <c r="G126" s="9" t="s">
        <v>54</v>
      </c>
      <c r="H126" s="1">
        <v>15.1</v>
      </c>
      <c r="I126" s="1">
        <v>0.75</v>
      </c>
      <c r="J126" s="9" t="s">
        <v>43</v>
      </c>
      <c r="K126" s="1">
        <v>1</v>
      </c>
      <c r="L126" s="10">
        <v>30</v>
      </c>
      <c r="M126" s="3">
        <v>0.4</v>
      </c>
      <c r="N126" s="11">
        <v>2.4331034482758619E-2</v>
      </c>
      <c r="O126">
        <v>1060</v>
      </c>
      <c r="P126" s="11">
        <v>0.42364893019360178</v>
      </c>
      <c r="Q126" s="11">
        <v>3.7037037037037042E-2</v>
      </c>
      <c r="R126" s="11">
        <v>0.40642714036640931</v>
      </c>
      <c r="S126" s="11">
        <v>2.403170308221932E-2</v>
      </c>
      <c r="T126" s="9" t="s">
        <v>40</v>
      </c>
      <c r="U126" s="9" t="s">
        <v>50</v>
      </c>
      <c r="V126" s="9" t="s">
        <v>33</v>
      </c>
      <c r="W126" s="9" t="s">
        <v>258</v>
      </c>
      <c r="X126" s="1">
        <v>11</v>
      </c>
      <c r="Y126" s="1">
        <v>15</v>
      </c>
      <c r="Z126" s="3">
        <f t="shared" ref="Z126:Z137" si="4">X126/Y126</f>
        <v>0.73333333333333328</v>
      </c>
      <c r="AA126" s="11">
        <v>0.51142142549476777</v>
      </c>
      <c r="AB126" s="11">
        <v>0.1946795173230618</v>
      </c>
      <c r="AC126" s="10">
        <v>0</v>
      </c>
      <c r="AD126" s="9" t="s">
        <v>34</v>
      </c>
      <c r="AE126" s="9" t="s">
        <v>35</v>
      </c>
    </row>
    <row r="127" spans="1:31" x14ac:dyDescent="0.25">
      <c r="A127" s="9" t="s">
        <v>251</v>
      </c>
      <c r="B127" s="1" t="s">
        <v>993</v>
      </c>
      <c r="C127" s="1" t="s">
        <v>405</v>
      </c>
      <c r="D127" s="10">
        <v>2</v>
      </c>
      <c r="E127" s="10">
        <v>2012</v>
      </c>
      <c r="F127" s="9" t="s">
        <v>38</v>
      </c>
      <c r="G127" s="9" t="s">
        <v>29</v>
      </c>
      <c r="H127" s="1">
        <v>19.88</v>
      </c>
      <c r="I127" s="1">
        <v>1.67</v>
      </c>
      <c r="J127" s="9" t="s">
        <v>30</v>
      </c>
      <c r="K127" s="1">
        <v>0.44</v>
      </c>
      <c r="L127" s="10">
        <v>100</v>
      </c>
      <c r="M127" s="3">
        <v>0.17</v>
      </c>
      <c r="N127" s="11">
        <v>9.5256081818181817E-3</v>
      </c>
      <c r="O127">
        <v>63</v>
      </c>
      <c r="P127" s="11">
        <v>0.1716666635005791</v>
      </c>
      <c r="Q127" s="11">
        <v>1.030927835051546E-2</v>
      </c>
      <c r="R127" s="11">
        <v>0.17086145945539871</v>
      </c>
      <c r="S127" s="11">
        <v>9.519848402669933E-3</v>
      </c>
      <c r="T127" s="9" t="s">
        <v>40</v>
      </c>
      <c r="U127" s="9" t="s">
        <v>50</v>
      </c>
      <c r="V127" s="9" t="s">
        <v>33</v>
      </c>
      <c r="W127" s="9" t="s">
        <v>254</v>
      </c>
      <c r="X127" s="1">
        <v>4.54</v>
      </c>
      <c r="Y127" s="1">
        <v>7.4</v>
      </c>
      <c r="Z127" s="3">
        <f t="shared" si="4"/>
        <v>0.61351351351351346</v>
      </c>
      <c r="AA127" s="11">
        <v>0.27068797223416791</v>
      </c>
      <c r="AB127" s="11">
        <v>0.15126112200594921</v>
      </c>
      <c r="AC127" s="10">
        <v>0</v>
      </c>
      <c r="AD127" s="9" t="s">
        <v>41</v>
      </c>
      <c r="AE127" s="9" t="s">
        <v>35</v>
      </c>
    </row>
    <row r="128" spans="1:31" x14ac:dyDescent="0.25">
      <c r="A128" s="9" t="s">
        <v>259</v>
      </c>
      <c r="B128" s="1" t="s">
        <v>496</v>
      </c>
      <c r="C128" s="1" t="s">
        <v>411</v>
      </c>
      <c r="D128" s="10">
        <v>2</v>
      </c>
      <c r="E128" s="10">
        <v>2013</v>
      </c>
      <c r="F128" s="9" t="s">
        <v>38</v>
      </c>
      <c r="G128" s="9" t="s">
        <v>29</v>
      </c>
      <c r="H128" s="1">
        <v>72.47</v>
      </c>
      <c r="I128" s="1">
        <v>0.73</v>
      </c>
      <c r="J128" s="9" t="s">
        <v>39</v>
      </c>
      <c r="K128" s="1">
        <v>1</v>
      </c>
      <c r="L128" s="10">
        <v>293</v>
      </c>
      <c r="M128" s="3">
        <v>0.26</v>
      </c>
      <c r="N128" s="11">
        <v>2.977293698630137E-3</v>
      </c>
      <c r="O128">
        <v>2729</v>
      </c>
      <c r="P128" s="11">
        <v>0.26610840687365411</v>
      </c>
      <c r="Q128" s="11">
        <v>3.4482758620689659E-3</v>
      </c>
      <c r="R128" s="11">
        <v>0.26041955856124721</v>
      </c>
      <c r="S128" s="11">
        <v>2.9758994354691071E-3</v>
      </c>
      <c r="T128" s="9" t="s">
        <v>40</v>
      </c>
      <c r="U128" s="9" t="s">
        <v>50</v>
      </c>
      <c r="V128" s="9" t="s">
        <v>33</v>
      </c>
      <c r="W128" s="9" t="s">
        <v>336</v>
      </c>
      <c r="X128" s="1">
        <v>14.03</v>
      </c>
      <c r="Y128" s="1">
        <v>15</v>
      </c>
      <c r="Z128" s="3">
        <f t="shared" si="4"/>
        <v>0.93533333333333324</v>
      </c>
      <c r="AA128" s="11">
        <v>0.2766413508068567</v>
      </c>
      <c r="AB128" s="11">
        <v>5.9651134458604281E-2</v>
      </c>
      <c r="AC128" s="10">
        <v>0</v>
      </c>
      <c r="AD128" s="9" t="s">
        <v>41</v>
      </c>
      <c r="AE128" s="9" t="s">
        <v>35</v>
      </c>
    </row>
    <row r="129" spans="1:31" x14ac:dyDescent="0.25">
      <c r="A129" s="9" t="s">
        <v>259</v>
      </c>
      <c r="B129" s="1" t="s">
        <v>496</v>
      </c>
      <c r="C129" s="1" t="s">
        <v>412</v>
      </c>
      <c r="D129" s="10">
        <v>2</v>
      </c>
      <c r="E129" s="10">
        <v>2013</v>
      </c>
      <c r="F129" s="9" t="s">
        <v>38</v>
      </c>
      <c r="G129" s="9" t="s">
        <v>29</v>
      </c>
      <c r="H129" s="1">
        <v>72.599999999999994</v>
      </c>
      <c r="I129" s="1">
        <v>0.7</v>
      </c>
      <c r="J129" s="9" t="s">
        <v>43</v>
      </c>
      <c r="K129" s="1">
        <v>0</v>
      </c>
      <c r="L129" s="10">
        <v>327</v>
      </c>
      <c r="M129" s="3">
        <v>0.27</v>
      </c>
      <c r="N129" s="11">
        <v>2.6365472699386499E-3</v>
      </c>
      <c r="O129">
        <v>2729</v>
      </c>
      <c r="P129" s="11">
        <v>0.27686382265510012</v>
      </c>
      <c r="Q129" s="11">
        <v>3.08641975308642E-3</v>
      </c>
      <c r="R129" s="11">
        <v>0.27038758904938431</v>
      </c>
      <c r="S129" s="11">
        <v>2.6353561190447811E-3</v>
      </c>
      <c r="T129" s="9" t="s">
        <v>40</v>
      </c>
      <c r="U129" s="9" t="s">
        <v>50</v>
      </c>
      <c r="V129" s="9" t="s">
        <v>33</v>
      </c>
      <c r="W129" s="9" t="s">
        <v>336</v>
      </c>
      <c r="X129" s="1">
        <v>14.15</v>
      </c>
      <c r="Y129" s="1">
        <v>15</v>
      </c>
      <c r="Z129" s="3">
        <f t="shared" si="4"/>
        <v>0.94333333333333336</v>
      </c>
      <c r="AA129" s="11">
        <v>0.28493670830100259</v>
      </c>
      <c r="AB129" s="11">
        <v>5.5860637506020092E-2</v>
      </c>
      <c r="AC129" s="10">
        <v>0</v>
      </c>
      <c r="AD129" s="9" t="s">
        <v>41</v>
      </c>
      <c r="AE129" s="9" t="s">
        <v>35</v>
      </c>
    </row>
    <row r="130" spans="1:31" x14ac:dyDescent="0.25">
      <c r="A130" s="9" t="s">
        <v>551</v>
      </c>
      <c r="B130" s="1" t="s">
        <v>994</v>
      </c>
      <c r="C130" s="1" t="s">
        <v>413</v>
      </c>
      <c r="D130" s="10">
        <v>3</v>
      </c>
      <c r="E130" s="10">
        <v>2013</v>
      </c>
      <c r="F130" s="9" t="s">
        <v>38</v>
      </c>
      <c r="G130" s="9" t="s">
        <v>54</v>
      </c>
      <c r="H130" s="1">
        <v>14.9</v>
      </c>
      <c r="I130" s="1">
        <v>3.2</v>
      </c>
      <c r="J130" s="9" t="s">
        <v>30</v>
      </c>
      <c r="K130" s="1">
        <v>0.53</v>
      </c>
      <c r="L130" s="10">
        <v>36</v>
      </c>
      <c r="M130" s="3">
        <v>0.25</v>
      </c>
      <c r="N130" s="11">
        <v>2.511160714285714E-2</v>
      </c>
      <c r="O130">
        <v>696</v>
      </c>
      <c r="P130" s="11">
        <v>0.25541281188299542</v>
      </c>
      <c r="Q130" s="11">
        <v>3.03030303030303E-2</v>
      </c>
      <c r="R130" s="11">
        <v>0.25367308053704268</v>
      </c>
      <c r="S130" s="11">
        <v>2.501259608608454E-2</v>
      </c>
      <c r="T130" s="9" t="s">
        <v>40</v>
      </c>
      <c r="U130" s="9" t="s">
        <v>50</v>
      </c>
      <c r="V130" s="9" t="s">
        <v>33</v>
      </c>
      <c r="W130" s="9" t="s">
        <v>964</v>
      </c>
      <c r="X130" s="1">
        <v>12.7</v>
      </c>
      <c r="Y130" s="1">
        <v>15</v>
      </c>
      <c r="Z130" s="3">
        <f t="shared" si="4"/>
        <v>0.84666666666666657</v>
      </c>
      <c r="AA130" s="11">
        <v>0.29169688451792047</v>
      </c>
      <c r="AB130" s="11">
        <v>0.18908037257710231</v>
      </c>
      <c r="AC130" s="10">
        <v>0</v>
      </c>
      <c r="AD130" s="9" t="s">
        <v>41</v>
      </c>
      <c r="AE130" s="9" t="s">
        <v>35</v>
      </c>
    </row>
    <row r="131" spans="1:31" x14ac:dyDescent="0.25">
      <c r="A131" s="9" t="s">
        <v>551</v>
      </c>
      <c r="B131" s="1" t="s">
        <v>995</v>
      </c>
      <c r="C131" s="1" t="s">
        <v>414</v>
      </c>
      <c r="D131" s="10">
        <v>3</v>
      </c>
      <c r="E131" s="10">
        <v>2013</v>
      </c>
      <c r="F131" s="9" t="s">
        <v>28</v>
      </c>
      <c r="G131" s="9" t="s">
        <v>54</v>
      </c>
      <c r="H131" s="1">
        <v>14.6</v>
      </c>
      <c r="I131" s="1">
        <v>4.2</v>
      </c>
      <c r="J131" s="9" t="s">
        <v>30</v>
      </c>
      <c r="K131" s="1">
        <v>0.49</v>
      </c>
      <c r="L131" s="10">
        <v>108</v>
      </c>
      <c r="M131" s="3">
        <v>0.23</v>
      </c>
      <c r="N131" s="11">
        <v>8.3831627102803757E-3</v>
      </c>
      <c r="O131">
        <v>696</v>
      </c>
      <c r="P131" s="11">
        <v>0.2341894667593668</v>
      </c>
      <c r="Q131" s="11">
        <v>9.5238095238095247E-3</v>
      </c>
      <c r="R131" s="11">
        <v>0.23104855606280961</v>
      </c>
      <c r="S131" s="11">
        <v>8.3746067349775924E-3</v>
      </c>
      <c r="T131" s="9" t="s">
        <v>40</v>
      </c>
      <c r="U131" s="9" t="s">
        <v>50</v>
      </c>
      <c r="V131" s="9" t="s">
        <v>33</v>
      </c>
      <c r="W131" s="9" t="s">
        <v>964</v>
      </c>
      <c r="X131" s="1">
        <v>17.899999999999999</v>
      </c>
      <c r="Y131" s="1">
        <v>15</v>
      </c>
      <c r="Z131" s="3">
        <f t="shared" si="4"/>
        <v>1.1933333333333331</v>
      </c>
      <c r="AA131" s="11">
        <v>0.19427363045087731</v>
      </c>
      <c r="AB131" s="11">
        <v>8.1119747394579278E-2</v>
      </c>
      <c r="AC131" s="10">
        <v>0</v>
      </c>
      <c r="AD131" s="9" t="s">
        <v>41</v>
      </c>
      <c r="AE131" s="9" t="s">
        <v>35</v>
      </c>
    </row>
    <row r="132" spans="1:31" x14ac:dyDescent="0.25">
      <c r="A132" s="9" t="s">
        <v>552</v>
      </c>
      <c r="B132" s="1" t="s">
        <v>996</v>
      </c>
      <c r="C132" s="1" t="s">
        <v>415</v>
      </c>
      <c r="D132" s="10">
        <v>3</v>
      </c>
      <c r="E132" s="10">
        <v>2014</v>
      </c>
      <c r="F132" s="9" t="s">
        <v>38</v>
      </c>
      <c r="G132" s="9" t="s">
        <v>29</v>
      </c>
      <c r="H132" s="1">
        <v>20.3</v>
      </c>
      <c r="I132" s="1">
        <v>0.77</v>
      </c>
      <c r="J132" s="9" t="s">
        <v>30</v>
      </c>
      <c r="K132" s="1">
        <v>0.42</v>
      </c>
      <c r="L132" s="10">
        <v>60</v>
      </c>
      <c r="M132" s="3">
        <v>0.36099999999999999</v>
      </c>
      <c r="N132" s="11">
        <v>1.2819348526118639E-2</v>
      </c>
      <c r="O132">
        <v>585</v>
      </c>
      <c r="P132" s="11">
        <v>0.37803527413696558</v>
      </c>
      <c r="Q132" s="11">
        <v>1.754385964912281E-2</v>
      </c>
      <c r="R132" s="11">
        <v>0.36380040910108108</v>
      </c>
      <c r="S132" s="11">
        <v>1.275958038026233E-2</v>
      </c>
      <c r="T132" s="9" t="s">
        <v>40</v>
      </c>
      <c r="U132" s="9" t="s">
        <v>46</v>
      </c>
      <c r="V132" s="9" t="s">
        <v>33</v>
      </c>
      <c r="W132" s="9" t="s">
        <v>247</v>
      </c>
      <c r="X132" s="1">
        <v>11.62</v>
      </c>
      <c r="Y132" s="1">
        <v>15</v>
      </c>
      <c r="Z132" s="3">
        <f t="shared" si="4"/>
        <v>0.77466666666666661</v>
      </c>
      <c r="AA132" s="11">
        <v>0.44700177017243742</v>
      </c>
      <c r="AB132" s="11">
        <v>0.1395087206677556</v>
      </c>
      <c r="AC132" s="10">
        <v>0</v>
      </c>
      <c r="AD132" s="9" t="s">
        <v>41</v>
      </c>
      <c r="AE132" s="9" t="s">
        <v>35</v>
      </c>
    </row>
    <row r="133" spans="1:31" x14ac:dyDescent="0.25">
      <c r="A133" s="9" t="s">
        <v>552</v>
      </c>
      <c r="B133" s="1" t="s">
        <v>997</v>
      </c>
      <c r="C133" s="1" t="s">
        <v>416</v>
      </c>
      <c r="D133" s="10">
        <v>3</v>
      </c>
      <c r="E133" s="10">
        <v>2014</v>
      </c>
      <c r="F133" s="9" t="s">
        <v>28</v>
      </c>
      <c r="G133" s="9" t="s">
        <v>29</v>
      </c>
      <c r="H133" s="1">
        <v>20.100000000000001</v>
      </c>
      <c r="I133" s="1">
        <v>0.99</v>
      </c>
      <c r="J133" s="9" t="s">
        <v>30</v>
      </c>
      <c r="K133" s="1">
        <v>0.41</v>
      </c>
      <c r="L133" s="10">
        <v>43</v>
      </c>
      <c r="M133" s="3">
        <v>0.55500000000000005</v>
      </c>
      <c r="N133" s="11">
        <v>1.140070001488095E-2</v>
      </c>
      <c r="O133">
        <v>584</v>
      </c>
      <c r="P133" s="11">
        <v>0.62557827122354726</v>
      </c>
      <c r="Q133" s="11">
        <v>2.5000000000000001E-2</v>
      </c>
      <c r="R133" s="11">
        <v>0.55986504452270769</v>
      </c>
      <c r="S133" s="11">
        <v>1.1222677541495521E-2</v>
      </c>
      <c r="T133" s="9" t="s">
        <v>40</v>
      </c>
      <c r="U133" s="9" t="s">
        <v>46</v>
      </c>
      <c r="V133" s="9" t="s">
        <v>33</v>
      </c>
      <c r="W133" s="9" t="s">
        <v>247</v>
      </c>
      <c r="X133" s="1">
        <v>13.14</v>
      </c>
      <c r="Y133" s="1">
        <v>15</v>
      </c>
      <c r="Z133" s="3">
        <f t="shared" si="4"/>
        <v>0.876</v>
      </c>
      <c r="AA133" s="11">
        <v>0.60590458147979021</v>
      </c>
      <c r="AB133" s="11">
        <v>0.12971650712472491</v>
      </c>
      <c r="AC133" s="10">
        <v>2</v>
      </c>
      <c r="AD133" s="9" t="s">
        <v>41</v>
      </c>
      <c r="AE133" s="9" t="s">
        <v>35</v>
      </c>
    </row>
    <row r="134" spans="1:31" x14ac:dyDescent="0.25">
      <c r="A134" s="9" t="s">
        <v>553</v>
      </c>
      <c r="B134" s="1" t="s">
        <v>998</v>
      </c>
      <c r="C134" s="1" t="s">
        <v>417</v>
      </c>
      <c r="D134" s="10">
        <v>3</v>
      </c>
      <c r="E134" s="10">
        <v>2014</v>
      </c>
      <c r="F134" s="9" t="s">
        <v>28</v>
      </c>
      <c r="G134" s="9" t="s">
        <v>54</v>
      </c>
      <c r="H134" s="1">
        <v>10.17</v>
      </c>
      <c r="I134" s="1">
        <v>0.8</v>
      </c>
      <c r="J134" s="9" t="s">
        <v>30</v>
      </c>
      <c r="K134" s="1">
        <v>0.34799999999999998</v>
      </c>
      <c r="L134" s="10">
        <v>21</v>
      </c>
      <c r="M134" s="3">
        <v>0</v>
      </c>
      <c r="N134" s="11">
        <v>0.05</v>
      </c>
      <c r="O134">
        <v>575</v>
      </c>
      <c r="P134" s="11">
        <v>0</v>
      </c>
      <c r="Q134" s="11">
        <v>5.5555555555555552E-2</v>
      </c>
      <c r="R134" s="11">
        <v>0</v>
      </c>
      <c r="S134" s="11">
        <v>0.05</v>
      </c>
      <c r="T134" s="9" t="s">
        <v>40</v>
      </c>
      <c r="U134" s="9" t="s">
        <v>50</v>
      </c>
      <c r="V134" s="9" t="s">
        <v>33</v>
      </c>
      <c r="W134" s="9" t="s">
        <v>264</v>
      </c>
      <c r="X134" s="1">
        <v>19.8</v>
      </c>
      <c r="Y134" s="1">
        <v>15</v>
      </c>
      <c r="Z134" s="3">
        <f t="shared" si="4"/>
        <v>1.32</v>
      </c>
      <c r="AA134" s="11">
        <v>0</v>
      </c>
      <c r="AB134" s="11" t="s">
        <v>31</v>
      </c>
      <c r="AC134" s="10">
        <v>3</v>
      </c>
      <c r="AD134" s="9" t="s">
        <v>34</v>
      </c>
      <c r="AE134" s="9" t="s">
        <v>35</v>
      </c>
    </row>
    <row r="135" spans="1:31" x14ac:dyDescent="0.25">
      <c r="A135" s="9" t="s">
        <v>554</v>
      </c>
      <c r="B135" s="1" t="s">
        <v>999</v>
      </c>
      <c r="C135" s="1" t="s">
        <v>418</v>
      </c>
      <c r="D135" s="10">
        <v>3</v>
      </c>
      <c r="E135" s="10">
        <v>2014</v>
      </c>
      <c r="F135" s="9" t="s">
        <v>38</v>
      </c>
      <c r="G135" s="9" t="s">
        <v>54</v>
      </c>
      <c r="H135" s="1">
        <v>11.7</v>
      </c>
      <c r="I135" s="1">
        <v>3.7</v>
      </c>
      <c r="J135" s="9" t="s">
        <v>30</v>
      </c>
      <c r="K135" s="1">
        <v>0.41699999999999998</v>
      </c>
      <c r="L135" s="10">
        <v>102</v>
      </c>
      <c r="M135" s="3">
        <v>0.185</v>
      </c>
      <c r="N135" s="11">
        <v>9.2348648576732681E-3</v>
      </c>
      <c r="O135">
        <v>21</v>
      </c>
      <c r="P135" s="11">
        <v>0.1871549701641845</v>
      </c>
      <c r="Q135" s="11">
        <v>1.01010101010101E-2</v>
      </c>
      <c r="R135" s="11">
        <v>0.18591315426045779</v>
      </c>
      <c r="S135" s="11">
        <v>9.2283885897785217E-3</v>
      </c>
      <c r="T135" s="9" t="s">
        <v>40</v>
      </c>
      <c r="U135" s="9" t="s">
        <v>50</v>
      </c>
      <c r="V135" s="9" t="s">
        <v>33</v>
      </c>
      <c r="W135" s="9" t="s">
        <v>265</v>
      </c>
      <c r="X135" s="1">
        <v>13.59</v>
      </c>
      <c r="Y135" s="1">
        <v>15</v>
      </c>
      <c r="Z135" s="3">
        <f t="shared" si="4"/>
        <v>0.90600000000000003</v>
      </c>
      <c r="AA135" s="11">
        <v>0.2034358114440579</v>
      </c>
      <c r="AB135" s="11">
        <v>0.10726583215120131</v>
      </c>
      <c r="AC135" s="10">
        <v>6</v>
      </c>
      <c r="AD135" s="9" t="s">
        <v>34</v>
      </c>
      <c r="AE135" s="9" t="s">
        <v>35</v>
      </c>
    </row>
    <row r="136" spans="1:31" x14ac:dyDescent="0.25">
      <c r="A136" s="9" t="s">
        <v>555</v>
      </c>
      <c r="B136" s="1" t="s">
        <v>498</v>
      </c>
      <c r="C136" s="1" t="s">
        <v>419</v>
      </c>
      <c r="D136" s="10">
        <v>3</v>
      </c>
      <c r="E136" s="10">
        <v>2014</v>
      </c>
      <c r="F136" s="9" t="s">
        <v>38</v>
      </c>
      <c r="G136" s="9" t="s">
        <v>54</v>
      </c>
      <c r="H136" s="1">
        <v>11.6</v>
      </c>
      <c r="I136" s="1">
        <v>3.6</v>
      </c>
      <c r="J136" s="9" t="s">
        <v>43</v>
      </c>
      <c r="K136" s="1">
        <v>1</v>
      </c>
      <c r="L136" s="10">
        <v>142</v>
      </c>
      <c r="M136" s="3">
        <v>0.23</v>
      </c>
      <c r="N136" s="11">
        <v>6.3616908510638311E-3</v>
      </c>
      <c r="O136">
        <v>57</v>
      </c>
      <c r="P136" s="11">
        <v>0.2341894667593668</v>
      </c>
      <c r="Q136" s="11">
        <v>7.1942446043165471E-3</v>
      </c>
      <c r="R136" s="11">
        <v>0.23078998333024711</v>
      </c>
      <c r="S136" s="11">
        <v>6.3568015789539139E-3</v>
      </c>
      <c r="T136" s="9" t="s">
        <v>40</v>
      </c>
      <c r="U136" s="9" t="s">
        <v>50</v>
      </c>
      <c r="V136" s="9" t="s">
        <v>33</v>
      </c>
      <c r="W136" s="9" t="s">
        <v>266</v>
      </c>
      <c r="X136" s="1">
        <v>12.8</v>
      </c>
      <c r="Y136" s="1">
        <v>15</v>
      </c>
      <c r="Z136" s="3">
        <f t="shared" si="4"/>
        <v>0.85333333333333339</v>
      </c>
      <c r="AA136" s="11">
        <v>0.26690879652476762</v>
      </c>
      <c r="AB136" s="11">
        <v>9.3600134941971808E-2</v>
      </c>
      <c r="AC136" s="10">
        <v>0</v>
      </c>
      <c r="AD136" s="9" t="s">
        <v>34</v>
      </c>
      <c r="AE136" s="9" t="s">
        <v>35</v>
      </c>
    </row>
    <row r="137" spans="1:31" x14ac:dyDescent="0.25">
      <c r="A137" s="9" t="s">
        <v>555</v>
      </c>
      <c r="B137" s="1" t="s">
        <v>499</v>
      </c>
      <c r="C137" s="1" t="s">
        <v>420</v>
      </c>
      <c r="D137" s="10">
        <v>3</v>
      </c>
      <c r="E137" s="10">
        <v>2014</v>
      </c>
      <c r="F137" s="9" t="s">
        <v>38</v>
      </c>
      <c r="G137" s="9" t="s">
        <v>54</v>
      </c>
      <c r="H137" s="1">
        <v>11.3</v>
      </c>
      <c r="I137" s="1">
        <v>3.5</v>
      </c>
      <c r="J137" s="9" t="s">
        <v>39</v>
      </c>
      <c r="K137" s="1">
        <v>0</v>
      </c>
      <c r="L137" s="10">
        <v>161</v>
      </c>
      <c r="M137" s="3">
        <v>0.216</v>
      </c>
      <c r="N137" s="11">
        <v>5.6804048895999996E-3</v>
      </c>
      <c r="O137">
        <v>57</v>
      </c>
      <c r="P137" s="11">
        <v>0.21945652108785221</v>
      </c>
      <c r="Q137" s="11">
        <v>6.3291139240506328E-3</v>
      </c>
      <c r="R137" s="11">
        <v>0.2166563999213422</v>
      </c>
      <c r="S137" s="11">
        <v>5.6770210745981133E-3</v>
      </c>
      <c r="T137" s="9" t="s">
        <v>40</v>
      </c>
      <c r="U137" s="9" t="s">
        <v>50</v>
      </c>
      <c r="V137" s="9" t="s">
        <v>33</v>
      </c>
      <c r="W137" s="9" t="s">
        <v>266</v>
      </c>
      <c r="X137" s="1">
        <v>12</v>
      </c>
      <c r="Y137" s="1">
        <v>15</v>
      </c>
      <c r="Z137" s="3">
        <f t="shared" si="4"/>
        <v>0.8</v>
      </c>
      <c r="AA137" s="11">
        <v>0.26652530478282382</v>
      </c>
      <c r="AB137" s="11">
        <v>9.310228139700949E-2</v>
      </c>
      <c r="AC137" s="10">
        <v>0</v>
      </c>
      <c r="AD137" s="9" t="s">
        <v>34</v>
      </c>
      <c r="AE137" s="9" t="s">
        <v>35</v>
      </c>
    </row>
    <row r="138" spans="1:31" x14ac:dyDescent="0.25">
      <c r="A138" s="9" t="s">
        <v>556</v>
      </c>
      <c r="B138" s="1" t="s">
        <v>500</v>
      </c>
      <c r="C138" s="1" t="s">
        <v>421</v>
      </c>
      <c r="D138" s="10">
        <v>3</v>
      </c>
      <c r="E138" s="10">
        <v>2014</v>
      </c>
      <c r="F138" s="9" t="s">
        <v>28</v>
      </c>
      <c r="G138" s="9" t="s">
        <v>54</v>
      </c>
      <c r="H138" s="1">
        <v>13</v>
      </c>
      <c r="I138" s="1" t="s">
        <v>31</v>
      </c>
      <c r="J138" s="9" t="s">
        <v>43</v>
      </c>
      <c r="K138" s="1">
        <v>1</v>
      </c>
      <c r="L138" s="10">
        <v>10</v>
      </c>
      <c r="M138" s="3">
        <v>0.59399999999999997</v>
      </c>
      <c r="N138" s="11">
        <v>4.6535693655111121E-2</v>
      </c>
      <c r="O138">
        <v>230</v>
      </c>
      <c r="P138" s="11">
        <v>0.68382434987421381</v>
      </c>
      <c r="Q138" s="11">
        <v>0.1428571428571429</v>
      </c>
      <c r="R138" s="11">
        <v>0.62265053962558758</v>
      </c>
      <c r="S138" s="11">
        <v>4.1657667973323827E-2</v>
      </c>
      <c r="T138" s="9" t="s">
        <v>40</v>
      </c>
      <c r="U138" s="9" t="s">
        <v>46</v>
      </c>
      <c r="V138" s="9" t="s">
        <v>33</v>
      </c>
      <c r="W138" s="9" t="s">
        <v>965</v>
      </c>
      <c r="X138" s="1" t="s">
        <v>31</v>
      </c>
      <c r="Y138" s="1" t="s">
        <v>31</v>
      </c>
      <c r="Z138" s="3" t="s">
        <v>31</v>
      </c>
      <c r="AA138" s="11" t="s">
        <v>31</v>
      </c>
      <c r="AB138" s="11" t="s">
        <v>31</v>
      </c>
      <c r="AC138" s="10">
        <v>1</v>
      </c>
      <c r="AD138" s="9" t="s">
        <v>41</v>
      </c>
      <c r="AE138" s="9" t="s">
        <v>35</v>
      </c>
    </row>
    <row r="139" spans="1:31" x14ac:dyDescent="0.25">
      <c r="A139" s="9" t="s">
        <v>556</v>
      </c>
      <c r="B139" s="1" t="s">
        <v>587</v>
      </c>
      <c r="C139" s="1" t="s">
        <v>422</v>
      </c>
      <c r="D139" s="10">
        <v>3</v>
      </c>
      <c r="E139" s="10">
        <v>2014</v>
      </c>
      <c r="F139" s="9" t="s">
        <v>28</v>
      </c>
      <c r="G139" s="9" t="s">
        <v>54</v>
      </c>
      <c r="H139" s="1">
        <v>13</v>
      </c>
      <c r="I139" s="1" t="s">
        <v>31</v>
      </c>
      <c r="J139" s="9" t="s">
        <v>39</v>
      </c>
      <c r="K139" s="1">
        <v>0</v>
      </c>
      <c r="L139" s="10">
        <v>16</v>
      </c>
      <c r="M139" s="3">
        <v>0.62</v>
      </c>
      <c r="N139" s="11">
        <v>2.5264223999999998E-2</v>
      </c>
      <c r="O139">
        <v>230</v>
      </c>
      <c r="P139" s="11">
        <v>0.72500508775299921</v>
      </c>
      <c r="Q139" s="11">
        <v>7.6923076923076927E-2</v>
      </c>
      <c r="R139" s="11">
        <v>0.63502085301130895</v>
      </c>
      <c r="S139" s="11">
        <v>2.3740586109038921E-2</v>
      </c>
      <c r="T139" s="9" t="s">
        <v>40</v>
      </c>
      <c r="U139" s="9" t="s">
        <v>46</v>
      </c>
      <c r="V139" s="9" t="s">
        <v>33</v>
      </c>
      <c r="W139" s="9" t="s">
        <v>965</v>
      </c>
      <c r="X139" s="1" t="s">
        <v>31</v>
      </c>
      <c r="Y139" s="1" t="s">
        <v>31</v>
      </c>
      <c r="Z139" s="3" t="s">
        <v>31</v>
      </c>
      <c r="AA139" s="11" t="s">
        <v>31</v>
      </c>
      <c r="AB139" s="11" t="s">
        <v>31</v>
      </c>
      <c r="AC139" s="10">
        <v>1</v>
      </c>
      <c r="AD139" s="9" t="s">
        <v>41</v>
      </c>
      <c r="AE139" s="9" t="s">
        <v>35</v>
      </c>
    </row>
    <row r="140" spans="1:31" x14ac:dyDescent="0.25">
      <c r="A140" s="9" t="s">
        <v>557</v>
      </c>
      <c r="B140" s="1" t="s">
        <v>589</v>
      </c>
      <c r="C140" s="1" t="s">
        <v>423</v>
      </c>
      <c r="D140" s="10">
        <v>3</v>
      </c>
      <c r="E140" s="10">
        <v>2014</v>
      </c>
      <c r="F140" s="9" t="s">
        <v>38</v>
      </c>
      <c r="G140" s="9" t="s">
        <v>29</v>
      </c>
      <c r="H140" s="1">
        <v>20.41</v>
      </c>
      <c r="I140" s="1">
        <v>0.89</v>
      </c>
      <c r="J140" s="9" t="s">
        <v>30</v>
      </c>
      <c r="K140" s="1">
        <v>0.41</v>
      </c>
      <c r="L140" s="10">
        <v>316</v>
      </c>
      <c r="M140" s="3">
        <v>0.1</v>
      </c>
      <c r="N140" s="11">
        <v>3.111428571428571E-3</v>
      </c>
      <c r="O140">
        <v>759</v>
      </c>
      <c r="P140" s="11">
        <v>0.10033534773107559</v>
      </c>
      <c r="Q140" s="11">
        <v>3.1948881789137379E-3</v>
      </c>
      <c r="R140" s="11">
        <v>0.1001587692425704</v>
      </c>
      <c r="S140" s="11">
        <v>3.1112288205671721E-3</v>
      </c>
      <c r="T140" s="9" t="s">
        <v>40</v>
      </c>
      <c r="U140" s="9" t="s">
        <v>46</v>
      </c>
      <c r="V140" s="9" t="s">
        <v>33</v>
      </c>
      <c r="W140" s="9" t="s">
        <v>966</v>
      </c>
      <c r="X140" s="1">
        <v>8.33</v>
      </c>
      <c r="Y140" s="1">
        <v>15</v>
      </c>
      <c r="Z140" s="3">
        <f t="shared" ref="Z140:Z150" si="5">X140/Y140</f>
        <v>0.55533333333333335</v>
      </c>
      <c r="AA140" s="11">
        <v>0.17808622535084481</v>
      </c>
      <c r="AB140" s="11">
        <v>9.7802790127761427E-2</v>
      </c>
      <c r="AC140" s="10">
        <v>0</v>
      </c>
      <c r="AD140" s="9" t="s">
        <v>34</v>
      </c>
      <c r="AE140" s="9" t="s">
        <v>35</v>
      </c>
    </row>
    <row r="141" spans="1:31" x14ac:dyDescent="0.25">
      <c r="A141" s="9" t="s">
        <v>558</v>
      </c>
      <c r="B141" s="1" t="s">
        <v>728</v>
      </c>
      <c r="C141" s="1" t="s">
        <v>424</v>
      </c>
      <c r="D141" s="10">
        <v>3</v>
      </c>
      <c r="E141" s="10">
        <v>2015</v>
      </c>
      <c r="F141" s="9" t="s">
        <v>38</v>
      </c>
      <c r="G141" s="9" t="s">
        <v>54</v>
      </c>
      <c r="H141" s="1">
        <v>8</v>
      </c>
      <c r="I141" s="1">
        <v>0.9</v>
      </c>
      <c r="J141" s="9" t="s">
        <v>30</v>
      </c>
      <c r="K141" s="1">
        <v>0.54</v>
      </c>
      <c r="L141" s="10">
        <v>10</v>
      </c>
      <c r="M141" s="3">
        <v>0.69</v>
      </c>
      <c r="N141" s="11">
        <v>3.049680111111111E-2</v>
      </c>
      <c r="O141">
        <v>8</v>
      </c>
      <c r="P141" s="11">
        <v>0.84795575521896349</v>
      </c>
      <c r="Q141" s="11">
        <v>0.1428571428571429</v>
      </c>
      <c r="R141" s="11">
        <v>0.71589417830042656</v>
      </c>
      <c r="S141" s="11">
        <v>2.6405765262076619E-2</v>
      </c>
      <c r="T141" s="9" t="s">
        <v>40</v>
      </c>
      <c r="U141" s="9" t="s">
        <v>50</v>
      </c>
      <c r="V141" s="9" t="s">
        <v>33</v>
      </c>
      <c r="W141" s="9" t="s">
        <v>967</v>
      </c>
      <c r="X141" s="1">
        <v>14</v>
      </c>
      <c r="Y141" s="1">
        <v>15</v>
      </c>
      <c r="Z141" s="3">
        <f t="shared" si="5"/>
        <v>0.93333333333333335</v>
      </c>
      <c r="AA141" s="11">
        <v>0.71454645071207323</v>
      </c>
      <c r="AB141" s="11">
        <v>0.2475693553428909</v>
      </c>
      <c r="AC141" s="10">
        <v>0</v>
      </c>
      <c r="AD141" s="9" t="s">
        <v>41</v>
      </c>
      <c r="AE141" s="9" t="s">
        <v>263</v>
      </c>
    </row>
    <row r="142" spans="1:31" x14ac:dyDescent="0.25">
      <c r="A142" s="9" t="s">
        <v>558</v>
      </c>
      <c r="B142" s="1" t="s">
        <v>729</v>
      </c>
      <c r="C142" s="1" t="s">
        <v>425</v>
      </c>
      <c r="D142" s="10">
        <v>3</v>
      </c>
      <c r="E142" s="10">
        <v>2015</v>
      </c>
      <c r="F142" s="9" t="s">
        <v>38</v>
      </c>
      <c r="G142" s="9" t="s">
        <v>54</v>
      </c>
      <c r="H142" s="1">
        <v>8.1999999999999993</v>
      </c>
      <c r="I142" s="1">
        <v>1</v>
      </c>
      <c r="J142" s="9" t="s">
        <v>30</v>
      </c>
      <c r="K142" s="1">
        <v>0.35799999999999998</v>
      </c>
      <c r="L142" s="10">
        <v>9</v>
      </c>
      <c r="M142" s="3">
        <v>0</v>
      </c>
      <c r="N142" s="11">
        <v>0.125</v>
      </c>
      <c r="O142">
        <v>9</v>
      </c>
      <c r="P142" s="11">
        <v>0</v>
      </c>
      <c r="Q142" s="11">
        <v>0.16666666666666671</v>
      </c>
      <c r="R142" s="11">
        <v>0</v>
      </c>
      <c r="S142" s="11">
        <v>0.125</v>
      </c>
      <c r="T142" s="9" t="s">
        <v>40</v>
      </c>
      <c r="U142" s="9" t="s">
        <v>50</v>
      </c>
      <c r="V142" s="9" t="s">
        <v>33</v>
      </c>
      <c r="W142" s="9" t="s">
        <v>967</v>
      </c>
      <c r="X142" s="1">
        <v>8</v>
      </c>
      <c r="Y142" s="1">
        <v>15</v>
      </c>
      <c r="Z142" s="3">
        <f t="shared" si="5"/>
        <v>0.53333333333333333</v>
      </c>
      <c r="AA142" s="11">
        <v>0</v>
      </c>
      <c r="AB142" s="11" t="s">
        <v>31</v>
      </c>
      <c r="AC142" s="10">
        <v>0</v>
      </c>
      <c r="AD142" s="9" t="s">
        <v>41</v>
      </c>
      <c r="AE142" s="9" t="s">
        <v>263</v>
      </c>
    </row>
    <row r="143" spans="1:31" x14ac:dyDescent="0.25">
      <c r="A143" s="9" t="s">
        <v>558</v>
      </c>
      <c r="B143" s="1" t="s">
        <v>730</v>
      </c>
      <c r="C143" s="1" t="s">
        <v>426</v>
      </c>
      <c r="D143" s="10">
        <v>3</v>
      </c>
      <c r="E143" s="10">
        <v>2015</v>
      </c>
      <c r="F143" s="9" t="s">
        <v>38</v>
      </c>
      <c r="G143" s="9" t="s">
        <v>54</v>
      </c>
      <c r="H143" s="1">
        <v>8.3000000000000007</v>
      </c>
      <c r="I143" s="1">
        <v>0.6</v>
      </c>
      <c r="J143" s="9" t="s">
        <v>30</v>
      </c>
      <c r="K143" s="1">
        <v>0.5</v>
      </c>
      <c r="L143" s="10">
        <v>21</v>
      </c>
      <c r="M143" s="3">
        <v>0</v>
      </c>
      <c r="N143" s="11">
        <v>0.05</v>
      </c>
      <c r="O143">
        <v>9</v>
      </c>
      <c r="P143" s="11">
        <v>0</v>
      </c>
      <c r="Q143" s="11">
        <v>5.5555555555555552E-2</v>
      </c>
      <c r="R143" s="11">
        <v>0</v>
      </c>
      <c r="S143" s="11">
        <v>0.05</v>
      </c>
      <c r="T143" s="9" t="s">
        <v>40</v>
      </c>
      <c r="U143" s="9" t="s">
        <v>50</v>
      </c>
      <c r="V143" s="9" t="s">
        <v>33</v>
      </c>
      <c r="W143" s="9" t="s">
        <v>272</v>
      </c>
      <c r="X143" s="1">
        <v>8.6</v>
      </c>
      <c r="Y143" s="1">
        <v>15</v>
      </c>
      <c r="Z143" s="3">
        <f t="shared" si="5"/>
        <v>0.57333333333333336</v>
      </c>
      <c r="AA143" s="11">
        <v>0</v>
      </c>
      <c r="AB143" s="11" t="s">
        <v>31</v>
      </c>
      <c r="AC143" s="10">
        <v>0</v>
      </c>
      <c r="AD143" s="9" t="s">
        <v>41</v>
      </c>
      <c r="AE143" s="9" t="s">
        <v>263</v>
      </c>
    </row>
    <row r="144" spans="1:31" x14ac:dyDescent="0.25">
      <c r="A144" s="9" t="s">
        <v>559</v>
      </c>
      <c r="B144" s="1" t="s">
        <v>731</v>
      </c>
      <c r="C144" s="1" t="s">
        <v>427</v>
      </c>
      <c r="D144" s="10">
        <v>3</v>
      </c>
      <c r="E144" s="10">
        <v>2015</v>
      </c>
      <c r="F144" s="9" t="s">
        <v>38</v>
      </c>
      <c r="G144" s="9" t="s">
        <v>29</v>
      </c>
      <c r="H144" s="1">
        <v>26.2</v>
      </c>
      <c r="I144" s="1">
        <v>5</v>
      </c>
      <c r="J144" s="9" t="s">
        <v>30</v>
      </c>
      <c r="K144" s="1">
        <v>0.51</v>
      </c>
      <c r="L144" s="10">
        <v>285</v>
      </c>
      <c r="M144" s="3">
        <v>0.28000000000000003</v>
      </c>
      <c r="N144" s="11">
        <v>2.99065690140845E-3</v>
      </c>
      <c r="O144">
        <v>1415</v>
      </c>
      <c r="P144" s="11">
        <v>0.28768207245178101</v>
      </c>
      <c r="Q144" s="11">
        <v>3.5460992907801422E-3</v>
      </c>
      <c r="R144" s="11">
        <v>0.28045927760985961</v>
      </c>
      <c r="S144" s="11">
        <v>2.988986530937621E-3</v>
      </c>
      <c r="T144" s="9" t="s">
        <v>40</v>
      </c>
      <c r="U144" s="9" t="s">
        <v>50</v>
      </c>
      <c r="V144" s="9" t="s">
        <v>33</v>
      </c>
      <c r="W144" s="9" t="s">
        <v>337</v>
      </c>
      <c r="X144" s="1">
        <v>15.62</v>
      </c>
      <c r="Y144" s="1">
        <v>15</v>
      </c>
      <c r="Z144" s="3">
        <f t="shared" si="5"/>
        <v>1.0413333333333332</v>
      </c>
      <c r="AA144" s="11">
        <v>0.26970995721700558</v>
      </c>
      <c r="AB144" s="11">
        <v>5.5306274219719329E-2</v>
      </c>
      <c r="AC144" s="10">
        <v>2</v>
      </c>
      <c r="AD144" s="9" t="s">
        <v>34</v>
      </c>
      <c r="AE144" s="9" t="s">
        <v>35</v>
      </c>
    </row>
    <row r="145" spans="1:31" x14ac:dyDescent="0.25">
      <c r="A145" s="9" t="s">
        <v>559</v>
      </c>
      <c r="B145" s="1" t="s">
        <v>732</v>
      </c>
      <c r="C145" s="1" t="s">
        <v>406</v>
      </c>
      <c r="D145" s="10">
        <v>3</v>
      </c>
      <c r="E145" s="10">
        <v>2015</v>
      </c>
      <c r="F145" s="9" t="s">
        <v>38</v>
      </c>
      <c r="G145" s="9" t="s">
        <v>29</v>
      </c>
      <c r="H145" s="1">
        <v>23.5</v>
      </c>
      <c r="I145" s="1">
        <v>5.0999999999999996</v>
      </c>
      <c r="J145" s="9" t="s">
        <v>43</v>
      </c>
      <c r="K145" s="1">
        <v>1</v>
      </c>
      <c r="L145" s="10">
        <v>107</v>
      </c>
      <c r="M145" s="3">
        <v>0.08</v>
      </c>
      <c r="N145" s="11">
        <v>9.3135939622641523E-3</v>
      </c>
      <c r="O145">
        <v>1415</v>
      </c>
      <c r="P145" s="11">
        <v>8.0171325037589738E-2</v>
      </c>
      <c r="Q145" s="11">
        <v>9.6153846153846159E-3</v>
      </c>
      <c r="R145" s="11">
        <v>8.038674089066411E-2</v>
      </c>
      <c r="S145" s="11">
        <v>9.3124311470307742E-3</v>
      </c>
      <c r="T145" s="9" t="s">
        <v>40</v>
      </c>
      <c r="U145" s="9" t="s">
        <v>50</v>
      </c>
      <c r="V145" s="9" t="s">
        <v>33</v>
      </c>
      <c r="W145" s="9" t="s">
        <v>337</v>
      </c>
      <c r="X145" s="1">
        <v>11.45</v>
      </c>
      <c r="Y145" s="1">
        <v>15</v>
      </c>
      <c r="Z145" s="3">
        <f t="shared" si="5"/>
        <v>0.76333333333333331</v>
      </c>
      <c r="AA145" s="11">
        <v>0.1045641183947779</v>
      </c>
      <c r="AB145" s="11">
        <v>0.12656618120994201</v>
      </c>
      <c r="AC145" s="10">
        <v>2</v>
      </c>
      <c r="AD145" s="9" t="s">
        <v>34</v>
      </c>
      <c r="AE145" s="9" t="s">
        <v>35</v>
      </c>
    </row>
    <row r="146" spans="1:31" x14ac:dyDescent="0.25">
      <c r="A146" s="9" t="s">
        <v>559</v>
      </c>
      <c r="B146" s="1" t="s">
        <v>733</v>
      </c>
      <c r="C146" s="1" t="s">
        <v>428</v>
      </c>
      <c r="D146" s="10">
        <v>3</v>
      </c>
      <c r="E146" s="10">
        <v>2015</v>
      </c>
      <c r="F146" s="9" t="s">
        <v>38</v>
      </c>
      <c r="G146" s="9" t="s">
        <v>29</v>
      </c>
      <c r="H146" s="1">
        <v>21.7</v>
      </c>
      <c r="I146" s="1">
        <v>2.9</v>
      </c>
      <c r="J146" s="9" t="s">
        <v>30</v>
      </c>
      <c r="K146" s="1">
        <v>0.54</v>
      </c>
      <c r="L146" s="10">
        <v>125</v>
      </c>
      <c r="M146" s="3">
        <v>0.04</v>
      </c>
      <c r="N146" s="11">
        <v>8.0387303225806436E-3</v>
      </c>
      <c r="O146">
        <v>1415</v>
      </c>
      <c r="P146" s="11">
        <v>4.0021353836768282E-2</v>
      </c>
      <c r="Q146" s="11">
        <v>8.1967213114754103E-3</v>
      </c>
      <c r="R146" s="11">
        <v>4.0165359331861453E-2</v>
      </c>
      <c r="S146" s="11">
        <v>8.0385168581830462E-3</v>
      </c>
      <c r="T146" s="9" t="s">
        <v>40</v>
      </c>
      <c r="U146" s="9" t="s">
        <v>50</v>
      </c>
      <c r="V146" s="9" t="s">
        <v>33</v>
      </c>
      <c r="W146" s="9" t="s">
        <v>266</v>
      </c>
      <c r="X146" s="1">
        <v>13.13</v>
      </c>
      <c r="Y146" s="1">
        <v>15</v>
      </c>
      <c r="Z146" s="3">
        <f t="shared" si="5"/>
        <v>0.87533333333333341</v>
      </c>
      <c r="AA146" s="11">
        <v>4.5685726749797838E-2</v>
      </c>
      <c r="AB146" s="11">
        <v>0.1028509492170263</v>
      </c>
      <c r="AC146" s="10">
        <v>2</v>
      </c>
      <c r="AD146" s="9" t="s">
        <v>34</v>
      </c>
      <c r="AE146" s="9" t="s">
        <v>35</v>
      </c>
    </row>
    <row r="147" spans="1:31" x14ac:dyDescent="0.25">
      <c r="A147" s="9" t="s">
        <v>560</v>
      </c>
      <c r="B147" s="1" t="s">
        <v>734</v>
      </c>
      <c r="C147" s="1" t="s">
        <v>429</v>
      </c>
      <c r="D147" s="10">
        <v>3</v>
      </c>
      <c r="E147" s="10">
        <v>2015</v>
      </c>
      <c r="F147" s="9" t="s">
        <v>38</v>
      </c>
      <c r="G147" s="9" t="s">
        <v>54</v>
      </c>
      <c r="H147" s="1">
        <v>17</v>
      </c>
      <c r="I147" s="1" t="s">
        <v>31</v>
      </c>
      <c r="J147" s="9" t="s">
        <v>30</v>
      </c>
      <c r="K147" s="1">
        <v>0.83</v>
      </c>
      <c r="L147" s="10">
        <v>366</v>
      </c>
      <c r="M147" s="3">
        <v>0.23</v>
      </c>
      <c r="N147" s="11">
        <v>2.4575298904109589E-3</v>
      </c>
      <c r="O147">
        <v>131</v>
      </c>
      <c r="P147" s="11">
        <v>0.2341894667593668</v>
      </c>
      <c r="Q147" s="11">
        <v>2.754820936639119E-3</v>
      </c>
      <c r="R147" s="11">
        <v>0.23030098230119389</v>
      </c>
      <c r="S147" s="11">
        <v>2.4568109646227769E-3</v>
      </c>
      <c r="T147" s="9" t="s">
        <v>40</v>
      </c>
      <c r="U147" s="9" t="s">
        <v>50</v>
      </c>
      <c r="V147" s="9" t="s">
        <v>33</v>
      </c>
      <c r="W147" s="9" t="s">
        <v>908</v>
      </c>
      <c r="X147" s="1">
        <v>12</v>
      </c>
      <c r="Y147" s="1">
        <v>15</v>
      </c>
      <c r="Z147" s="3">
        <f t="shared" si="5"/>
        <v>0.8</v>
      </c>
      <c r="AA147" s="11">
        <v>0.28331569285392399</v>
      </c>
      <c r="AB147" s="11">
        <v>6.1017665064915703E-2</v>
      </c>
      <c r="AC147" s="10">
        <v>0</v>
      </c>
      <c r="AD147" s="9" t="s">
        <v>41</v>
      </c>
      <c r="AE147" s="9" t="s">
        <v>35</v>
      </c>
    </row>
    <row r="148" spans="1:31" x14ac:dyDescent="0.25">
      <c r="A148" s="9" t="s">
        <v>560</v>
      </c>
      <c r="B148" s="1" t="s">
        <v>735</v>
      </c>
      <c r="C148" s="1" t="s">
        <v>430</v>
      </c>
      <c r="D148" s="10">
        <v>3</v>
      </c>
      <c r="E148" s="10">
        <v>2015</v>
      </c>
      <c r="F148" s="9" t="s">
        <v>28</v>
      </c>
      <c r="G148" s="9" t="s">
        <v>54</v>
      </c>
      <c r="H148" s="1">
        <v>16.600000000000001</v>
      </c>
      <c r="I148" s="1" t="s">
        <v>31</v>
      </c>
      <c r="J148" s="9" t="s">
        <v>30</v>
      </c>
      <c r="K148" s="1">
        <v>0.88</v>
      </c>
      <c r="L148" s="10">
        <v>328</v>
      </c>
      <c r="M148" s="3">
        <v>0.04</v>
      </c>
      <c r="N148" s="11">
        <v>3.0483258715596328E-3</v>
      </c>
      <c r="O148">
        <v>131</v>
      </c>
      <c r="P148" s="11">
        <v>4.0021353836768282E-2</v>
      </c>
      <c r="Q148" s="11">
        <v>3.0769230769230769E-3</v>
      </c>
      <c r="R148" s="11">
        <v>4.0061676420109542E-2</v>
      </c>
      <c r="S148" s="11">
        <v>3.0482957186255049E-3</v>
      </c>
      <c r="T148" s="9" t="s">
        <v>40</v>
      </c>
      <c r="U148" s="9" t="s">
        <v>50</v>
      </c>
      <c r="V148" s="9" t="s">
        <v>33</v>
      </c>
      <c r="W148" s="9" t="s">
        <v>908</v>
      </c>
      <c r="X148" s="1">
        <v>17</v>
      </c>
      <c r="Y148" s="1">
        <v>15</v>
      </c>
      <c r="Z148" s="3">
        <f t="shared" si="5"/>
        <v>1.1333333333333333</v>
      </c>
      <c r="AA148" s="11">
        <v>3.5300372107890339E-2</v>
      </c>
      <c r="AB148" s="11">
        <v>4.8855862754492621E-2</v>
      </c>
      <c r="AC148" s="10">
        <v>0</v>
      </c>
      <c r="AD148" s="9" t="s">
        <v>41</v>
      </c>
      <c r="AE148" s="9" t="s">
        <v>35</v>
      </c>
    </row>
    <row r="149" spans="1:31" x14ac:dyDescent="0.25">
      <c r="A149" s="9" t="s">
        <v>562</v>
      </c>
      <c r="B149" s="1" t="s">
        <v>737</v>
      </c>
      <c r="C149" s="1" t="s">
        <v>431</v>
      </c>
      <c r="D149" s="10">
        <v>3</v>
      </c>
      <c r="E149" s="10">
        <v>2015</v>
      </c>
      <c r="F149" s="9" t="s">
        <v>28</v>
      </c>
      <c r="G149" s="9" t="s">
        <v>54</v>
      </c>
      <c r="H149" s="1">
        <v>17.32</v>
      </c>
      <c r="I149" s="1">
        <v>1.18</v>
      </c>
      <c r="J149" s="9" t="s">
        <v>43</v>
      </c>
      <c r="K149" s="1">
        <v>1</v>
      </c>
      <c r="L149" s="10">
        <v>178</v>
      </c>
      <c r="M149" s="3">
        <v>0.19</v>
      </c>
      <c r="N149" s="11">
        <v>5.2491706779661017E-3</v>
      </c>
      <c r="O149">
        <v>207</v>
      </c>
      <c r="P149" s="11">
        <v>0.1923371692195453</v>
      </c>
      <c r="Q149" s="11">
        <v>5.7142857142857143E-3</v>
      </c>
      <c r="R149" s="11">
        <v>0.19052677241323879</v>
      </c>
      <c r="S149" s="11">
        <v>5.2469876877448678E-3</v>
      </c>
      <c r="T149" s="9" t="s">
        <v>40</v>
      </c>
      <c r="U149" s="9" t="s">
        <v>50</v>
      </c>
      <c r="V149" s="9" t="s">
        <v>33</v>
      </c>
      <c r="W149" s="9" t="s">
        <v>339</v>
      </c>
      <c r="X149" s="1">
        <v>12.06</v>
      </c>
      <c r="Y149" s="1">
        <v>15</v>
      </c>
      <c r="Z149" s="3">
        <f t="shared" si="5"/>
        <v>0.80400000000000005</v>
      </c>
      <c r="AA149" s="11">
        <v>0.23401918576133079</v>
      </c>
      <c r="AB149" s="11">
        <v>8.938514370448937E-2</v>
      </c>
      <c r="AC149" s="10">
        <v>0</v>
      </c>
      <c r="AD149" s="9" t="s">
        <v>41</v>
      </c>
      <c r="AE149" s="9" t="s">
        <v>35</v>
      </c>
    </row>
    <row r="150" spans="1:31" x14ac:dyDescent="0.25">
      <c r="A150" s="9" t="s">
        <v>563</v>
      </c>
      <c r="B150" s="1" t="s">
        <v>738</v>
      </c>
      <c r="C150" s="1" t="s">
        <v>432</v>
      </c>
      <c r="D150" s="10">
        <v>3</v>
      </c>
      <c r="E150" s="10">
        <v>2016</v>
      </c>
      <c r="F150" s="9" t="s">
        <v>28</v>
      </c>
      <c r="G150" s="9" t="s">
        <v>29</v>
      </c>
      <c r="H150" s="1">
        <v>25.1</v>
      </c>
      <c r="I150" s="1">
        <v>12.05</v>
      </c>
      <c r="J150" s="9" t="s">
        <v>30</v>
      </c>
      <c r="K150" s="1">
        <v>0.67</v>
      </c>
      <c r="L150" s="10">
        <v>30</v>
      </c>
      <c r="M150" s="3">
        <v>0.72599999999999998</v>
      </c>
      <c r="N150" s="11">
        <v>7.712314130206897E-3</v>
      </c>
      <c r="O150">
        <v>90</v>
      </c>
      <c r="P150" s="11">
        <v>0.92021688262765144</v>
      </c>
      <c r="Q150" s="11">
        <v>3.7037037037037042E-2</v>
      </c>
      <c r="R150" s="11">
        <v>0.73236325986495021</v>
      </c>
      <c r="S150" s="11">
        <v>7.4126141480413982E-3</v>
      </c>
      <c r="T150" s="9" t="s">
        <v>40</v>
      </c>
      <c r="U150" s="9" t="s">
        <v>46</v>
      </c>
      <c r="V150" s="9" t="s">
        <v>33</v>
      </c>
      <c r="W150" s="9" t="s">
        <v>344</v>
      </c>
      <c r="X150" s="1">
        <v>20.95</v>
      </c>
      <c r="Y150" s="1">
        <v>15</v>
      </c>
      <c r="Z150" s="3">
        <f t="shared" si="5"/>
        <v>1.3966666666666667</v>
      </c>
      <c r="AA150" s="11">
        <v>0.60299370677561759</v>
      </c>
      <c r="AB150" s="11">
        <v>0.145254860828676</v>
      </c>
      <c r="AC150" s="10">
        <v>2</v>
      </c>
      <c r="AD150" s="9" t="s">
        <v>41</v>
      </c>
      <c r="AE150" s="9" t="s">
        <v>35</v>
      </c>
    </row>
    <row r="151" spans="1:31" x14ac:dyDescent="0.25">
      <c r="A151" s="9" t="s">
        <v>564</v>
      </c>
      <c r="B151" s="1" t="s">
        <v>739</v>
      </c>
      <c r="C151" s="1" t="s">
        <v>433</v>
      </c>
      <c r="D151" s="10">
        <v>3</v>
      </c>
      <c r="E151" s="10">
        <v>2016</v>
      </c>
      <c r="F151" s="9" t="s">
        <v>38</v>
      </c>
      <c r="G151" s="9" t="s">
        <v>29</v>
      </c>
      <c r="H151" s="1">
        <v>32.69</v>
      </c>
      <c r="I151" s="1">
        <v>13.6</v>
      </c>
      <c r="J151" s="9" t="s">
        <v>30</v>
      </c>
      <c r="K151" s="1">
        <v>0.42</v>
      </c>
      <c r="L151" s="10">
        <v>164</v>
      </c>
      <c r="M151" s="3">
        <v>0.26</v>
      </c>
      <c r="N151" s="11">
        <v>5.333556809815951E-3</v>
      </c>
      <c r="O151">
        <v>1047</v>
      </c>
      <c r="P151" s="11">
        <v>0.26610840687365411</v>
      </c>
      <c r="Q151" s="11">
        <v>6.2111801242236021E-3</v>
      </c>
      <c r="R151" s="11">
        <v>0.2607580255117562</v>
      </c>
      <c r="S151" s="11">
        <v>5.3290416564427054E-3</v>
      </c>
      <c r="T151" s="9" t="s">
        <v>40</v>
      </c>
      <c r="U151" s="9" t="s">
        <v>50</v>
      </c>
      <c r="V151" s="9" t="s">
        <v>33</v>
      </c>
      <c r="W151" s="9" t="s">
        <v>341</v>
      </c>
      <c r="X151" s="1" t="s">
        <v>31</v>
      </c>
      <c r="Y151" s="1" t="s">
        <v>31</v>
      </c>
      <c r="Z151" s="3" t="s">
        <v>31</v>
      </c>
      <c r="AA151" s="11" t="s">
        <v>31</v>
      </c>
      <c r="AB151" s="11" t="s">
        <v>31</v>
      </c>
      <c r="AC151" s="10">
        <v>0</v>
      </c>
      <c r="AD151" s="9" t="s">
        <v>41</v>
      </c>
      <c r="AE151" s="9" t="s">
        <v>35</v>
      </c>
    </row>
    <row r="152" spans="1:31" x14ac:dyDescent="0.25">
      <c r="A152" s="9" t="s">
        <v>565</v>
      </c>
      <c r="B152" s="1" t="s">
        <v>740</v>
      </c>
      <c r="C152" s="1" t="s">
        <v>434</v>
      </c>
      <c r="D152" s="10">
        <v>3</v>
      </c>
      <c r="E152" s="10">
        <v>2016</v>
      </c>
      <c r="F152" s="9" t="s">
        <v>38</v>
      </c>
      <c r="G152" s="9" t="s">
        <v>54</v>
      </c>
      <c r="H152" s="1">
        <v>14.7</v>
      </c>
      <c r="I152" s="1">
        <v>3.3</v>
      </c>
      <c r="J152" s="9" t="s">
        <v>30</v>
      </c>
      <c r="K152" s="1">
        <v>0.56999999999999995</v>
      </c>
      <c r="L152" s="10">
        <v>662</v>
      </c>
      <c r="M152" s="3">
        <v>0.24099999999999999</v>
      </c>
      <c r="N152" s="11">
        <v>1.342226025054463E-3</v>
      </c>
      <c r="O152">
        <v>1302</v>
      </c>
      <c r="P152" s="11">
        <v>0.24583550390448869</v>
      </c>
      <c r="Q152" s="11">
        <v>1.5174506828528069E-3</v>
      </c>
      <c r="R152" s="11">
        <v>0.24117252540505019</v>
      </c>
      <c r="S152" s="11">
        <v>1.3419889540545601E-3</v>
      </c>
      <c r="T152" s="9" t="s">
        <v>40</v>
      </c>
      <c r="U152" s="9" t="s">
        <v>50</v>
      </c>
      <c r="V152" s="9" t="s">
        <v>33</v>
      </c>
      <c r="W152" s="9" t="s">
        <v>340</v>
      </c>
      <c r="X152" s="1" t="s">
        <v>31</v>
      </c>
      <c r="Y152" s="1" t="s">
        <v>31</v>
      </c>
      <c r="Z152" s="3" t="s">
        <v>31</v>
      </c>
      <c r="AA152" s="11" t="s">
        <v>31</v>
      </c>
      <c r="AB152" s="11" t="s">
        <v>31</v>
      </c>
      <c r="AC152" s="10">
        <v>2</v>
      </c>
      <c r="AD152" s="9" t="s">
        <v>34</v>
      </c>
      <c r="AE152" s="9" t="s">
        <v>35</v>
      </c>
    </row>
    <row r="153" spans="1:31" x14ac:dyDescent="0.25">
      <c r="A153" s="9" t="s">
        <v>566</v>
      </c>
      <c r="B153" s="1" t="s">
        <v>741</v>
      </c>
      <c r="C153" s="1" t="s">
        <v>435</v>
      </c>
      <c r="D153" s="10">
        <v>3</v>
      </c>
      <c r="E153" s="10">
        <v>2016</v>
      </c>
      <c r="F153" s="9" t="s">
        <v>28</v>
      </c>
      <c r="G153" s="9" t="s">
        <v>54</v>
      </c>
      <c r="H153" s="1">
        <v>7.5</v>
      </c>
      <c r="I153" s="1">
        <v>0.2</v>
      </c>
      <c r="J153" s="9" t="s">
        <v>30</v>
      </c>
      <c r="K153" s="1">
        <v>0.5</v>
      </c>
      <c r="L153" s="10">
        <v>134</v>
      </c>
      <c r="M153" s="3">
        <v>0.26</v>
      </c>
      <c r="N153" s="11">
        <v>6.5366147368421052E-3</v>
      </c>
      <c r="O153" t="s">
        <v>267</v>
      </c>
      <c r="P153" s="11">
        <v>0.26610840687365411</v>
      </c>
      <c r="Q153" s="11">
        <v>7.6335877862595417E-3</v>
      </c>
      <c r="R153" s="11">
        <v>0.26093307783612418</v>
      </c>
      <c r="S153" s="11">
        <v>6.5298012846691624E-3</v>
      </c>
      <c r="T153" s="9" t="s">
        <v>40</v>
      </c>
      <c r="U153" s="9" t="s">
        <v>46</v>
      </c>
      <c r="V153" s="9" t="s">
        <v>33</v>
      </c>
      <c r="W153" s="9" t="s">
        <v>266</v>
      </c>
      <c r="X153" s="1">
        <v>13.7</v>
      </c>
      <c r="Y153" s="1">
        <v>15</v>
      </c>
      <c r="Z153" s="3">
        <f>X153/Y153</f>
        <v>0.91333333333333333</v>
      </c>
      <c r="AA153" s="11">
        <v>0.28277790519715051</v>
      </c>
      <c r="AB153" s="11">
        <v>9.0196390436812726E-2</v>
      </c>
      <c r="AC153" s="10">
        <v>2</v>
      </c>
      <c r="AD153" s="9" t="s">
        <v>41</v>
      </c>
      <c r="AE153" s="9" t="s">
        <v>35</v>
      </c>
    </row>
    <row r="154" spans="1:31" x14ac:dyDescent="0.25">
      <c r="A154" s="9" t="s">
        <v>567</v>
      </c>
      <c r="B154" s="1" t="s">
        <v>736</v>
      </c>
      <c r="C154" s="1" t="s">
        <v>436</v>
      </c>
      <c r="D154" s="10">
        <v>3</v>
      </c>
      <c r="E154" s="10">
        <v>2016</v>
      </c>
      <c r="F154" s="9" t="s">
        <v>38</v>
      </c>
      <c r="G154" s="9" t="s">
        <v>29</v>
      </c>
      <c r="H154" s="1">
        <v>21.15</v>
      </c>
      <c r="I154" s="1">
        <v>2.556</v>
      </c>
      <c r="J154" s="9" t="s">
        <v>30</v>
      </c>
      <c r="K154" s="1">
        <v>0.34</v>
      </c>
      <c r="L154" s="10">
        <v>71</v>
      </c>
      <c r="M154" s="3">
        <v>0.435</v>
      </c>
      <c r="N154" s="11">
        <v>9.3908014375000005E-3</v>
      </c>
      <c r="O154">
        <v>2612</v>
      </c>
      <c r="P154" s="11">
        <v>0.46604719852364029</v>
      </c>
      <c r="Q154" s="11">
        <v>1.470588235294118E-2</v>
      </c>
      <c r="R154" s="11">
        <v>0.43762462815810571</v>
      </c>
      <c r="S154" s="11">
        <v>9.3378212229117599E-3</v>
      </c>
      <c r="T154" s="9" t="s">
        <v>40</v>
      </c>
      <c r="U154" s="9" t="s">
        <v>31</v>
      </c>
      <c r="V154" s="9" t="s">
        <v>51</v>
      </c>
      <c r="W154" s="9" t="s">
        <v>342</v>
      </c>
      <c r="X154" s="1" t="s">
        <v>31</v>
      </c>
      <c r="Y154" s="1" t="s">
        <v>31</v>
      </c>
      <c r="Z154" s="3" t="s">
        <v>31</v>
      </c>
      <c r="AA154" s="11" t="s">
        <v>31</v>
      </c>
      <c r="AB154" s="11" t="s">
        <v>31</v>
      </c>
      <c r="AC154" s="10">
        <v>0</v>
      </c>
      <c r="AD154" s="9" t="s">
        <v>34</v>
      </c>
      <c r="AE154" s="9" t="s">
        <v>35</v>
      </c>
    </row>
    <row r="155" spans="1:31" x14ac:dyDescent="0.25">
      <c r="A155" s="9" t="s">
        <v>909</v>
      </c>
      <c r="B155" s="1" t="s">
        <v>847</v>
      </c>
      <c r="C155" s="1" t="s">
        <v>437</v>
      </c>
      <c r="D155" s="10">
        <v>3</v>
      </c>
      <c r="E155" s="10">
        <v>2016</v>
      </c>
      <c r="F155" s="9" t="s">
        <v>38</v>
      </c>
      <c r="G155" s="9" t="s">
        <v>29</v>
      </c>
      <c r="H155" s="1">
        <v>24.57</v>
      </c>
      <c r="I155" s="1" t="s">
        <v>31</v>
      </c>
      <c r="J155" s="9" t="s">
        <v>39</v>
      </c>
      <c r="K155" s="1">
        <v>0</v>
      </c>
      <c r="L155" s="10">
        <v>90</v>
      </c>
      <c r="M155" s="3">
        <v>0.14299999999999999</v>
      </c>
      <c r="N155" s="11">
        <v>1.078112541124719E-2</v>
      </c>
      <c r="O155">
        <v>208</v>
      </c>
      <c r="P155" s="11">
        <v>0.1439868725985155</v>
      </c>
      <c r="Q155" s="11">
        <v>1.149425287356322E-2</v>
      </c>
      <c r="R155" s="11">
        <v>0.14381630037384599</v>
      </c>
      <c r="S155" s="11">
        <v>1.07759723066056E-2</v>
      </c>
      <c r="T155" s="9" t="s">
        <v>40</v>
      </c>
      <c r="U155" s="9" t="s">
        <v>50</v>
      </c>
      <c r="V155" s="9" t="s">
        <v>51</v>
      </c>
      <c r="W155" s="9" t="s">
        <v>338</v>
      </c>
      <c r="X155" s="1" t="s">
        <v>31</v>
      </c>
      <c r="Y155" s="1" t="s">
        <v>31</v>
      </c>
      <c r="Z155" s="3" t="s">
        <v>31</v>
      </c>
      <c r="AA155" s="11" t="s">
        <v>31</v>
      </c>
      <c r="AB155" s="11" t="s">
        <v>31</v>
      </c>
      <c r="AC155" s="10">
        <v>0</v>
      </c>
      <c r="AD155" s="9" t="s">
        <v>41</v>
      </c>
      <c r="AE155" s="9" t="s">
        <v>35</v>
      </c>
    </row>
    <row r="156" spans="1:31" x14ac:dyDescent="0.25">
      <c r="A156" s="9" t="s">
        <v>909</v>
      </c>
      <c r="B156" s="1" t="s">
        <v>848</v>
      </c>
      <c r="C156" s="1" t="s">
        <v>438</v>
      </c>
      <c r="D156" s="10">
        <v>3</v>
      </c>
      <c r="E156" s="10">
        <v>2016</v>
      </c>
      <c r="F156" s="9" t="s">
        <v>38</v>
      </c>
      <c r="G156" s="9" t="s">
        <v>29</v>
      </c>
      <c r="H156" s="1">
        <v>24.07</v>
      </c>
      <c r="I156" s="1" t="s">
        <v>31</v>
      </c>
      <c r="J156" s="9" t="s">
        <v>43</v>
      </c>
      <c r="K156" s="1">
        <v>1</v>
      </c>
      <c r="L156" s="10">
        <v>121</v>
      </c>
      <c r="M156" s="3">
        <v>0.129</v>
      </c>
      <c r="N156" s="11">
        <v>8.0582910240083339E-3</v>
      </c>
      <c r="O156">
        <v>208</v>
      </c>
      <c r="P156" s="11">
        <v>0.12972279364857961</v>
      </c>
      <c r="Q156" s="11">
        <v>8.4745762711864406E-3</v>
      </c>
      <c r="R156" s="11">
        <v>0.1295430846461981</v>
      </c>
      <c r="S156" s="11">
        <v>8.0559899515704279E-3</v>
      </c>
      <c r="T156" s="9" t="s">
        <v>40</v>
      </c>
      <c r="U156" s="9" t="s">
        <v>50</v>
      </c>
      <c r="V156" s="9" t="s">
        <v>51</v>
      </c>
      <c r="W156" s="9" t="s">
        <v>338</v>
      </c>
      <c r="X156" s="1" t="s">
        <v>31</v>
      </c>
      <c r="Y156" s="1" t="s">
        <v>31</v>
      </c>
      <c r="Z156" s="3" t="s">
        <v>31</v>
      </c>
      <c r="AA156" s="11" t="s">
        <v>31</v>
      </c>
      <c r="AB156" s="11" t="s">
        <v>31</v>
      </c>
      <c r="AC156" s="10">
        <v>0</v>
      </c>
      <c r="AD156" s="9" t="s">
        <v>41</v>
      </c>
      <c r="AE156" s="9" t="s">
        <v>35</v>
      </c>
    </row>
    <row r="157" spans="1:31" x14ac:dyDescent="0.25">
      <c r="A157" s="9" t="s">
        <v>568</v>
      </c>
      <c r="B157" s="1" t="s">
        <v>1000</v>
      </c>
      <c r="C157" s="1" t="s">
        <v>439</v>
      </c>
      <c r="D157" s="10">
        <v>3</v>
      </c>
      <c r="E157" s="10">
        <v>2016</v>
      </c>
      <c r="F157" s="9" t="s">
        <v>28</v>
      </c>
      <c r="G157" s="9" t="s">
        <v>54</v>
      </c>
      <c r="H157" s="1">
        <v>12.5</v>
      </c>
      <c r="I157" s="1">
        <v>3.3</v>
      </c>
      <c r="J157" s="9" t="s">
        <v>30</v>
      </c>
      <c r="K157" s="1">
        <v>0.53</v>
      </c>
      <c r="L157" s="10">
        <v>50</v>
      </c>
      <c r="M157" s="3">
        <v>0.21</v>
      </c>
      <c r="N157" s="11">
        <v>1.864785326530612E-2</v>
      </c>
      <c r="O157">
        <v>6</v>
      </c>
      <c r="P157" s="11">
        <v>0.21317134656485981</v>
      </c>
      <c r="Q157" s="11">
        <v>2.1276595744680851E-2</v>
      </c>
      <c r="R157" s="11">
        <v>0.21218873910981911</v>
      </c>
      <c r="S157" s="11">
        <v>1.8611817225701089E-2</v>
      </c>
      <c r="T157" s="9" t="s">
        <v>40</v>
      </c>
      <c r="U157" s="9" t="s">
        <v>50</v>
      </c>
      <c r="V157" s="9" t="s">
        <v>33</v>
      </c>
      <c r="W157" s="9" t="s">
        <v>343</v>
      </c>
      <c r="X157" s="1">
        <v>17</v>
      </c>
      <c r="Y157" s="1">
        <v>15</v>
      </c>
      <c r="Z157" s="3">
        <f>X157/Y157</f>
        <v>1.1333333333333333</v>
      </c>
      <c r="AA157" s="11">
        <v>0.18620559882400381</v>
      </c>
      <c r="AB157" s="11">
        <v>0.12636338702196029</v>
      </c>
      <c r="AC157" s="10">
        <v>1</v>
      </c>
      <c r="AD157" s="9" t="s">
        <v>41</v>
      </c>
      <c r="AE157" s="9" t="s">
        <v>35</v>
      </c>
    </row>
    <row r="158" spans="1:31" x14ac:dyDescent="0.25">
      <c r="A158" s="9" t="s">
        <v>568</v>
      </c>
      <c r="B158" s="1" t="s">
        <v>1001</v>
      </c>
      <c r="C158" s="1" t="s">
        <v>440</v>
      </c>
      <c r="D158" s="10">
        <v>3</v>
      </c>
      <c r="E158" s="10">
        <v>2016</v>
      </c>
      <c r="F158" s="9" t="s">
        <v>38</v>
      </c>
      <c r="G158" s="9" t="s">
        <v>54</v>
      </c>
      <c r="H158" s="1">
        <v>11.9</v>
      </c>
      <c r="I158" s="1">
        <v>3.4</v>
      </c>
      <c r="J158" s="9" t="s">
        <v>30</v>
      </c>
      <c r="K158" s="1">
        <v>0.48</v>
      </c>
      <c r="L158" s="10">
        <v>66</v>
      </c>
      <c r="M158" s="3">
        <v>0.09</v>
      </c>
      <c r="N158" s="11">
        <v>1.5136393999999999E-2</v>
      </c>
      <c r="O158">
        <v>6</v>
      </c>
      <c r="P158" s="11">
        <v>9.024418785614681E-2</v>
      </c>
      <c r="Q158" s="11">
        <v>1.5873015873015869E-2</v>
      </c>
      <c r="R158" s="11">
        <v>9.0722586994915907E-2</v>
      </c>
      <c r="S158" s="11">
        <v>1.5132408722973631E-2</v>
      </c>
      <c r="T158" s="9" t="s">
        <v>40</v>
      </c>
      <c r="U158" s="9" t="s">
        <v>50</v>
      </c>
      <c r="V158" s="9" t="s">
        <v>33</v>
      </c>
      <c r="W158" s="9" t="s">
        <v>343</v>
      </c>
      <c r="X158" s="1">
        <v>12</v>
      </c>
      <c r="Y158" s="1">
        <v>15</v>
      </c>
      <c r="Z158" s="3">
        <f>X158/Y158</f>
        <v>0.8</v>
      </c>
      <c r="AA158" s="11">
        <v>0.11224458341322679</v>
      </c>
      <c r="AB158" s="11">
        <v>0.1545583885606219</v>
      </c>
      <c r="AC158" s="10">
        <v>1</v>
      </c>
      <c r="AD158" s="9" t="s">
        <v>41</v>
      </c>
      <c r="AE158" s="9" t="s">
        <v>35</v>
      </c>
    </row>
    <row r="159" spans="1:31" x14ac:dyDescent="0.25">
      <c r="A159" s="9" t="s">
        <v>569</v>
      </c>
      <c r="B159" s="1" t="s">
        <v>1002</v>
      </c>
      <c r="C159" s="1" t="s">
        <v>441</v>
      </c>
      <c r="D159" s="10">
        <v>3</v>
      </c>
      <c r="E159" s="10">
        <v>2017</v>
      </c>
      <c r="F159" s="9" t="s">
        <v>38</v>
      </c>
      <c r="G159" s="9" t="s">
        <v>54</v>
      </c>
      <c r="H159" s="1">
        <v>3</v>
      </c>
      <c r="I159" s="1">
        <v>0.38750000000000001</v>
      </c>
      <c r="J159" s="9" t="s">
        <v>43</v>
      </c>
      <c r="K159" s="1">
        <v>1</v>
      </c>
      <c r="L159" s="10">
        <v>49</v>
      </c>
      <c r="M159" s="3">
        <v>0.35</v>
      </c>
      <c r="N159" s="11">
        <v>1.6041796875E-2</v>
      </c>
      <c r="O159">
        <v>716</v>
      </c>
      <c r="P159" s="11">
        <v>0.36544375427139619</v>
      </c>
      <c r="Q159" s="11">
        <v>2.1739130434782612E-2</v>
      </c>
      <c r="R159" s="11">
        <v>0.35340947973959419</v>
      </c>
      <c r="S159" s="11">
        <v>1.595423030632883E-2</v>
      </c>
      <c r="T159" s="9" t="s">
        <v>40</v>
      </c>
      <c r="U159" s="9" t="s">
        <v>50</v>
      </c>
      <c r="V159" s="9" t="s">
        <v>33</v>
      </c>
      <c r="W159" s="9" t="s">
        <v>346</v>
      </c>
      <c r="X159" s="1">
        <v>11.94</v>
      </c>
      <c r="Y159" s="1">
        <v>15</v>
      </c>
      <c r="Z159" s="3">
        <f>X159/Y159</f>
        <v>0.79599999999999993</v>
      </c>
      <c r="AA159" s="11">
        <v>0.42490686286216878</v>
      </c>
      <c r="AB159" s="11">
        <v>0.15490943606155691</v>
      </c>
      <c r="AC159" s="10">
        <v>0</v>
      </c>
      <c r="AD159" s="9" t="s">
        <v>41</v>
      </c>
      <c r="AE159" s="9" t="s">
        <v>35</v>
      </c>
    </row>
    <row r="160" spans="1:31" x14ac:dyDescent="0.25">
      <c r="A160" s="9" t="s">
        <v>569</v>
      </c>
      <c r="B160" s="1" t="s">
        <v>1003</v>
      </c>
      <c r="C160" s="1" t="s">
        <v>442</v>
      </c>
      <c r="D160" s="10">
        <v>3</v>
      </c>
      <c r="E160" s="10">
        <v>2017</v>
      </c>
      <c r="F160" s="9" t="s">
        <v>28</v>
      </c>
      <c r="G160" s="9" t="s">
        <v>54</v>
      </c>
      <c r="H160" s="1">
        <v>3.0750000000000002</v>
      </c>
      <c r="I160" s="1">
        <v>0.45300000000000001</v>
      </c>
      <c r="J160" s="9" t="s">
        <v>43</v>
      </c>
      <c r="K160" s="1">
        <v>1</v>
      </c>
      <c r="L160" s="10">
        <v>19</v>
      </c>
      <c r="M160" s="3">
        <v>-0.18</v>
      </c>
      <c r="N160" s="11">
        <v>5.2013875555555561E-2</v>
      </c>
      <c r="O160">
        <v>716</v>
      </c>
      <c r="P160" s="11">
        <v>-0.18198268860070579</v>
      </c>
      <c r="Q160" s="11">
        <v>6.25E-2</v>
      </c>
      <c r="R160" s="11">
        <v>-0.18586615911873491</v>
      </c>
      <c r="S160" s="11">
        <v>5.1783387985239529E-2</v>
      </c>
      <c r="T160" s="9" t="s">
        <v>40</v>
      </c>
      <c r="U160" s="9" t="s">
        <v>50</v>
      </c>
      <c r="V160" s="9" t="s">
        <v>33</v>
      </c>
      <c r="W160" s="9" t="s">
        <v>346</v>
      </c>
      <c r="X160" s="1">
        <v>22.42</v>
      </c>
      <c r="Y160" s="1">
        <v>15</v>
      </c>
      <c r="Z160" s="3">
        <f>X160/Y160</f>
        <v>1.4946666666666668</v>
      </c>
      <c r="AA160" s="11">
        <v>-0.1215205281554041</v>
      </c>
      <c r="AB160" s="11">
        <v>0.1639999053690385</v>
      </c>
      <c r="AC160" s="10">
        <v>0</v>
      </c>
      <c r="AD160" s="9" t="s">
        <v>41</v>
      </c>
      <c r="AE160" s="9" t="s">
        <v>35</v>
      </c>
    </row>
    <row r="161" spans="1:31" x14ac:dyDescent="0.25">
      <c r="A161" s="9" t="s">
        <v>569</v>
      </c>
      <c r="B161" s="1" t="s">
        <v>1004</v>
      </c>
      <c r="C161" s="1" t="s">
        <v>443</v>
      </c>
      <c r="D161" s="10">
        <v>3</v>
      </c>
      <c r="E161" s="10">
        <v>2017</v>
      </c>
      <c r="F161" s="9" t="s">
        <v>28</v>
      </c>
      <c r="G161" s="9" t="s">
        <v>54</v>
      </c>
      <c r="H161" s="1">
        <v>3.133</v>
      </c>
      <c r="I161" s="1">
        <v>0.51100000000000001</v>
      </c>
      <c r="J161" s="9" t="s">
        <v>43</v>
      </c>
      <c r="K161" s="1">
        <v>1</v>
      </c>
      <c r="L161" s="10">
        <v>110</v>
      </c>
      <c r="M161" s="3">
        <v>1.0999999999999999E-2</v>
      </c>
      <c r="N161" s="11">
        <v>9.1720918774403654E-3</v>
      </c>
      <c r="O161">
        <v>717</v>
      </c>
      <c r="P161" s="11">
        <v>1.100044369887958E-2</v>
      </c>
      <c r="Q161" s="11">
        <v>9.3457943925233638E-3</v>
      </c>
      <c r="R161" s="11">
        <v>1.1052002157119481E-2</v>
      </c>
      <c r="S161" s="11">
        <v>9.1720708386831828E-3</v>
      </c>
      <c r="T161" s="9" t="s">
        <v>40</v>
      </c>
      <c r="U161" s="9" t="s">
        <v>50</v>
      </c>
      <c r="V161" s="9" t="s">
        <v>33</v>
      </c>
      <c r="W161" s="9" t="s">
        <v>346</v>
      </c>
      <c r="X161" s="1">
        <v>21.32</v>
      </c>
      <c r="Y161" s="1">
        <v>15</v>
      </c>
      <c r="Z161" s="3">
        <f>X161/Y161</f>
        <v>1.4213333333333333</v>
      </c>
      <c r="AA161" s="11">
        <v>7.7394484690587644E-3</v>
      </c>
      <c r="AB161" s="11">
        <v>6.7702656826419363E-2</v>
      </c>
      <c r="AC161" s="10">
        <v>0</v>
      </c>
      <c r="AD161" s="9" t="s">
        <v>41</v>
      </c>
      <c r="AE161" s="9" t="s">
        <v>35</v>
      </c>
    </row>
    <row r="162" spans="1:31" x14ac:dyDescent="0.25">
      <c r="A162" s="9" t="s">
        <v>570</v>
      </c>
      <c r="B162" s="1" t="s">
        <v>1005</v>
      </c>
      <c r="C162" s="1" t="s">
        <v>444</v>
      </c>
      <c r="D162" s="10">
        <v>3</v>
      </c>
      <c r="E162" s="10">
        <v>2017</v>
      </c>
      <c r="F162" s="9" t="s">
        <v>38</v>
      </c>
      <c r="G162" s="9" t="s">
        <v>54</v>
      </c>
      <c r="H162" s="1">
        <v>9.1999999999999993</v>
      </c>
      <c r="I162" s="1">
        <v>0.5</v>
      </c>
      <c r="J162" s="9" t="s">
        <v>30</v>
      </c>
      <c r="K162" s="1">
        <v>0.46</v>
      </c>
      <c r="L162" s="10">
        <v>46</v>
      </c>
      <c r="M162" s="3">
        <v>0.51</v>
      </c>
      <c r="N162" s="11">
        <v>1.216560022222222E-2</v>
      </c>
      <c r="O162">
        <v>1322</v>
      </c>
      <c r="P162" s="11">
        <v>0.56272976935214891</v>
      </c>
      <c r="Q162" s="11">
        <v>2.3255813953488368E-2</v>
      </c>
      <c r="R162" s="11">
        <v>0.51445423692040115</v>
      </c>
      <c r="S162" s="11">
        <v>1.201600589974328E-2</v>
      </c>
      <c r="T162" s="9" t="s">
        <v>40</v>
      </c>
      <c r="U162" s="9" t="s">
        <v>50</v>
      </c>
      <c r="V162" s="9" t="s">
        <v>33</v>
      </c>
      <c r="W162" s="9" t="s">
        <v>268</v>
      </c>
      <c r="X162" s="1" t="s">
        <v>31</v>
      </c>
      <c r="Y162" s="1" t="s">
        <v>31</v>
      </c>
      <c r="Z162" s="3" t="s">
        <v>31</v>
      </c>
      <c r="AA162" s="11" t="s">
        <v>31</v>
      </c>
      <c r="AB162" s="11" t="s">
        <v>31</v>
      </c>
      <c r="AC162" s="10">
        <v>0</v>
      </c>
      <c r="AD162" s="9" t="s">
        <v>41</v>
      </c>
      <c r="AE162" s="9" t="s">
        <v>35</v>
      </c>
    </row>
    <row r="163" spans="1:31" x14ac:dyDescent="0.25">
      <c r="A163" s="9" t="s">
        <v>903</v>
      </c>
      <c r="B163" s="1" t="s">
        <v>280</v>
      </c>
      <c r="C163" s="1" t="s">
        <v>445</v>
      </c>
      <c r="D163" s="10">
        <v>3</v>
      </c>
      <c r="E163" s="10">
        <v>2017</v>
      </c>
      <c r="F163" s="9" t="s">
        <v>38</v>
      </c>
      <c r="G163" s="9" t="s">
        <v>29</v>
      </c>
      <c r="H163" s="1">
        <v>92.1</v>
      </c>
      <c r="I163" s="1">
        <v>0.34</v>
      </c>
      <c r="J163" s="9" t="s">
        <v>30</v>
      </c>
      <c r="K163" s="1">
        <v>0.45</v>
      </c>
      <c r="L163" s="10">
        <v>34</v>
      </c>
      <c r="M163" s="3">
        <v>0.23</v>
      </c>
      <c r="N163" s="11">
        <v>2.7181770000000001E-2</v>
      </c>
      <c r="O163" t="s">
        <v>932</v>
      </c>
      <c r="P163" s="11">
        <v>0.2341894667593668</v>
      </c>
      <c r="Q163" s="11">
        <v>3.2258064516129031E-2</v>
      </c>
      <c r="R163" s="11">
        <v>0.23364481867645001</v>
      </c>
      <c r="S163" s="11">
        <v>2.7084856204079539E-2</v>
      </c>
      <c r="T163" s="9" t="s">
        <v>40</v>
      </c>
      <c r="U163" s="9" t="s">
        <v>50</v>
      </c>
      <c r="V163" s="9" t="s">
        <v>51</v>
      </c>
      <c r="W163" s="9" t="s">
        <v>586</v>
      </c>
      <c r="X163" s="1" t="s">
        <v>31</v>
      </c>
      <c r="Y163" s="1" t="s">
        <v>31</v>
      </c>
      <c r="Z163" s="3" t="s">
        <v>31</v>
      </c>
      <c r="AA163" s="11" t="s">
        <v>31</v>
      </c>
      <c r="AB163" s="11" t="s">
        <v>31</v>
      </c>
      <c r="AC163" s="10">
        <v>0</v>
      </c>
      <c r="AD163" s="9" t="s">
        <v>34</v>
      </c>
      <c r="AE163" s="9" t="s">
        <v>35</v>
      </c>
    </row>
    <row r="164" spans="1:31" x14ac:dyDescent="0.25">
      <c r="A164" s="9" t="s">
        <v>571</v>
      </c>
      <c r="B164" s="1" t="s">
        <v>1006</v>
      </c>
      <c r="C164" s="1" t="s">
        <v>446</v>
      </c>
      <c r="D164" s="10">
        <v>3</v>
      </c>
      <c r="E164" s="10">
        <v>2017</v>
      </c>
      <c r="F164" s="9" t="s">
        <v>38</v>
      </c>
      <c r="G164" s="9" t="s">
        <v>29</v>
      </c>
      <c r="H164" s="1">
        <v>28.82</v>
      </c>
      <c r="I164" s="1">
        <v>3.66</v>
      </c>
      <c r="J164" s="9" t="s">
        <v>39</v>
      </c>
      <c r="K164" s="1">
        <v>0</v>
      </c>
      <c r="L164" s="10">
        <v>503</v>
      </c>
      <c r="M164" s="3">
        <v>0.26400000000000001</v>
      </c>
      <c r="N164" s="11">
        <v>1.724034925131474E-3</v>
      </c>
      <c r="O164">
        <v>82</v>
      </c>
      <c r="P164" s="11">
        <v>0.27040322798896332</v>
      </c>
      <c r="Q164" s="11">
        <v>2E-3</v>
      </c>
      <c r="R164" s="11">
        <v>0.26424613795535112</v>
      </c>
      <c r="S164" s="11">
        <v>1.7235530486440489E-3</v>
      </c>
      <c r="T164" s="9" t="s">
        <v>40</v>
      </c>
      <c r="U164" s="9" t="s">
        <v>50</v>
      </c>
      <c r="V164" s="9" t="s">
        <v>33</v>
      </c>
      <c r="W164" s="9" t="s">
        <v>345</v>
      </c>
      <c r="X164" s="1">
        <v>0.88</v>
      </c>
      <c r="Y164" s="1">
        <v>1</v>
      </c>
      <c r="Z164" s="3">
        <f t="shared" ref="Z164:Z169" si="6">X164/Y164</f>
        <v>0.88</v>
      </c>
      <c r="AA164" s="11">
        <v>0.29700000736560028</v>
      </c>
      <c r="AB164" s="11">
        <v>4.7513445518108141E-2</v>
      </c>
      <c r="AC164" s="10">
        <v>1</v>
      </c>
      <c r="AD164" s="9" t="s">
        <v>41</v>
      </c>
      <c r="AE164" s="9" t="s">
        <v>35</v>
      </c>
    </row>
    <row r="165" spans="1:31" x14ac:dyDescent="0.25">
      <c r="A165" s="9" t="s">
        <v>571</v>
      </c>
      <c r="B165" s="1" t="s">
        <v>1007</v>
      </c>
      <c r="C165" s="1" t="s">
        <v>447</v>
      </c>
      <c r="D165" s="10">
        <v>3</v>
      </c>
      <c r="E165" s="10">
        <v>2017</v>
      </c>
      <c r="F165" s="9" t="s">
        <v>38</v>
      </c>
      <c r="G165" s="9" t="s">
        <v>29</v>
      </c>
      <c r="H165" s="1">
        <v>28.82</v>
      </c>
      <c r="I165" s="1">
        <v>3.66</v>
      </c>
      <c r="J165" s="9" t="s">
        <v>43</v>
      </c>
      <c r="K165" s="1">
        <v>1</v>
      </c>
      <c r="L165" s="10">
        <v>393</v>
      </c>
      <c r="M165" s="3">
        <v>0.245</v>
      </c>
      <c r="N165" s="11">
        <v>2.2539617362882648E-3</v>
      </c>
      <c r="O165">
        <v>82</v>
      </c>
      <c r="P165" s="11">
        <v>0.25008652982489171</v>
      </c>
      <c r="Q165" s="11">
        <v>2.5641025641025641E-3</v>
      </c>
      <c r="R165" s="11">
        <v>0.2452960942199065</v>
      </c>
      <c r="S165" s="11">
        <v>2.25326556668571E-3</v>
      </c>
      <c r="T165" s="9" t="s">
        <v>40</v>
      </c>
      <c r="U165" s="9" t="s">
        <v>50</v>
      </c>
      <c r="V165" s="9" t="s">
        <v>33</v>
      </c>
      <c r="W165" s="9" t="s">
        <v>345</v>
      </c>
      <c r="X165" s="1">
        <v>0.89</v>
      </c>
      <c r="Y165" s="1">
        <v>1</v>
      </c>
      <c r="Z165" s="3">
        <f t="shared" si="6"/>
        <v>0.89</v>
      </c>
      <c r="AA165" s="11">
        <v>0.27313772295759031</v>
      </c>
      <c r="AB165" s="11">
        <v>5.3814162604584929E-2</v>
      </c>
      <c r="AC165" s="10">
        <v>1</v>
      </c>
      <c r="AD165" s="9" t="s">
        <v>41</v>
      </c>
      <c r="AE165" s="9" t="s">
        <v>35</v>
      </c>
    </row>
    <row r="166" spans="1:31" x14ac:dyDescent="0.25">
      <c r="A166" s="9" t="s">
        <v>906</v>
      </c>
      <c r="B166" s="1" t="s">
        <v>1008</v>
      </c>
      <c r="C166" s="1" t="s">
        <v>448</v>
      </c>
      <c r="D166" s="10">
        <v>3</v>
      </c>
      <c r="E166" s="10">
        <v>2017</v>
      </c>
      <c r="F166" s="9" t="s">
        <v>38</v>
      </c>
      <c r="G166" s="9" t="s">
        <v>29</v>
      </c>
      <c r="H166" s="1">
        <v>44.6</v>
      </c>
      <c r="I166" s="1">
        <v>14.5</v>
      </c>
      <c r="J166" s="9" t="s">
        <v>30</v>
      </c>
      <c r="K166" s="1">
        <v>0.49</v>
      </c>
      <c r="L166" s="10">
        <v>160</v>
      </c>
      <c r="M166" s="3">
        <v>0.28000000000000003</v>
      </c>
      <c r="N166" s="11">
        <v>5.341802264150943E-3</v>
      </c>
      <c r="O166">
        <v>61</v>
      </c>
      <c r="P166" s="11">
        <v>0.28768207245178101</v>
      </c>
      <c r="Q166" s="11">
        <v>6.369426751592357E-3</v>
      </c>
      <c r="R166" s="11">
        <v>0.28082745073705462</v>
      </c>
      <c r="S166" s="11">
        <v>5.3364240586500043E-3</v>
      </c>
      <c r="T166" s="9" t="s">
        <v>40</v>
      </c>
      <c r="U166" s="9" t="s">
        <v>50</v>
      </c>
      <c r="V166" s="9" t="s">
        <v>33</v>
      </c>
      <c r="W166" s="9" t="s">
        <v>974</v>
      </c>
      <c r="X166" s="1">
        <v>16.8</v>
      </c>
      <c r="Y166" s="1">
        <v>15</v>
      </c>
      <c r="Z166" s="3">
        <f t="shared" si="6"/>
        <v>1.1200000000000001</v>
      </c>
      <c r="AA166" s="11">
        <v>0.25201151940741351</v>
      </c>
      <c r="AB166" s="11">
        <v>6.9849904903077048E-2</v>
      </c>
      <c r="AC166" s="10">
        <v>2</v>
      </c>
      <c r="AD166" s="9" t="s">
        <v>41</v>
      </c>
      <c r="AE166" s="9" t="s">
        <v>35</v>
      </c>
    </row>
    <row r="167" spans="1:31" x14ac:dyDescent="0.25">
      <c r="A167" s="9" t="s">
        <v>572</v>
      </c>
      <c r="B167" s="1" t="s">
        <v>1009</v>
      </c>
      <c r="C167" s="1" t="s">
        <v>449</v>
      </c>
      <c r="D167" s="10">
        <v>3</v>
      </c>
      <c r="E167" s="10">
        <v>2018</v>
      </c>
      <c r="F167" s="9" t="s">
        <v>28</v>
      </c>
      <c r="G167" s="9" t="s">
        <v>54</v>
      </c>
      <c r="H167" s="1">
        <v>9.7899999999999991</v>
      </c>
      <c r="I167" s="1">
        <v>0.51</v>
      </c>
      <c r="J167" s="9" t="s">
        <v>30</v>
      </c>
      <c r="K167" s="1">
        <v>0.48</v>
      </c>
      <c r="L167" s="10">
        <v>52</v>
      </c>
      <c r="M167" s="3">
        <v>0.43</v>
      </c>
      <c r="N167" s="11">
        <v>1.3027215882352941E-2</v>
      </c>
      <c r="O167">
        <v>46</v>
      </c>
      <c r="P167" s="11">
        <v>0.45989668121267852</v>
      </c>
      <c r="Q167" s="11">
        <v>2.0408163265306121E-2</v>
      </c>
      <c r="R167" s="11">
        <v>0.43363710397162958</v>
      </c>
      <c r="S167" s="11">
        <v>1.292700379757462E-2</v>
      </c>
      <c r="T167" s="9" t="s">
        <v>40</v>
      </c>
      <c r="U167" s="9" t="s">
        <v>46</v>
      </c>
      <c r="V167" s="9" t="s">
        <v>33</v>
      </c>
      <c r="W167" s="9" t="s">
        <v>269</v>
      </c>
      <c r="X167" s="1">
        <v>18.559999999999999</v>
      </c>
      <c r="Y167" s="1">
        <v>15</v>
      </c>
      <c r="Z167" s="3">
        <f t="shared" si="6"/>
        <v>1.2373333333333332</v>
      </c>
      <c r="AA167" s="11">
        <v>0.35923090688400527</v>
      </c>
      <c r="AB167" s="11">
        <v>0.1139749964493595</v>
      </c>
      <c r="AC167" s="10">
        <v>0</v>
      </c>
      <c r="AD167" s="9" t="s">
        <v>34</v>
      </c>
      <c r="AE167" s="9" t="s">
        <v>35</v>
      </c>
    </row>
    <row r="168" spans="1:31" x14ac:dyDescent="0.25">
      <c r="A168" s="9" t="s">
        <v>843</v>
      </c>
      <c r="B168" s="1" t="s">
        <v>1010</v>
      </c>
      <c r="C168" s="1" t="s">
        <v>450</v>
      </c>
      <c r="D168" s="10">
        <v>3</v>
      </c>
      <c r="E168" s="10">
        <v>2018</v>
      </c>
      <c r="F168" s="9" t="s">
        <v>38</v>
      </c>
      <c r="G168" s="9" t="s">
        <v>29</v>
      </c>
      <c r="H168" s="1">
        <v>24.91</v>
      </c>
      <c r="I168" s="1">
        <v>5.61</v>
      </c>
      <c r="J168" s="9" t="s">
        <v>30</v>
      </c>
      <c r="K168" s="1">
        <v>0.59</v>
      </c>
      <c r="L168" s="10">
        <v>56</v>
      </c>
      <c r="M168" s="3">
        <v>0.3</v>
      </c>
      <c r="N168" s="11">
        <v>1.505636363636364E-2</v>
      </c>
      <c r="O168" t="s">
        <v>63</v>
      </c>
      <c r="P168" s="11">
        <v>0.30951960420311181</v>
      </c>
      <c r="Q168" s="11">
        <v>1.886792452830189E-2</v>
      </c>
      <c r="R168" s="11">
        <v>0.30262688114031538</v>
      </c>
      <c r="S168" s="11">
        <v>1.5004025324690031E-2</v>
      </c>
      <c r="T168" s="9" t="s">
        <v>40</v>
      </c>
      <c r="U168" s="9" t="s">
        <v>50</v>
      </c>
      <c r="V168" s="9" t="s">
        <v>33</v>
      </c>
      <c r="W168" s="9" t="s">
        <v>844</v>
      </c>
      <c r="X168" s="1">
        <v>1</v>
      </c>
      <c r="Y168" s="1">
        <v>1</v>
      </c>
      <c r="Z168" s="3">
        <f t="shared" si="6"/>
        <v>1</v>
      </c>
      <c r="AA168" s="11">
        <v>0.3</v>
      </c>
      <c r="AB168" s="11">
        <v>0.12981468272831029</v>
      </c>
      <c r="AC168" s="10">
        <v>0</v>
      </c>
      <c r="AD168" s="9" t="s">
        <v>34</v>
      </c>
      <c r="AE168" s="9" t="s">
        <v>63</v>
      </c>
    </row>
    <row r="169" spans="1:31" x14ac:dyDescent="0.25">
      <c r="A169" s="9" t="s">
        <v>843</v>
      </c>
      <c r="B169" s="1" t="s">
        <v>1011</v>
      </c>
      <c r="C169" s="1" t="s">
        <v>451</v>
      </c>
      <c r="D169" s="10">
        <v>3</v>
      </c>
      <c r="E169" s="10">
        <v>2018</v>
      </c>
      <c r="F169" s="9" t="s">
        <v>28</v>
      </c>
      <c r="G169" s="9" t="s">
        <v>29</v>
      </c>
      <c r="H169" s="1">
        <v>24.69</v>
      </c>
      <c r="I169" s="1">
        <v>5.93</v>
      </c>
      <c r="J169" s="9" t="s">
        <v>30</v>
      </c>
      <c r="K169" s="1">
        <v>0.57399999999999995</v>
      </c>
      <c r="L169" s="10">
        <v>54</v>
      </c>
      <c r="M169" s="3">
        <v>0.14000000000000001</v>
      </c>
      <c r="N169" s="11">
        <v>1.813555018867925E-2</v>
      </c>
      <c r="O169" t="s">
        <v>63</v>
      </c>
      <c r="P169" s="11">
        <v>0.14092557607049391</v>
      </c>
      <c r="Q169" s="11">
        <v>1.9607843137254902E-2</v>
      </c>
      <c r="R169" s="11">
        <v>0.14137808621116491</v>
      </c>
      <c r="S169" s="11">
        <v>1.812120724827743E-2</v>
      </c>
      <c r="T169" s="9" t="s">
        <v>40</v>
      </c>
      <c r="U169" s="9" t="s">
        <v>50</v>
      </c>
      <c r="V169" s="9" t="s">
        <v>33</v>
      </c>
      <c r="W169" s="9" t="s">
        <v>844</v>
      </c>
      <c r="X169" s="1">
        <v>1.63</v>
      </c>
      <c r="Y169" s="1">
        <v>1</v>
      </c>
      <c r="Z169" s="3">
        <f t="shared" si="6"/>
        <v>1.63</v>
      </c>
      <c r="AA169" s="11">
        <v>8.6419345424107272E-2</v>
      </c>
      <c r="AB169" s="11">
        <v>8.580725295467298E-2</v>
      </c>
      <c r="AC169" s="10">
        <v>0</v>
      </c>
      <c r="AD169" s="9" t="s">
        <v>34</v>
      </c>
      <c r="AE169" s="9" t="s">
        <v>63</v>
      </c>
    </row>
    <row r="170" spans="1:31" x14ac:dyDescent="0.25">
      <c r="A170" s="9" t="s">
        <v>573</v>
      </c>
      <c r="B170" s="1" t="s">
        <v>1012</v>
      </c>
      <c r="C170" s="1" t="s">
        <v>452</v>
      </c>
      <c r="D170" s="10">
        <v>3</v>
      </c>
      <c r="E170" s="10">
        <v>2018</v>
      </c>
      <c r="F170" s="9" t="s">
        <v>28</v>
      </c>
      <c r="G170" s="9" t="s">
        <v>29</v>
      </c>
      <c r="H170" s="1">
        <v>72</v>
      </c>
      <c r="I170" s="1" t="s">
        <v>31</v>
      </c>
      <c r="J170" s="9" t="s">
        <v>30</v>
      </c>
      <c r="K170" s="1">
        <v>0.61</v>
      </c>
      <c r="L170" s="10">
        <v>243</v>
      </c>
      <c r="M170" s="3">
        <v>0.182</v>
      </c>
      <c r="N170" s="11">
        <v>3.863013220561983E-3</v>
      </c>
      <c r="O170">
        <v>150</v>
      </c>
      <c r="P170" s="11">
        <v>0.18405043068164809</v>
      </c>
      <c r="Q170" s="11">
        <v>4.1666666666666666E-3</v>
      </c>
      <c r="R170" s="11">
        <v>0.1823684094863009</v>
      </c>
      <c r="S170" s="11">
        <v>3.861940647754102E-3</v>
      </c>
      <c r="T170" s="9" t="s">
        <v>40</v>
      </c>
      <c r="U170" s="9" t="s">
        <v>50</v>
      </c>
      <c r="V170" s="9" t="s">
        <v>33</v>
      </c>
      <c r="W170" s="9" t="s">
        <v>348</v>
      </c>
      <c r="X170" s="1" t="s">
        <v>31</v>
      </c>
      <c r="Y170" s="1" t="s">
        <v>31</v>
      </c>
      <c r="Z170" s="3" t="s">
        <v>31</v>
      </c>
      <c r="AA170" s="11" t="s">
        <v>31</v>
      </c>
      <c r="AB170" s="11" t="s">
        <v>31</v>
      </c>
      <c r="AC170" s="10">
        <v>3</v>
      </c>
      <c r="AD170" s="9" t="s">
        <v>34</v>
      </c>
      <c r="AE170" s="9" t="s">
        <v>35</v>
      </c>
    </row>
    <row r="171" spans="1:31" x14ac:dyDescent="0.25">
      <c r="A171" s="9" t="s">
        <v>574</v>
      </c>
      <c r="B171" s="1" t="s">
        <v>1013</v>
      </c>
      <c r="C171" s="1" t="s">
        <v>453</v>
      </c>
      <c r="D171" s="10">
        <v>3</v>
      </c>
      <c r="E171" s="10">
        <v>2018</v>
      </c>
      <c r="F171" s="9" t="s">
        <v>28</v>
      </c>
      <c r="G171" s="9" t="s">
        <v>29</v>
      </c>
      <c r="H171" s="1">
        <v>18.96</v>
      </c>
      <c r="I171" s="1">
        <v>0.86</v>
      </c>
      <c r="J171" s="9" t="s">
        <v>30</v>
      </c>
      <c r="K171" s="1">
        <v>0.6</v>
      </c>
      <c r="L171" s="10">
        <v>82</v>
      </c>
      <c r="M171" s="3">
        <v>0.3</v>
      </c>
      <c r="N171" s="11">
        <v>1.022345679012346E-2</v>
      </c>
      <c r="O171" t="s">
        <v>930</v>
      </c>
      <c r="P171" s="11">
        <v>0.30951960420311181</v>
      </c>
      <c r="Q171" s="11">
        <v>1.2658227848101271E-2</v>
      </c>
      <c r="R171" s="11">
        <v>0.30175091362826623</v>
      </c>
      <c r="S171" s="11">
        <v>1.0199796701837051E-2</v>
      </c>
      <c r="T171" s="9" t="s">
        <v>40</v>
      </c>
      <c r="U171" s="9" t="s">
        <v>50</v>
      </c>
      <c r="V171" s="9" t="s">
        <v>33</v>
      </c>
      <c r="W171" s="9" t="s">
        <v>347</v>
      </c>
      <c r="X171" s="1" t="s">
        <v>31</v>
      </c>
      <c r="Y171" s="1" t="s">
        <v>31</v>
      </c>
      <c r="Z171" s="3" t="s">
        <v>31</v>
      </c>
      <c r="AA171" s="11" t="s">
        <v>31</v>
      </c>
      <c r="AB171" s="11" t="s">
        <v>31</v>
      </c>
      <c r="AC171" s="10">
        <v>0</v>
      </c>
      <c r="AD171" s="9" t="s">
        <v>34</v>
      </c>
      <c r="AE171" s="9" t="s">
        <v>35</v>
      </c>
    </row>
    <row r="172" spans="1:31" x14ac:dyDescent="0.25">
      <c r="A172" s="9" t="s">
        <v>575</v>
      </c>
      <c r="B172" s="1" t="s">
        <v>1014</v>
      </c>
      <c r="C172" s="1" t="s">
        <v>454</v>
      </c>
      <c r="D172" s="10">
        <v>3</v>
      </c>
      <c r="E172" s="10">
        <v>2018</v>
      </c>
      <c r="F172" s="9" t="s">
        <v>28</v>
      </c>
      <c r="G172" s="9" t="s">
        <v>54</v>
      </c>
      <c r="H172" s="1">
        <v>10.8</v>
      </c>
      <c r="I172" s="1">
        <v>1.1200000000000001</v>
      </c>
      <c r="J172" s="9" t="s">
        <v>30</v>
      </c>
      <c r="K172" s="1">
        <v>0.66</v>
      </c>
      <c r="L172" s="10">
        <v>30</v>
      </c>
      <c r="M172" s="3">
        <v>0</v>
      </c>
      <c r="N172" s="11">
        <v>3.4482758620689662E-2</v>
      </c>
      <c r="O172">
        <v>383</v>
      </c>
      <c r="P172" s="11">
        <v>0</v>
      </c>
      <c r="Q172" s="11">
        <v>3.7037037037037042E-2</v>
      </c>
      <c r="R172" s="11">
        <v>0</v>
      </c>
      <c r="S172" s="11">
        <v>3.4482758620689662E-2</v>
      </c>
      <c r="T172" s="9" t="s">
        <v>40</v>
      </c>
      <c r="U172" s="9" t="s">
        <v>50</v>
      </c>
      <c r="V172" s="9" t="s">
        <v>33</v>
      </c>
      <c r="W172" s="9" t="s">
        <v>270</v>
      </c>
      <c r="X172" s="1">
        <v>13.89</v>
      </c>
      <c r="Y172" s="1">
        <v>15</v>
      </c>
      <c r="Z172" s="3">
        <f>X172/Y172</f>
        <v>0.92600000000000005</v>
      </c>
      <c r="AA172" s="11">
        <v>0</v>
      </c>
      <c r="AB172" s="11" t="s">
        <v>31</v>
      </c>
      <c r="AC172" s="10">
        <v>0</v>
      </c>
      <c r="AD172" s="9" t="s">
        <v>34</v>
      </c>
      <c r="AE172" s="9" t="s">
        <v>35</v>
      </c>
    </row>
    <row r="173" spans="1:31" x14ac:dyDescent="0.25">
      <c r="A173" s="9" t="s">
        <v>576</v>
      </c>
      <c r="B173" s="1" t="s">
        <v>1015</v>
      </c>
      <c r="C173" s="1" t="s">
        <v>455</v>
      </c>
      <c r="D173" s="10">
        <v>3</v>
      </c>
      <c r="E173" s="10">
        <v>2018</v>
      </c>
      <c r="F173" s="9" t="s">
        <v>38</v>
      </c>
      <c r="G173" s="9" t="s">
        <v>29</v>
      </c>
      <c r="H173" s="1">
        <v>20.8</v>
      </c>
      <c r="I173" s="1">
        <v>1.8</v>
      </c>
      <c r="J173" s="9" t="s">
        <v>30</v>
      </c>
      <c r="K173" s="1">
        <v>0.57999999999999996</v>
      </c>
      <c r="L173" s="10">
        <v>1319</v>
      </c>
      <c r="M173" s="3">
        <v>6.7000000000000004E-2</v>
      </c>
      <c r="N173" s="11">
        <v>7.5192879447723824E-4</v>
      </c>
      <c r="O173">
        <v>5</v>
      </c>
      <c r="P173" s="11">
        <v>6.7100525227204694E-2</v>
      </c>
      <c r="Q173" s="11">
        <v>7.5987841945288754E-4</v>
      </c>
      <c r="R173" s="11">
        <v>6.7025365551115268E-2</v>
      </c>
      <c r="S173" s="11">
        <v>7.5192365887700281E-4</v>
      </c>
      <c r="T173" s="9" t="s">
        <v>40</v>
      </c>
      <c r="U173" s="9" t="s">
        <v>46</v>
      </c>
      <c r="V173" s="9" t="s">
        <v>33</v>
      </c>
      <c r="W173" s="9" t="s">
        <v>271</v>
      </c>
      <c r="X173" s="1" t="s">
        <v>31</v>
      </c>
      <c r="Y173" s="1" t="s">
        <v>31</v>
      </c>
      <c r="Z173" s="3" t="s">
        <v>31</v>
      </c>
      <c r="AA173" s="11" t="s">
        <v>31</v>
      </c>
      <c r="AB173" s="11" t="s">
        <v>31</v>
      </c>
      <c r="AC173" s="10">
        <v>2</v>
      </c>
      <c r="AD173" s="9" t="s">
        <v>34</v>
      </c>
      <c r="AE173" s="9" t="s">
        <v>35</v>
      </c>
    </row>
    <row r="174" spans="1:31" x14ac:dyDescent="0.25">
      <c r="A174" s="9" t="s">
        <v>577</v>
      </c>
      <c r="B174" s="1" t="s">
        <v>1016</v>
      </c>
      <c r="C174" s="1" t="s">
        <v>456</v>
      </c>
      <c r="D174" s="10">
        <v>3</v>
      </c>
      <c r="E174" s="10">
        <v>2018</v>
      </c>
      <c r="F174" s="9" t="s">
        <v>28</v>
      </c>
      <c r="G174" s="9" t="s">
        <v>29</v>
      </c>
      <c r="H174" s="1">
        <v>70.010000000000005</v>
      </c>
      <c r="I174" s="1">
        <v>9.75</v>
      </c>
      <c r="J174" s="9" t="s">
        <v>30</v>
      </c>
      <c r="K174" s="1">
        <v>0.65</v>
      </c>
      <c r="L174" s="10">
        <v>118</v>
      </c>
      <c r="M174" s="3">
        <v>0.23400000000000001</v>
      </c>
      <c r="N174" s="11">
        <v>7.6366343550085466E-3</v>
      </c>
      <c r="O174">
        <v>1660</v>
      </c>
      <c r="P174" s="11">
        <v>0.23841701736237089</v>
      </c>
      <c r="Q174" s="11">
        <v>8.6956521739130436E-3</v>
      </c>
      <c r="R174" s="11">
        <v>0.234971168877387</v>
      </c>
      <c r="S174" s="11">
        <v>7.629276955780976E-3</v>
      </c>
      <c r="T174" s="9" t="s">
        <v>40</v>
      </c>
      <c r="U174" s="9" t="s">
        <v>50</v>
      </c>
      <c r="V174" s="9" t="s">
        <v>33</v>
      </c>
      <c r="W174" s="9" t="s">
        <v>349</v>
      </c>
      <c r="X174" s="1" t="s">
        <v>31</v>
      </c>
      <c r="Y174" s="1" t="s">
        <v>31</v>
      </c>
      <c r="Z174" s="3" t="s">
        <v>31</v>
      </c>
      <c r="AA174" s="11" t="s">
        <v>31</v>
      </c>
      <c r="AB174" s="11" t="s">
        <v>31</v>
      </c>
      <c r="AC174" s="10">
        <v>4</v>
      </c>
      <c r="AD174" s="9" t="s">
        <v>34</v>
      </c>
      <c r="AE174" s="9" t="s">
        <v>35</v>
      </c>
    </row>
    <row r="175" spans="1:31" x14ac:dyDescent="0.25">
      <c r="A175" s="9" t="s">
        <v>578</v>
      </c>
      <c r="B175" s="1" t="s">
        <v>1017</v>
      </c>
      <c r="C175" s="1" t="s">
        <v>457</v>
      </c>
      <c r="D175" s="10">
        <v>3</v>
      </c>
      <c r="E175" s="10">
        <v>2019</v>
      </c>
      <c r="F175" s="9" t="s">
        <v>28</v>
      </c>
      <c r="G175" s="9" t="s">
        <v>29</v>
      </c>
      <c r="H175" s="1">
        <v>32.97</v>
      </c>
      <c r="I175" s="1">
        <v>11.12</v>
      </c>
      <c r="J175" s="9" t="s">
        <v>30</v>
      </c>
      <c r="K175" s="1">
        <v>0.42</v>
      </c>
      <c r="L175" s="10">
        <v>38</v>
      </c>
      <c r="M175" s="3">
        <v>0</v>
      </c>
      <c r="N175" s="11">
        <v>2.7027027027027029E-2</v>
      </c>
      <c r="O175">
        <v>3</v>
      </c>
      <c r="P175" s="11">
        <v>0</v>
      </c>
      <c r="Q175" s="11">
        <v>2.8571428571428571E-2</v>
      </c>
      <c r="R175" s="11">
        <v>0</v>
      </c>
      <c r="S175" s="11">
        <v>2.7027027027027029E-2</v>
      </c>
      <c r="T175" s="9" t="s">
        <v>40</v>
      </c>
      <c r="U175" s="9" t="s">
        <v>46</v>
      </c>
      <c r="V175" s="9" t="s">
        <v>33</v>
      </c>
      <c r="W175" s="9" t="s">
        <v>969</v>
      </c>
      <c r="X175" s="1">
        <v>11.22</v>
      </c>
      <c r="Y175" s="1">
        <v>15</v>
      </c>
      <c r="Z175" s="3">
        <f>X175/Y175</f>
        <v>0.748</v>
      </c>
      <c r="AA175" s="11">
        <v>0</v>
      </c>
      <c r="AB175" s="11" t="s">
        <v>31</v>
      </c>
      <c r="AC175" s="10">
        <v>0</v>
      </c>
      <c r="AD175" s="9" t="s">
        <v>34</v>
      </c>
      <c r="AE175" s="9" t="s">
        <v>35</v>
      </c>
    </row>
    <row r="176" spans="1:31" x14ac:dyDescent="0.25">
      <c r="A176" s="9" t="s">
        <v>910</v>
      </c>
      <c r="B176" s="1" t="s">
        <v>1018</v>
      </c>
      <c r="C176" s="1" t="s">
        <v>458</v>
      </c>
      <c r="D176" s="10">
        <v>3</v>
      </c>
      <c r="E176" s="10">
        <v>2019</v>
      </c>
      <c r="F176" s="9" t="s">
        <v>38</v>
      </c>
      <c r="G176" s="9" t="s">
        <v>54</v>
      </c>
      <c r="H176" s="1">
        <v>9.93</v>
      </c>
      <c r="I176" s="1">
        <v>1.538</v>
      </c>
      <c r="J176" s="9" t="s">
        <v>30</v>
      </c>
      <c r="K176" s="1">
        <v>0.54</v>
      </c>
      <c r="L176" s="10">
        <v>63</v>
      </c>
      <c r="M176" s="3">
        <v>7.0000000000000007E-2</v>
      </c>
      <c r="N176" s="11">
        <v>1.5971355E-2</v>
      </c>
      <c r="O176">
        <v>42</v>
      </c>
      <c r="P176" s="11">
        <v>7.0114670654325154E-2</v>
      </c>
      <c r="Q176" s="11">
        <v>1.666666666666667E-2</v>
      </c>
      <c r="R176" s="11">
        <v>7.0592678696529312E-2</v>
      </c>
      <c r="S176" s="11">
        <v>1.5968680338222019E-2</v>
      </c>
      <c r="T176" s="9" t="s">
        <v>40</v>
      </c>
      <c r="U176" s="9" t="s">
        <v>31</v>
      </c>
      <c r="V176" s="9" t="s">
        <v>33</v>
      </c>
      <c r="W176" s="9" t="s">
        <v>970</v>
      </c>
      <c r="X176" s="1" t="s">
        <v>31</v>
      </c>
      <c r="Y176" s="1" t="s">
        <v>31</v>
      </c>
      <c r="Z176" s="3" t="s">
        <v>31</v>
      </c>
      <c r="AA176" s="11" t="s">
        <v>31</v>
      </c>
      <c r="AB176" s="11" t="s">
        <v>31</v>
      </c>
      <c r="AC176" s="10">
        <v>0</v>
      </c>
      <c r="AD176" s="9" t="s">
        <v>34</v>
      </c>
      <c r="AE176" s="9" t="s">
        <v>35</v>
      </c>
    </row>
    <row r="177" spans="1:31" x14ac:dyDescent="0.25">
      <c r="A177" s="9" t="s">
        <v>910</v>
      </c>
      <c r="B177" s="1" t="s">
        <v>1019</v>
      </c>
      <c r="C177" s="1" t="s">
        <v>459</v>
      </c>
      <c r="D177" s="10">
        <v>3</v>
      </c>
      <c r="E177" s="10">
        <v>2019</v>
      </c>
      <c r="F177" s="9" t="s">
        <v>28</v>
      </c>
      <c r="G177" s="9" t="s">
        <v>54</v>
      </c>
      <c r="H177" s="1">
        <v>9.35</v>
      </c>
      <c r="I177" s="1">
        <v>1.6830000000000001</v>
      </c>
      <c r="J177" s="9" t="s">
        <v>30</v>
      </c>
      <c r="K177" s="1">
        <v>0.64700000000000002</v>
      </c>
      <c r="L177" s="10">
        <v>139</v>
      </c>
      <c r="M177" s="3">
        <v>0.02</v>
      </c>
      <c r="N177" s="11">
        <v>7.2405808695652184E-3</v>
      </c>
      <c r="O177">
        <v>42</v>
      </c>
      <c r="P177" s="11">
        <v>2.00026673068496E-2</v>
      </c>
      <c r="Q177" s="11">
        <v>7.3529411764705881E-3</v>
      </c>
      <c r="R177" s="11">
        <v>2.0074180551345151E-2</v>
      </c>
      <c r="S177" s="11">
        <v>7.240537803894209E-3</v>
      </c>
      <c r="T177" s="9" t="s">
        <v>40</v>
      </c>
      <c r="U177" s="9" t="s">
        <v>31</v>
      </c>
      <c r="V177" s="9" t="s">
        <v>33</v>
      </c>
      <c r="W177" s="9" t="s">
        <v>970</v>
      </c>
      <c r="X177" s="1" t="s">
        <v>31</v>
      </c>
      <c r="Y177" s="1" t="s">
        <v>31</v>
      </c>
      <c r="Z177" s="3" t="s">
        <v>31</v>
      </c>
      <c r="AA177" s="11" t="s">
        <v>31</v>
      </c>
      <c r="AB177" s="11" t="s">
        <v>31</v>
      </c>
      <c r="AC177" s="10">
        <v>0</v>
      </c>
      <c r="AD177" s="9" t="s">
        <v>34</v>
      </c>
      <c r="AE177" s="9" t="s">
        <v>35</v>
      </c>
    </row>
    <row r="178" spans="1:31" x14ac:dyDescent="0.25">
      <c r="A178" s="9" t="s">
        <v>579</v>
      </c>
      <c r="B178" s="1" t="s">
        <v>1020</v>
      </c>
      <c r="C178" s="1" t="s">
        <v>460</v>
      </c>
      <c r="D178" s="10">
        <v>3</v>
      </c>
      <c r="E178" s="10">
        <v>2019</v>
      </c>
      <c r="F178" s="9" t="s">
        <v>38</v>
      </c>
      <c r="G178" s="9" t="s">
        <v>29</v>
      </c>
      <c r="H178" s="1">
        <v>63.13</v>
      </c>
      <c r="I178" s="1">
        <v>7.48</v>
      </c>
      <c r="J178" s="9" t="s">
        <v>43</v>
      </c>
      <c r="K178" s="1">
        <v>1</v>
      </c>
      <c r="L178" s="10">
        <v>3900</v>
      </c>
      <c r="M178" s="3">
        <v>0.214</v>
      </c>
      <c r="N178" s="11">
        <v>2.335227683036676E-4</v>
      </c>
      <c r="O178">
        <v>8</v>
      </c>
      <c r="P178" s="11">
        <v>0.2173595895951185</v>
      </c>
      <c r="Q178" s="11">
        <v>2.5660764690787791E-4</v>
      </c>
      <c r="R178" s="11">
        <v>0.21402620730927319</v>
      </c>
      <c r="S178" s="11">
        <v>2.335172778499458E-4</v>
      </c>
      <c r="T178" s="9" t="s">
        <v>40</v>
      </c>
      <c r="U178" s="9" t="s">
        <v>50</v>
      </c>
      <c r="V178" s="9" t="s">
        <v>33</v>
      </c>
      <c r="W178" s="9" t="s">
        <v>350</v>
      </c>
      <c r="X178" s="1" t="s">
        <v>31</v>
      </c>
      <c r="Y178" s="1" t="s">
        <v>31</v>
      </c>
      <c r="Z178" s="3" t="s">
        <v>31</v>
      </c>
      <c r="AA178" s="11" t="s">
        <v>31</v>
      </c>
      <c r="AB178" s="11" t="s">
        <v>31</v>
      </c>
      <c r="AC178" s="10">
        <v>1</v>
      </c>
      <c r="AD178" s="9" t="s">
        <v>41</v>
      </c>
      <c r="AE178" s="9" t="s">
        <v>35</v>
      </c>
    </row>
    <row r="179" spans="1:31" x14ac:dyDescent="0.25">
      <c r="A179" s="9" t="s">
        <v>579</v>
      </c>
      <c r="B179" s="1" t="s">
        <v>1021</v>
      </c>
      <c r="C179" s="1" t="s">
        <v>461</v>
      </c>
      <c r="D179" s="10">
        <v>3</v>
      </c>
      <c r="E179" s="10">
        <v>2019</v>
      </c>
      <c r="F179" s="9" t="s">
        <v>38</v>
      </c>
      <c r="G179" s="9" t="s">
        <v>29</v>
      </c>
      <c r="H179" s="1">
        <v>63.13</v>
      </c>
      <c r="I179" s="1">
        <v>7.48</v>
      </c>
      <c r="J179" s="9" t="s">
        <v>39</v>
      </c>
      <c r="K179" s="1">
        <v>0</v>
      </c>
      <c r="L179" s="10">
        <v>4192</v>
      </c>
      <c r="M179" s="3">
        <v>0.26</v>
      </c>
      <c r="N179" s="11">
        <v>2.0743730851825341E-4</v>
      </c>
      <c r="O179">
        <v>8</v>
      </c>
      <c r="P179" s="11">
        <v>0.26610840687365411</v>
      </c>
      <c r="Q179" s="11">
        <v>2.3872045834327999E-4</v>
      </c>
      <c r="R179" s="11">
        <v>0.26002894336926191</v>
      </c>
      <c r="S179" s="11">
        <v>2.0743061140419161E-4</v>
      </c>
      <c r="T179" s="9" t="s">
        <v>40</v>
      </c>
      <c r="U179" s="9" t="s">
        <v>50</v>
      </c>
      <c r="V179" s="9" t="s">
        <v>33</v>
      </c>
      <c r="W179" s="9" t="s">
        <v>350</v>
      </c>
      <c r="X179" s="1" t="s">
        <v>31</v>
      </c>
      <c r="Y179" s="1" t="s">
        <v>31</v>
      </c>
      <c r="Z179" s="3" t="s">
        <v>31</v>
      </c>
      <c r="AA179" s="11" t="s">
        <v>31</v>
      </c>
      <c r="AB179" s="11" t="s">
        <v>31</v>
      </c>
      <c r="AC179" s="10">
        <v>1</v>
      </c>
      <c r="AD179" s="9" t="s">
        <v>41</v>
      </c>
      <c r="AE179" s="9" t="s">
        <v>35</v>
      </c>
    </row>
    <row r="180" spans="1:31" x14ac:dyDescent="0.25">
      <c r="A180" s="9" t="s">
        <v>580</v>
      </c>
      <c r="B180" s="1" t="s">
        <v>1008</v>
      </c>
      <c r="C180" s="1" t="s">
        <v>462</v>
      </c>
      <c r="D180" s="10">
        <v>3</v>
      </c>
      <c r="E180" s="10">
        <v>2019</v>
      </c>
      <c r="F180" s="9" t="s">
        <v>28</v>
      </c>
      <c r="G180" s="9" t="s">
        <v>29</v>
      </c>
      <c r="H180" s="1">
        <v>27.49</v>
      </c>
      <c r="I180" s="1">
        <v>7.06</v>
      </c>
      <c r="J180" s="9" t="s">
        <v>30</v>
      </c>
      <c r="K180" s="1">
        <v>0.6</v>
      </c>
      <c r="L180" s="10">
        <v>516</v>
      </c>
      <c r="M180" s="3">
        <v>0.28999999999999998</v>
      </c>
      <c r="N180" s="11">
        <v>1.6288792427184471E-3</v>
      </c>
      <c r="O180" t="s">
        <v>931</v>
      </c>
      <c r="P180" s="11">
        <v>0.29856626366017841</v>
      </c>
      <c r="Q180" s="11">
        <v>1.9493177387914229E-3</v>
      </c>
      <c r="R180" s="11">
        <v>0.29025941603555683</v>
      </c>
      <c r="S180" s="11">
        <v>1.6283438725714951E-3</v>
      </c>
      <c r="T180" s="9" t="s">
        <v>40</v>
      </c>
      <c r="U180" s="9" t="s">
        <v>50</v>
      </c>
      <c r="V180" s="9" t="s">
        <v>33</v>
      </c>
      <c r="W180" s="9" t="s">
        <v>352</v>
      </c>
      <c r="X180" s="1">
        <v>14.82</v>
      </c>
      <c r="Y180" s="1">
        <v>15</v>
      </c>
      <c r="Z180" s="3">
        <f t="shared" ref="Z180:Z188" si="7">X180/Y180</f>
        <v>0.98799999999999999</v>
      </c>
      <c r="AA180" s="11">
        <v>0.29322109009818442</v>
      </c>
      <c r="AB180" s="11">
        <v>4.2593955950276562E-2</v>
      </c>
      <c r="AC180" s="10">
        <v>0</v>
      </c>
      <c r="AD180" s="9" t="s">
        <v>34</v>
      </c>
      <c r="AE180" s="9" t="s">
        <v>35</v>
      </c>
    </row>
    <row r="181" spans="1:31" x14ac:dyDescent="0.25">
      <c r="A181" s="9" t="s">
        <v>580</v>
      </c>
      <c r="B181" s="1" t="s">
        <v>1008</v>
      </c>
      <c r="C181" s="1" t="s">
        <v>463</v>
      </c>
      <c r="D181" s="10">
        <v>3</v>
      </c>
      <c r="E181" s="10">
        <v>2019</v>
      </c>
      <c r="F181" s="9" t="s">
        <v>28</v>
      </c>
      <c r="G181" s="9" t="s">
        <v>29</v>
      </c>
      <c r="H181" s="1">
        <v>52.85</v>
      </c>
      <c r="I181" s="1">
        <v>4.45</v>
      </c>
      <c r="J181" s="9" t="s">
        <v>30</v>
      </c>
      <c r="K181" s="1">
        <v>0.32</v>
      </c>
      <c r="L181" s="10">
        <v>85</v>
      </c>
      <c r="M181" s="3">
        <v>0.06</v>
      </c>
      <c r="N181" s="11">
        <v>1.18192019047619E-2</v>
      </c>
      <c r="O181" t="s">
        <v>931</v>
      </c>
      <c r="P181" s="11">
        <v>6.0072155921031697E-2</v>
      </c>
      <c r="Q181" s="11">
        <v>1.2195121951219509E-2</v>
      </c>
      <c r="R181" s="11">
        <v>6.0370130970982643E-2</v>
      </c>
      <c r="S181" s="11">
        <v>1.181814496830445E-2</v>
      </c>
      <c r="T181" s="9" t="s">
        <v>40</v>
      </c>
      <c r="U181" s="9" t="s">
        <v>50</v>
      </c>
      <c r="V181" s="9" t="s">
        <v>33</v>
      </c>
      <c r="W181" s="9" t="s">
        <v>353</v>
      </c>
      <c r="X181" s="1">
        <v>13.93</v>
      </c>
      <c r="Y181" s="1">
        <v>15</v>
      </c>
      <c r="Z181" s="3">
        <f t="shared" si="7"/>
        <v>0.92866666666666664</v>
      </c>
      <c r="AA181" s="11">
        <v>6.4590213928848658E-2</v>
      </c>
      <c r="AB181" s="11">
        <v>0.1178810364716551</v>
      </c>
      <c r="AC181" s="10">
        <v>0</v>
      </c>
      <c r="AD181" s="9" t="s">
        <v>34</v>
      </c>
      <c r="AE181" s="9" t="s">
        <v>35</v>
      </c>
    </row>
    <row r="182" spans="1:31" x14ac:dyDescent="0.25">
      <c r="A182" s="9" t="s">
        <v>581</v>
      </c>
      <c r="B182" s="1" t="s">
        <v>1023</v>
      </c>
      <c r="C182" s="1" t="s">
        <v>464</v>
      </c>
      <c r="D182" s="10">
        <v>3</v>
      </c>
      <c r="E182" s="10">
        <v>2019</v>
      </c>
      <c r="F182" s="9" t="s">
        <v>38</v>
      </c>
      <c r="G182" s="9" t="s">
        <v>29</v>
      </c>
      <c r="H182" s="1">
        <v>45</v>
      </c>
      <c r="I182" s="1" t="s">
        <v>31</v>
      </c>
      <c r="J182" s="9" t="s">
        <v>30</v>
      </c>
      <c r="K182" s="1">
        <v>0.48</v>
      </c>
      <c r="L182" s="10">
        <v>596</v>
      </c>
      <c r="M182" s="3">
        <v>0.35</v>
      </c>
      <c r="N182" s="11">
        <v>1.294128151260504E-3</v>
      </c>
      <c r="O182">
        <v>3499</v>
      </c>
      <c r="P182" s="11">
        <v>0.36544375427139619</v>
      </c>
      <c r="Q182" s="11">
        <v>1.686340640809443E-3</v>
      </c>
      <c r="R182" s="11">
        <v>0.35025938442170118</v>
      </c>
      <c r="S182" s="11">
        <v>1.2935924557190329E-3</v>
      </c>
      <c r="T182" s="9" t="s">
        <v>40</v>
      </c>
      <c r="U182" s="9" t="s">
        <v>50</v>
      </c>
      <c r="V182" s="9" t="s">
        <v>33</v>
      </c>
      <c r="W182" s="9" t="s">
        <v>971</v>
      </c>
      <c r="X182" s="1">
        <v>15.27</v>
      </c>
      <c r="Y182" s="1">
        <v>15</v>
      </c>
      <c r="Z182" s="3">
        <f t="shared" si="7"/>
        <v>1.018</v>
      </c>
      <c r="AA182" s="11">
        <v>0.34455189612486947</v>
      </c>
      <c r="AB182" s="11">
        <v>3.8000183673461092E-2</v>
      </c>
      <c r="AC182" s="10">
        <v>1</v>
      </c>
      <c r="AD182" s="9" t="s">
        <v>41</v>
      </c>
      <c r="AE182" s="9" t="s">
        <v>35</v>
      </c>
    </row>
    <row r="183" spans="1:31" x14ac:dyDescent="0.25">
      <c r="A183" s="9" t="s">
        <v>581</v>
      </c>
      <c r="B183" s="1" t="s">
        <v>1024</v>
      </c>
      <c r="C183" s="1" t="s">
        <v>465</v>
      </c>
      <c r="D183" s="10">
        <v>3</v>
      </c>
      <c r="E183" s="10">
        <v>2019</v>
      </c>
      <c r="F183" s="9" t="s">
        <v>38</v>
      </c>
      <c r="G183" s="9" t="s">
        <v>29</v>
      </c>
      <c r="H183" s="1">
        <v>22.23</v>
      </c>
      <c r="I183" s="1">
        <v>5.53</v>
      </c>
      <c r="J183" s="9" t="s">
        <v>30</v>
      </c>
      <c r="K183" s="1">
        <v>0.47</v>
      </c>
      <c r="L183" s="10">
        <v>1163</v>
      </c>
      <c r="M183" s="3">
        <v>0.12</v>
      </c>
      <c r="N183" s="11">
        <v>8.3597879518072294E-4</v>
      </c>
      <c r="O183">
        <v>3499</v>
      </c>
      <c r="P183" s="11">
        <v>0.1205810284084441</v>
      </c>
      <c r="Q183" s="11">
        <v>8.6206896551724137E-4</v>
      </c>
      <c r="R183" s="11">
        <v>0.1200510328679167</v>
      </c>
      <c r="S183" s="11">
        <v>8.3595801375125288E-4</v>
      </c>
      <c r="T183" s="9" t="s">
        <v>40</v>
      </c>
      <c r="U183" s="9" t="s">
        <v>50</v>
      </c>
      <c r="V183" s="9" t="s">
        <v>33</v>
      </c>
      <c r="W183" s="9" t="s">
        <v>335</v>
      </c>
      <c r="X183" s="1">
        <v>9.02</v>
      </c>
      <c r="Y183" s="1">
        <v>15</v>
      </c>
      <c r="Z183" s="3">
        <f t="shared" si="7"/>
        <v>0.60133333333333328</v>
      </c>
      <c r="AA183" s="11">
        <v>0.19706726078436351</v>
      </c>
      <c r="AB183" s="11">
        <v>4.6662123234052513E-2</v>
      </c>
      <c r="AC183" s="10">
        <v>5</v>
      </c>
      <c r="AD183" s="9" t="s">
        <v>41</v>
      </c>
      <c r="AE183" s="9" t="s">
        <v>35</v>
      </c>
    </row>
    <row r="184" spans="1:31" x14ac:dyDescent="0.25">
      <c r="A184" s="9" t="s">
        <v>581</v>
      </c>
      <c r="B184" s="1" t="s">
        <v>1025</v>
      </c>
      <c r="C184" s="1" t="s">
        <v>466</v>
      </c>
      <c r="D184" s="10">
        <v>3</v>
      </c>
      <c r="E184" s="10">
        <v>2019</v>
      </c>
      <c r="F184" s="9" t="s">
        <v>38</v>
      </c>
      <c r="G184" s="9" t="s">
        <v>29</v>
      </c>
      <c r="H184" s="1">
        <v>20.260000000000002</v>
      </c>
      <c r="I184" s="1">
        <v>1.2</v>
      </c>
      <c r="J184" s="9" t="s">
        <v>30</v>
      </c>
      <c r="K184" s="1">
        <v>0.47</v>
      </c>
      <c r="L184" s="10">
        <v>515</v>
      </c>
      <c r="M184" s="3">
        <v>0.16</v>
      </c>
      <c r="N184" s="11">
        <v>1.847189416342413E-3</v>
      </c>
      <c r="O184">
        <v>3499</v>
      </c>
      <c r="P184" s="11">
        <v>0.16138669613152551</v>
      </c>
      <c r="Q184" s="11">
        <v>1.953125E-3</v>
      </c>
      <c r="R184" s="11">
        <v>0.16015260523374469</v>
      </c>
      <c r="S184" s="11">
        <v>1.847004182757208E-3</v>
      </c>
      <c r="T184" s="9" t="s">
        <v>40</v>
      </c>
      <c r="U184" s="9" t="s">
        <v>50</v>
      </c>
      <c r="V184" s="9" t="s">
        <v>33</v>
      </c>
      <c r="W184" s="9" t="s">
        <v>347</v>
      </c>
      <c r="X184" s="1">
        <v>7.35</v>
      </c>
      <c r="Y184" s="1">
        <v>15</v>
      </c>
      <c r="Z184" s="3">
        <f t="shared" si="7"/>
        <v>0.49</v>
      </c>
      <c r="AA184" s="11">
        <v>0.3140556334409958</v>
      </c>
      <c r="AB184" s="11">
        <v>7.9133783662923632E-2</v>
      </c>
      <c r="AC184" s="10">
        <v>1</v>
      </c>
      <c r="AD184" s="9" t="s">
        <v>41</v>
      </c>
      <c r="AE184" s="9" t="s">
        <v>35</v>
      </c>
    </row>
    <row r="185" spans="1:31" x14ac:dyDescent="0.25">
      <c r="A185" s="9" t="s">
        <v>582</v>
      </c>
      <c r="B185" s="1" t="s">
        <v>1026</v>
      </c>
      <c r="C185" s="1" t="s">
        <v>467</v>
      </c>
      <c r="D185" s="10">
        <v>3</v>
      </c>
      <c r="E185" s="10">
        <v>2019</v>
      </c>
      <c r="F185" s="9" t="s">
        <v>28</v>
      </c>
      <c r="G185" s="9" t="s">
        <v>54</v>
      </c>
      <c r="H185" s="1">
        <v>9.43</v>
      </c>
      <c r="I185" s="1">
        <v>1.67</v>
      </c>
      <c r="J185" s="9" t="s">
        <v>30</v>
      </c>
      <c r="K185" s="1">
        <v>0.52</v>
      </c>
      <c r="L185" s="10">
        <v>27</v>
      </c>
      <c r="M185" s="3">
        <v>0.33900000000000002</v>
      </c>
      <c r="N185" s="11">
        <v>3.01294167785E-2</v>
      </c>
      <c r="O185">
        <v>7</v>
      </c>
      <c r="P185" s="11">
        <v>0.35296225291974298</v>
      </c>
      <c r="Q185" s="11">
        <v>4.1666666666666657E-2</v>
      </c>
      <c r="R185" s="11">
        <v>0.34551248300293691</v>
      </c>
      <c r="S185" s="11">
        <v>2.9826675545847298E-2</v>
      </c>
      <c r="T185" s="9" t="s">
        <v>40</v>
      </c>
      <c r="U185" s="9" t="s">
        <v>50</v>
      </c>
      <c r="V185" s="9" t="s">
        <v>33</v>
      </c>
      <c r="W185" s="9" t="s">
        <v>272</v>
      </c>
      <c r="X185" s="1">
        <v>10.84</v>
      </c>
      <c r="Y185" s="1">
        <v>15</v>
      </c>
      <c r="Z185" s="3">
        <f t="shared" si="7"/>
        <v>0.72266666666666668</v>
      </c>
      <c r="AA185" s="11">
        <v>0.44622612224646258</v>
      </c>
      <c r="AB185" s="11">
        <v>0.2241108779618351</v>
      </c>
      <c r="AC185" s="10">
        <v>3</v>
      </c>
      <c r="AD185" s="9" t="s">
        <v>41</v>
      </c>
      <c r="AE185" s="9" t="s">
        <v>35</v>
      </c>
    </row>
    <row r="186" spans="1:31" x14ac:dyDescent="0.25">
      <c r="A186" s="9" t="s">
        <v>583</v>
      </c>
      <c r="B186" s="1" t="s">
        <v>1008</v>
      </c>
      <c r="C186" s="1" t="s">
        <v>468</v>
      </c>
      <c r="D186" s="10">
        <v>3</v>
      </c>
      <c r="E186" s="10">
        <v>2019</v>
      </c>
      <c r="F186" s="9" t="s">
        <v>38</v>
      </c>
      <c r="G186" s="9" t="s">
        <v>54</v>
      </c>
      <c r="H186" s="1">
        <v>12.74</v>
      </c>
      <c r="I186" s="1">
        <v>2.14</v>
      </c>
      <c r="J186" s="9" t="s">
        <v>30</v>
      </c>
      <c r="K186" s="1">
        <v>0.53</v>
      </c>
      <c r="L186" s="10">
        <v>40</v>
      </c>
      <c r="M186" s="3">
        <v>0.34</v>
      </c>
      <c r="N186" s="11">
        <v>2.0055470769230772E-2</v>
      </c>
      <c r="O186">
        <v>3</v>
      </c>
      <c r="P186" s="11">
        <v>0.35409252896224302</v>
      </c>
      <c r="Q186" s="11">
        <v>2.7027027027027029E-2</v>
      </c>
      <c r="R186" s="11">
        <v>0.34417315897285228</v>
      </c>
      <c r="S186" s="11">
        <v>1.9926187154136219E-2</v>
      </c>
      <c r="T186" s="9" t="s">
        <v>40</v>
      </c>
      <c r="U186" s="9" t="s">
        <v>50</v>
      </c>
      <c r="V186" s="9" t="s">
        <v>33</v>
      </c>
      <c r="W186" s="9" t="s">
        <v>351</v>
      </c>
      <c r="X186" s="1">
        <v>13</v>
      </c>
      <c r="Y186" s="1">
        <v>15</v>
      </c>
      <c r="Z186" s="3">
        <f t="shared" si="7"/>
        <v>0.8666666666666667</v>
      </c>
      <c r="AA186" s="11">
        <v>0.38500315020013992</v>
      </c>
      <c r="AB186" s="11">
        <v>0.16637683297499881</v>
      </c>
      <c r="AC186" s="10">
        <v>0</v>
      </c>
      <c r="AD186" s="9" t="s">
        <v>41</v>
      </c>
      <c r="AE186" s="9" t="s">
        <v>35</v>
      </c>
    </row>
    <row r="187" spans="1:31" x14ac:dyDescent="0.25">
      <c r="A187" s="9" t="s">
        <v>583</v>
      </c>
      <c r="B187" s="1" t="s">
        <v>1008</v>
      </c>
      <c r="C187" s="1" t="s">
        <v>469</v>
      </c>
      <c r="D187" s="10">
        <v>3</v>
      </c>
      <c r="E187" s="10">
        <v>2019</v>
      </c>
      <c r="F187" s="9" t="s">
        <v>28</v>
      </c>
      <c r="G187" s="9" t="s">
        <v>54</v>
      </c>
      <c r="H187" s="1">
        <v>13.77</v>
      </c>
      <c r="I187" s="1">
        <v>2.97</v>
      </c>
      <c r="J187" s="9" t="s">
        <v>30</v>
      </c>
      <c r="K187" s="1">
        <v>0.3</v>
      </c>
      <c r="L187" s="10">
        <v>40</v>
      </c>
      <c r="M187" s="3">
        <v>0.53</v>
      </c>
      <c r="N187" s="11">
        <v>1.325909769230769E-2</v>
      </c>
      <c r="O187">
        <v>3</v>
      </c>
      <c r="P187" s="11">
        <v>0.59014515984118854</v>
      </c>
      <c r="Q187" s="11">
        <v>2.7027027027027029E-2</v>
      </c>
      <c r="R187" s="11">
        <v>0.53523375736247769</v>
      </c>
      <c r="S187" s="11">
        <v>1.3054299381082881E-2</v>
      </c>
      <c r="T187" s="9" t="s">
        <v>40</v>
      </c>
      <c r="U187" s="9" t="s">
        <v>50</v>
      </c>
      <c r="V187" s="9" t="s">
        <v>33</v>
      </c>
      <c r="W187" s="9" t="s">
        <v>351</v>
      </c>
      <c r="X187" s="1">
        <v>19.170000000000002</v>
      </c>
      <c r="Y187" s="1">
        <v>15</v>
      </c>
      <c r="Z187" s="3">
        <f t="shared" si="7"/>
        <v>1.278</v>
      </c>
      <c r="AA187" s="11">
        <v>0.43932457874714631</v>
      </c>
      <c r="AB187" s="11">
        <v>0.12796566229421549</v>
      </c>
      <c r="AC187" s="10">
        <v>0</v>
      </c>
      <c r="AD187" s="9" t="s">
        <v>41</v>
      </c>
      <c r="AE187" s="9" t="s">
        <v>35</v>
      </c>
    </row>
    <row r="188" spans="1:31" x14ac:dyDescent="0.25">
      <c r="A188" s="9" t="s">
        <v>583</v>
      </c>
      <c r="B188" s="1" t="s">
        <v>1008</v>
      </c>
      <c r="C188" s="1" t="s">
        <v>470</v>
      </c>
      <c r="D188" s="10">
        <v>3</v>
      </c>
      <c r="E188" s="10">
        <v>2019</v>
      </c>
      <c r="F188" s="9" t="s">
        <v>28</v>
      </c>
      <c r="G188" s="9" t="s">
        <v>54</v>
      </c>
      <c r="H188" s="1">
        <v>14.52</v>
      </c>
      <c r="I188" s="1">
        <v>2.67</v>
      </c>
      <c r="J188" s="9" t="s">
        <v>30</v>
      </c>
      <c r="K188" s="1">
        <v>0.56000000000000005</v>
      </c>
      <c r="L188" s="10">
        <v>63</v>
      </c>
      <c r="M188" s="3">
        <v>0.39</v>
      </c>
      <c r="N188" s="11">
        <v>1.1595716290322579E-2</v>
      </c>
      <c r="O188">
        <v>3</v>
      </c>
      <c r="P188" s="11">
        <v>0.41180003447869029</v>
      </c>
      <c r="Q188" s="11">
        <v>1.666666666666667E-2</v>
      </c>
      <c r="R188" s="11">
        <v>0.392797426057378</v>
      </c>
      <c r="S188" s="11">
        <v>1.153589858190889E-2</v>
      </c>
      <c r="T188" s="9" t="s">
        <v>40</v>
      </c>
      <c r="U188" s="9" t="s">
        <v>50</v>
      </c>
      <c r="V188" s="9" t="s">
        <v>33</v>
      </c>
      <c r="W188" s="9" t="s">
        <v>351</v>
      </c>
      <c r="X188" s="1">
        <v>18.3</v>
      </c>
      <c r="Y188" s="1">
        <v>15</v>
      </c>
      <c r="Z188" s="3">
        <f t="shared" si="7"/>
        <v>1.22</v>
      </c>
      <c r="AA188" s="11">
        <v>0.32796110484049062</v>
      </c>
      <c r="AB188" s="11">
        <v>0.1043518764180377</v>
      </c>
      <c r="AC188" s="10">
        <v>0</v>
      </c>
      <c r="AD188" s="9" t="s">
        <v>41</v>
      </c>
      <c r="AE188" s="9" t="s">
        <v>35</v>
      </c>
    </row>
    <row r="189" spans="1:31" x14ac:dyDescent="0.25">
      <c r="A189" s="9" t="s">
        <v>584</v>
      </c>
      <c r="B189" s="1" t="s">
        <v>1027</v>
      </c>
      <c r="C189" s="1" t="s">
        <v>588</v>
      </c>
      <c r="D189" s="10">
        <v>3</v>
      </c>
      <c r="E189" s="10">
        <v>2020</v>
      </c>
      <c r="F189" s="9" t="s">
        <v>38</v>
      </c>
      <c r="G189" s="9" t="s">
        <v>29</v>
      </c>
      <c r="H189" s="1">
        <v>39.6</v>
      </c>
      <c r="I189" s="1" t="s">
        <v>31</v>
      </c>
      <c r="J189" s="9" t="s">
        <v>30</v>
      </c>
      <c r="K189" s="1">
        <v>0.43</v>
      </c>
      <c r="L189" s="10">
        <v>1216</v>
      </c>
      <c r="M189" s="3">
        <v>0.12</v>
      </c>
      <c r="N189" s="11">
        <v>7.995122304526749E-4</v>
      </c>
      <c r="O189">
        <v>3443</v>
      </c>
      <c r="P189" s="11">
        <v>0.1205810284084441</v>
      </c>
      <c r="Q189" s="11">
        <v>8.2440230832646333E-4</v>
      </c>
      <c r="R189" s="11">
        <v>0.1200488008326336</v>
      </c>
      <c r="S189" s="11">
        <v>7.9949322498310091E-4</v>
      </c>
      <c r="T189" s="9" t="s">
        <v>40</v>
      </c>
      <c r="U189" s="9" t="s">
        <v>46</v>
      </c>
      <c r="V189" s="9" t="s">
        <v>33</v>
      </c>
      <c r="W189" s="9" t="s">
        <v>354</v>
      </c>
      <c r="X189" s="1" t="s">
        <v>31</v>
      </c>
      <c r="Y189" s="1" t="s">
        <v>31</v>
      </c>
      <c r="Z189" s="3" t="s">
        <v>31</v>
      </c>
      <c r="AA189" s="11" t="s">
        <v>31</v>
      </c>
      <c r="AB189" s="11" t="s">
        <v>31</v>
      </c>
      <c r="AC189" s="10">
        <v>0</v>
      </c>
      <c r="AD189" s="9" t="s">
        <v>34</v>
      </c>
      <c r="AE189" s="9" t="s">
        <v>35</v>
      </c>
    </row>
    <row r="190" spans="1:31" x14ac:dyDescent="0.25">
      <c r="A190" s="9" t="s">
        <v>585</v>
      </c>
      <c r="B190" s="1" t="s">
        <v>1022</v>
      </c>
      <c r="C190" s="1" t="s">
        <v>590</v>
      </c>
      <c r="D190" s="10">
        <v>3</v>
      </c>
      <c r="E190" s="10">
        <v>2020</v>
      </c>
      <c r="F190" s="9" t="s">
        <v>38</v>
      </c>
      <c r="G190" s="9" t="s">
        <v>29</v>
      </c>
      <c r="H190" s="1">
        <v>22.3</v>
      </c>
      <c r="I190" s="1">
        <v>3.3</v>
      </c>
      <c r="J190" s="9" t="s">
        <v>30</v>
      </c>
      <c r="K190" s="1">
        <v>0.38</v>
      </c>
      <c r="L190" s="10">
        <v>1097</v>
      </c>
      <c r="M190" s="3">
        <v>0.253</v>
      </c>
      <c r="N190" s="11">
        <v>7.9934229204470806E-4</v>
      </c>
      <c r="O190">
        <v>5</v>
      </c>
      <c r="P190" s="11">
        <v>0.25861538488162561</v>
      </c>
      <c r="Q190" s="11">
        <v>9.1407678244972577E-4</v>
      </c>
      <c r="R190" s="11">
        <v>0.25310833879247502</v>
      </c>
      <c r="S190" s="11">
        <v>7.9924864245541039E-4</v>
      </c>
      <c r="T190" s="9" t="s">
        <v>40</v>
      </c>
      <c r="U190" s="9" t="s">
        <v>46</v>
      </c>
      <c r="V190" s="9" t="s">
        <v>33</v>
      </c>
      <c r="W190" s="9" t="s">
        <v>355</v>
      </c>
      <c r="X190" s="1">
        <v>13.8</v>
      </c>
      <c r="Y190" s="1">
        <v>15</v>
      </c>
      <c r="Z190" s="3">
        <f>X190/Y190</f>
        <v>0.92</v>
      </c>
      <c r="AA190" s="11">
        <v>0.27341658146595549</v>
      </c>
      <c r="AB190" s="11">
        <v>3.1233267085211961E-2</v>
      </c>
      <c r="AC190" s="10">
        <v>2</v>
      </c>
      <c r="AD190" s="9" t="s">
        <v>34</v>
      </c>
      <c r="AE190" s="9" t="s">
        <v>35</v>
      </c>
    </row>
    <row r="191" spans="1:31" x14ac:dyDescent="0.25">
      <c r="A191" s="9" t="s">
        <v>935</v>
      </c>
      <c r="B191" s="1" t="s">
        <v>1028</v>
      </c>
      <c r="C191" s="1" t="s">
        <v>591</v>
      </c>
      <c r="D191" s="10">
        <v>3</v>
      </c>
      <c r="E191" s="10">
        <v>2020</v>
      </c>
      <c r="F191" s="9" t="s">
        <v>28</v>
      </c>
      <c r="G191" s="9" t="s">
        <v>54</v>
      </c>
      <c r="H191" s="1">
        <v>10</v>
      </c>
      <c r="I191" s="1">
        <v>1.1000000000000001</v>
      </c>
      <c r="J191" s="9" t="s">
        <v>30</v>
      </c>
      <c r="K191" s="1">
        <v>0.6</v>
      </c>
      <c r="L191" s="10">
        <v>100</v>
      </c>
      <c r="M191" s="3">
        <v>-2.5000000000000001E-2</v>
      </c>
      <c r="N191" s="11">
        <v>1.0088387784090909E-2</v>
      </c>
      <c r="O191">
        <v>2500</v>
      </c>
      <c r="P191" s="11">
        <v>-2.5005210287330649E-2</v>
      </c>
      <c r="Q191" s="11">
        <v>1.030927835051546E-2</v>
      </c>
      <c r="R191" s="11">
        <v>-2.513046209583043E-2</v>
      </c>
      <c r="S191" s="11">
        <v>1.0088255743359901E-2</v>
      </c>
      <c r="T191" s="9" t="s">
        <v>40</v>
      </c>
      <c r="U191" s="9" t="s">
        <v>50</v>
      </c>
      <c r="V191" s="9" t="s">
        <v>33</v>
      </c>
      <c r="W191" s="9" t="s">
        <v>912</v>
      </c>
      <c r="X191" s="1">
        <v>12.9</v>
      </c>
      <c r="Y191" s="1">
        <v>15</v>
      </c>
      <c r="Z191" s="3">
        <f>X191/Y191</f>
        <v>0.86</v>
      </c>
      <c r="AA191" s="11">
        <v>-2.9066569548418238E-2</v>
      </c>
      <c r="AB191" s="11">
        <v>0.1173841383984299</v>
      </c>
      <c r="AC191" s="10">
        <v>4</v>
      </c>
      <c r="AD191" s="9" t="s">
        <v>41</v>
      </c>
      <c r="AE191" s="9" t="s">
        <v>35</v>
      </c>
    </row>
    <row r="192" spans="1:31" x14ac:dyDescent="0.25">
      <c r="A192" s="9" t="s">
        <v>936</v>
      </c>
      <c r="B192" s="1" t="s">
        <v>1029</v>
      </c>
      <c r="C192" s="1" t="s">
        <v>592</v>
      </c>
      <c r="D192" s="10">
        <v>3</v>
      </c>
      <c r="E192" s="10">
        <v>2020</v>
      </c>
      <c r="F192" s="9" t="s">
        <v>28</v>
      </c>
      <c r="G192" s="9" t="s">
        <v>54</v>
      </c>
      <c r="H192" s="1">
        <v>12.3</v>
      </c>
      <c r="I192" s="1">
        <v>1.5</v>
      </c>
      <c r="J192" s="9" t="s">
        <v>30</v>
      </c>
      <c r="K192" s="1">
        <v>0.624</v>
      </c>
      <c r="L192" s="10">
        <v>304</v>
      </c>
      <c r="M192" s="3">
        <v>0.19</v>
      </c>
      <c r="N192" s="11">
        <v>3.0663472277227721E-3</v>
      </c>
      <c r="O192">
        <v>86</v>
      </c>
      <c r="P192" s="11">
        <v>0.1923371692195453</v>
      </c>
      <c r="Q192" s="11">
        <v>3.3222591362126251E-3</v>
      </c>
      <c r="R192" s="11">
        <v>0.19030540569061741</v>
      </c>
      <c r="S192" s="11">
        <v>3.065608298564019E-3</v>
      </c>
      <c r="T192" s="9" t="s">
        <v>40</v>
      </c>
      <c r="U192" s="9" t="s">
        <v>50</v>
      </c>
      <c r="V192" s="9" t="s">
        <v>33</v>
      </c>
      <c r="W192" s="9" t="s">
        <v>922</v>
      </c>
      <c r="X192" s="1" t="s">
        <v>31</v>
      </c>
      <c r="Y192" s="1" t="s">
        <v>31</v>
      </c>
      <c r="Z192" s="3" t="s">
        <v>31</v>
      </c>
      <c r="AA192" s="11" t="s">
        <v>31</v>
      </c>
      <c r="AB192" s="11" t="s">
        <v>31</v>
      </c>
      <c r="AC192" s="10">
        <v>2</v>
      </c>
      <c r="AD192" s="9" t="s">
        <v>41</v>
      </c>
      <c r="AE192" s="9" t="s">
        <v>263</v>
      </c>
    </row>
    <row r="193" spans="1:31" x14ac:dyDescent="0.25">
      <c r="A193" s="9" t="s">
        <v>936</v>
      </c>
      <c r="B193" s="1" t="s">
        <v>1030</v>
      </c>
      <c r="C193" s="1" t="s">
        <v>593</v>
      </c>
      <c r="D193" s="10">
        <v>3</v>
      </c>
      <c r="E193" s="10">
        <v>2020</v>
      </c>
      <c r="F193" s="9" t="s">
        <v>28</v>
      </c>
      <c r="G193" s="9" t="s">
        <v>54</v>
      </c>
      <c r="H193" s="1">
        <v>12.5</v>
      </c>
      <c r="I193" s="1">
        <v>2.2999999999999998</v>
      </c>
      <c r="J193" s="9" t="s">
        <v>30</v>
      </c>
      <c r="K193" s="1">
        <v>0.51900000000000002</v>
      </c>
      <c r="L193" s="10">
        <v>161</v>
      </c>
      <c r="M193" s="3">
        <v>-7.0000000000000007E-2</v>
      </c>
      <c r="N193" s="11">
        <v>6.1889000624999998E-3</v>
      </c>
      <c r="O193">
        <v>86</v>
      </c>
      <c r="P193" s="11">
        <v>-7.0114670654325195E-2</v>
      </c>
      <c r="Q193" s="11">
        <v>6.3291139240506328E-3</v>
      </c>
      <c r="R193" s="11">
        <v>-7.022217388436007E-2</v>
      </c>
      <c r="S193" s="11">
        <v>6.1885125554173269E-3</v>
      </c>
      <c r="T193" s="9" t="s">
        <v>40</v>
      </c>
      <c r="U193" s="9" t="s">
        <v>50</v>
      </c>
      <c r="V193" s="9" t="s">
        <v>33</v>
      </c>
      <c r="W193" s="9" t="s">
        <v>922</v>
      </c>
      <c r="X193" s="1">
        <v>12.7</v>
      </c>
      <c r="Y193" s="1">
        <v>15</v>
      </c>
      <c r="Z193" s="3">
        <f t="shared" ref="Z193:Z199" si="8">X193/Y193</f>
        <v>0.84666666666666657</v>
      </c>
      <c r="AA193" s="11">
        <v>-8.2597269922754735E-2</v>
      </c>
      <c r="AB193" s="11">
        <v>9.3167122712588243E-2</v>
      </c>
      <c r="AC193" s="10">
        <v>2</v>
      </c>
      <c r="AD193" s="9" t="s">
        <v>41</v>
      </c>
      <c r="AE193" s="9" t="s">
        <v>263</v>
      </c>
    </row>
    <row r="194" spans="1:31" x14ac:dyDescent="0.25">
      <c r="A194" s="9" t="s">
        <v>937</v>
      </c>
      <c r="B194" s="1" t="s">
        <v>1031</v>
      </c>
      <c r="C194" s="1" t="s">
        <v>594</v>
      </c>
      <c r="D194" s="10">
        <v>3</v>
      </c>
      <c r="E194" s="10">
        <v>2020</v>
      </c>
      <c r="F194" s="9" t="s">
        <v>38</v>
      </c>
      <c r="G194" s="9" t="s">
        <v>54</v>
      </c>
      <c r="H194" s="1">
        <v>13.1</v>
      </c>
      <c r="I194" s="1">
        <v>4.0999999999999996</v>
      </c>
      <c r="J194" s="9" t="s">
        <v>30</v>
      </c>
      <c r="K194" s="1">
        <v>0.72699999999999998</v>
      </c>
      <c r="L194" s="10">
        <v>216</v>
      </c>
      <c r="M194" s="3">
        <v>0.38</v>
      </c>
      <c r="N194" s="11">
        <v>3.4048900465116281E-3</v>
      </c>
      <c r="O194">
        <v>5</v>
      </c>
      <c r="P194" s="11">
        <v>0.40005965005605648</v>
      </c>
      <c r="Q194" s="11">
        <v>4.6948356807511738E-3</v>
      </c>
      <c r="R194" s="11">
        <v>0.3807665286343439</v>
      </c>
      <c r="S194" s="11">
        <v>3.400250302012279E-3</v>
      </c>
      <c r="T194" s="9" t="s">
        <v>40</v>
      </c>
      <c r="U194" s="9" t="s">
        <v>50</v>
      </c>
      <c r="V194" s="9" t="s">
        <v>33</v>
      </c>
      <c r="W194" s="9" t="s">
        <v>972</v>
      </c>
      <c r="X194" s="1">
        <v>16</v>
      </c>
      <c r="Y194" s="1">
        <v>15</v>
      </c>
      <c r="Z194" s="3">
        <f t="shared" si="8"/>
        <v>1.0666666666666667</v>
      </c>
      <c r="AA194" s="11">
        <v>0.35940613444085701</v>
      </c>
      <c r="AB194" s="11">
        <v>6.0868362039978523E-2</v>
      </c>
      <c r="AC194" s="10">
        <v>2</v>
      </c>
      <c r="AD194" s="9" t="s">
        <v>41</v>
      </c>
      <c r="AE194" s="9" t="s">
        <v>35</v>
      </c>
    </row>
    <row r="195" spans="1:31" x14ac:dyDescent="0.25">
      <c r="A195" s="9" t="s">
        <v>937</v>
      </c>
      <c r="B195" s="1" t="s">
        <v>1032</v>
      </c>
      <c r="C195" s="1" t="s">
        <v>595</v>
      </c>
      <c r="D195" s="10">
        <v>3</v>
      </c>
      <c r="E195" s="10">
        <v>2020</v>
      </c>
      <c r="F195" s="9" t="s">
        <v>28</v>
      </c>
      <c r="G195" s="9" t="s">
        <v>54</v>
      </c>
      <c r="H195" s="1">
        <v>13</v>
      </c>
      <c r="I195" s="1">
        <v>3.5</v>
      </c>
      <c r="J195" s="9" t="s">
        <v>30</v>
      </c>
      <c r="K195" s="1">
        <v>0.82099999999999995</v>
      </c>
      <c r="L195" s="10">
        <v>240</v>
      </c>
      <c r="M195" s="3">
        <v>4.4999999999999998E-2</v>
      </c>
      <c r="N195" s="11">
        <v>4.1671719691422594E-3</v>
      </c>
      <c r="O195">
        <v>5</v>
      </c>
      <c r="P195" s="11">
        <v>4.5030411959090563E-2</v>
      </c>
      <c r="Q195" s="11">
        <v>4.2194092827004216E-3</v>
      </c>
      <c r="R195" s="11">
        <v>4.5095244642536302E-2</v>
      </c>
      <c r="S195" s="11">
        <v>4.1671003065828728E-3</v>
      </c>
      <c r="T195" s="9" t="s">
        <v>40</v>
      </c>
      <c r="U195" s="9" t="s">
        <v>50</v>
      </c>
      <c r="V195" s="9" t="s">
        <v>33</v>
      </c>
      <c r="W195" s="9" t="s">
        <v>972</v>
      </c>
      <c r="X195" s="1">
        <v>20.6</v>
      </c>
      <c r="Y195" s="1">
        <v>15</v>
      </c>
      <c r="Z195" s="3">
        <f t="shared" si="8"/>
        <v>1.3733333333333335</v>
      </c>
      <c r="AA195" s="11">
        <v>3.2782587438429302E-2</v>
      </c>
      <c r="AB195" s="11">
        <v>4.7218851385985992E-2</v>
      </c>
      <c r="AC195" s="10">
        <v>2</v>
      </c>
      <c r="AD195" s="9" t="s">
        <v>41</v>
      </c>
      <c r="AE195" s="9" t="s">
        <v>35</v>
      </c>
    </row>
    <row r="196" spans="1:31" x14ac:dyDescent="0.25">
      <c r="A196" s="9" t="s">
        <v>937</v>
      </c>
      <c r="B196" s="1" t="s">
        <v>1033</v>
      </c>
      <c r="C196" s="1" t="s">
        <v>596</v>
      </c>
      <c r="D196" s="10">
        <v>3</v>
      </c>
      <c r="E196" s="10">
        <v>2020</v>
      </c>
      <c r="F196" s="9" t="s">
        <v>38</v>
      </c>
      <c r="G196" s="9" t="s">
        <v>29</v>
      </c>
      <c r="H196" s="1">
        <v>20.6</v>
      </c>
      <c r="I196" s="1">
        <v>9.1999999999999993</v>
      </c>
      <c r="J196" s="9" t="s">
        <v>43</v>
      </c>
      <c r="K196" s="1">
        <v>1</v>
      </c>
      <c r="L196" s="10">
        <v>89</v>
      </c>
      <c r="M196" s="3">
        <v>0.35</v>
      </c>
      <c r="N196" s="11">
        <v>8.7500710227272748E-3</v>
      </c>
      <c r="O196">
        <v>9</v>
      </c>
      <c r="P196" s="11">
        <v>0.36544375427139619</v>
      </c>
      <c r="Q196" s="11">
        <v>1.1627906976744189E-2</v>
      </c>
      <c r="R196" s="11">
        <v>0.35180591453912219</v>
      </c>
      <c r="S196" s="11">
        <v>8.7248132575660376E-3</v>
      </c>
      <c r="T196" s="9" t="s">
        <v>40</v>
      </c>
      <c r="U196" s="9" t="s">
        <v>50</v>
      </c>
      <c r="V196" s="9" t="s">
        <v>33</v>
      </c>
      <c r="W196" s="9" t="s">
        <v>914</v>
      </c>
      <c r="X196" s="1">
        <v>19.600000000000001</v>
      </c>
      <c r="Y196" s="1">
        <v>15</v>
      </c>
      <c r="Z196" s="3">
        <f t="shared" si="8"/>
        <v>1.3066666666666669</v>
      </c>
      <c r="AA196" s="11">
        <v>0.27492454356776491</v>
      </c>
      <c r="AB196" s="11">
        <v>8.3105538114646937E-2</v>
      </c>
      <c r="AC196" s="10">
        <v>1</v>
      </c>
      <c r="AD196" s="9" t="s">
        <v>41</v>
      </c>
      <c r="AE196" s="9" t="s">
        <v>35</v>
      </c>
    </row>
    <row r="197" spans="1:31" x14ac:dyDescent="0.25">
      <c r="A197" s="9" t="s">
        <v>937</v>
      </c>
      <c r="B197" s="1" t="s">
        <v>1034</v>
      </c>
      <c r="C197" s="1" t="s">
        <v>597</v>
      </c>
      <c r="D197" s="10">
        <v>3</v>
      </c>
      <c r="E197" s="10">
        <v>2020</v>
      </c>
      <c r="F197" s="9" t="s">
        <v>28</v>
      </c>
      <c r="G197" s="9" t="s">
        <v>29</v>
      </c>
      <c r="H197" s="1">
        <v>16.600000000000001</v>
      </c>
      <c r="I197" s="1">
        <v>9.1</v>
      </c>
      <c r="J197" s="9" t="s">
        <v>43</v>
      </c>
      <c r="K197" s="1">
        <v>1</v>
      </c>
      <c r="L197" s="10">
        <v>86</v>
      </c>
      <c r="M197" s="3">
        <v>0.25</v>
      </c>
      <c r="N197" s="11">
        <v>1.0340073529411759E-2</v>
      </c>
      <c r="O197">
        <v>9</v>
      </c>
      <c r="P197" s="11">
        <v>0.25541281188299542</v>
      </c>
      <c r="Q197" s="11">
        <v>1.204819277108434E-2</v>
      </c>
      <c r="R197" s="11">
        <v>0.25143093224330287</v>
      </c>
      <c r="S197" s="11">
        <v>1.032425207834721E-2</v>
      </c>
      <c r="T197" s="9" t="s">
        <v>40</v>
      </c>
      <c r="U197" s="9" t="s">
        <v>50</v>
      </c>
      <c r="V197" s="9" t="s">
        <v>33</v>
      </c>
      <c r="W197" s="9" t="s">
        <v>914</v>
      </c>
      <c r="X197" s="1">
        <v>23.1</v>
      </c>
      <c r="Y197" s="1">
        <v>15</v>
      </c>
      <c r="Z197" s="3">
        <f t="shared" si="8"/>
        <v>1.54</v>
      </c>
      <c r="AA197" s="11">
        <v>0.16535364382967779</v>
      </c>
      <c r="AB197" s="11">
        <v>7.2495111139170065E-2</v>
      </c>
      <c r="AC197" s="10">
        <v>1</v>
      </c>
      <c r="AD197" s="9" t="s">
        <v>41</v>
      </c>
      <c r="AE197" s="9" t="s">
        <v>35</v>
      </c>
    </row>
    <row r="198" spans="1:31" x14ac:dyDescent="0.25">
      <c r="A198" s="9" t="s">
        <v>938</v>
      </c>
      <c r="B198" s="1" t="s">
        <v>1035</v>
      </c>
      <c r="C198" s="1" t="s">
        <v>598</v>
      </c>
      <c r="D198" s="10">
        <v>3</v>
      </c>
      <c r="E198" s="10">
        <v>2021</v>
      </c>
      <c r="F198" s="9" t="s">
        <v>28</v>
      </c>
      <c r="G198" s="9" t="s">
        <v>29</v>
      </c>
      <c r="H198" s="1">
        <v>26.7</v>
      </c>
      <c r="I198" s="1">
        <v>0.61</v>
      </c>
      <c r="J198" s="9" t="s">
        <v>30</v>
      </c>
      <c r="K198" s="1">
        <v>0.57399999999999995</v>
      </c>
      <c r="L198" s="10">
        <v>97</v>
      </c>
      <c r="M198" s="3">
        <v>0.377</v>
      </c>
      <c r="N198" s="11">
        <v>7.6660692983437509E-3</v>
      </c>
      <c r="O198">
        <v>4</v>
      </c>
      <c r="P198" s="11">
        <v>0.39655798997060088</v>
      </c>
      <c r="Q198" s="11">
        <v>1.063829787234043E-2</v>
      </c>
      <c r="R198" s="11">
        <v>0.37873736008379782</v>
      </c>
      <c r="S198" s="11">
        <v>7.6426211255508714E-3</v>
      </c>
      <c r="T198" s="9" t="s">
        <v>40</v>
      </c>
      <c r="U198" s="9" t="s">
        <v>46</v>
      </c>
      <c r="V198" s="9" t="s">
        <v>33</v>
      </c>
      <c r="W198" s="9" t="s">
        <v>915</v>
      </c>
      <c r="X198" s="1">
        <v>12.7</v>
      </c>
      <c r="Y198" s="1">
        <v>15</v>
      </c>
      <c r="Z198" s="3">
        <f t="shared" si="8"/>
        <v>0.84666666666666657</v>
      </c>
      <c r="AA198" s="11">
        <v>0.43327922392077428</v>
      </c>
      <c r="AB198" s="11">
        <v>0.10340788564602681</v>
      </c>
      <c r="AC198" s="10">
        <v>1</v>
      </c>
      <c r="AD198" s="9" t="s">
        <v>41</v>
      </c>
      <c r="AE198" s="9" t="s">
        <v>35</v>
      </c>
    </row>
    <row r="199" spans="1:31" x14ac:dyDescent="0.25">
      <c r="A199" s="9" t="s">
        <v>939</v>
      </c>
      <c r="B199" s="1" t="s">
        <v>1046</v>
      </c>
      <c r="C199" s="1" t="s">
        <v>599</v>
      </c>
      <c r="D199" s="10">
        <v>3</v>
      </c>
      <c r="E199" s="10">
        <v>2021</v>
      </c>
      <c r="F199" s="9" t="s">
        <v>28</v>
      </c>
      <c r="G199" s="9" t="s">
        <v>29</v>
      </c>
      <c r="H199" s="1">
        <v>26.71</v>
      </c>
      <c r="I199" s="1">
        <v>3.58</v>
      </c>
      <c r="J199" s="9" t="s">
        <v>30</v>
      </c>
      <c r="K199" s="1">
        <v>0.38600000000000001</v>
      </c>
      <c r="L199" s="10">
        <v>44</v>
      </c>
      <c r="M199" s="3">
        <v>0.14000000000000001</v>
      </c>
      <c r="N199" s="11">
        <v>2.2353120000000001E-2</v>
      </c>
      <c r="O199">
        <v>5</v>
      </c>
      <c r="P199" s="11">
        <v>0.14092557607049391</v>
      </c>
      <c r="Q199" s="11">
        <v>2.4390243902439029E-2</v>
      </c>
      <c r="R199" s="11">
        <v>0.14172428408352869</v>
      </c>
      <c r="S199" s="11">
        <v>2.2330974252719491E-2</v>
      </c>
      <c r="T199" s="9" t="s">
        <v>40</v>
      </c>
      <c r="U199" s="9" t="s">
        <v>50</v>
      </c>
      <c r="V199" s="9" t="s">
        <v>33</v>
      </c>
      <c r="W199" s="9" t="s">
        <v>923</v>
      </c>
      <c r="X199" s="1">
        <v>11.54</v>
      </c>
      <c r="Y199" s="1">
        <v>15</v>
      </c>
      <c r="Z199" s="3">
        <f t="shared" si="8"/>
        <v>0.76933333333333331</v>
      </c>
      <c r="AA199" s="11">
        <v>0.18075834630022841</v>
      </c>
      <c r="AB199" s="11">
        <v>0.19463326898864819</v>
      </c>
      <c r="AC199" s="10">
        <v>0</v>
      </c>
      <c r="AD199" s="9" t="s">
        <v>41</v>
      </c>
      <c r="AE199" s="9" t="s">
        <v>35</v>
      </c>
    </row>
    <row r="200" spans="1:31" x14ac:dyDescent="0.25">
      <c r="A200" s="9" t="s">
        <v>941</v>
      </c>
      <c r="B200" s="1" t="s">
        <v>1008</v>
      </c>
      <c r="C200" s="1" t="s">
        <v>600</v>
      </c>
      <c r="D200" s="10">
        <v>3</v>
      </c>
      <c r="E200" s="10">
        <v>2020</v>
      </c>
      <c r="F200" s="9" t="s">
        <v>28</v>
      </c>
      <c r="G200" s="9" t="s">
        <v>29</v>
      </c>
      <c r="H200" s="1">
        <v>32.14</v>
      </c>
      <c r="I200" s="1">
        <v>8.32</v>
      </c>
      <c r="J200" s="9" t="s">
        <v>30</v>
      </c>
      <c r="K200" s="1">
        <v>0.46</v>
      </c>
      <c r="L200" s="10">
        <v>968</v>
      </c>
      <c r="M200" s="3">
        <v>0.2</v>
      </c>
      <c r="N200" s="11">
        <v>9.5305067218200623E-4</v>
      </c>
      <c r="O200" t="s">
        <v>924</v>
      </c>
      <c r="P200" s="11">
        <v>0.20273255405408211</v>
      </c>
      <c r="Q200" s="11">
        <v>1.036269430051813E-3</v>
      </c>
      <c r="R200" s="11">
        <v>0.2000996015565458</v>
      </c>
      <c r="S200" s="11">
        <v>9.5297154968493911E-4</v>
      </c>
      <c r="T200" s="9" t="s">
        <v>40</v>
      </c>
      <c r="U200" s="9" t="s">
        <v>50</v>
      </c>
      <c r="V200" s="9" t="s">
        <v>33</v>
      </c>
      <c r="W200" s="9" t="s">
        <v>925</v>
      </c>
      <c r="X200" s="1">
        <v>14.39</v>
      </c>
      <c r="Y200" s="1">
        <v>15</v>
      </c>
      <c r="Z200" s="3">
        <f>X200/Y200</f>
        <v>0.95933333333333337</v>
      </c>
      <c r="AA200" s="11">
        <v>0.2081180521299244</v>
      </c>
      <c r="AB200" s="11">
        <v>3.2690788325047453E-2</v>
      </c>
      <c r="AC200" s="10">
        <v>0</v>
      </c>
      <c r="AD200" s="9" t="s">
        <v>41</v>
      </c>
      <c r="AE200" s="9" t="s">
        <v>35</v>
      </c>
    </row>
    <row r="201" spans="1:31" x14ac:dyDescent="0.25">
      <c r="A201" s="9" t="s">
        <v>941</v>
      </c>
      <c r="B201" s="1" t="s">
        <v>1008</v>
      </c>
      <c r="C201" s="1" t="s">
        <v>601</v>
      </c>
      <c r="D201" s="10">
        <v>3</v>
      </c>
      <c r="E201" s="10">
        <v>2020</v>
      </c>
      <c r="F201" s="9" t="s">
        <v>28</v>
      </c>
      <c r="G201" s="9" t="s">
        <v>29</v>
      </c>
      <c r="H201" s="1">
        <v>27.48</v>
      </c>
      <c r="I201" s="1">
        <v>8.9700000000000006</v>
      </c>
      <c r="J201" s="9" t="s">
        <v>30</v>
      </c>
      <c r="K201" s="1">
        <v>0.41</v>
      </c>
      <c r="L201" s="10">
        <v>507</v>
      </c>
      <c r="M201" s="3">
        <v>0.2</v>
      </c>
      <c r="N201" s="11">
        <v>1.821343873517787E-3</v>
      </c>
      <c r="O201" t="s">
        <v>924</v>
      </c>
      <c r="P201" s="11">
        <v>0.20273255405408211</v>
      </c>
      <c r="Q201" s="11">
        <v>1.984126984126984E-3</v>
      </c>
      <c r="R201" s="11">
        <v>0.20019091533809361</v>
      </c>
      <c r="S201" s="11">
        <v>1.8210539780163231E-3</v>
      </c>
      <c r="T201" s="9" t="s">
        <v>40</v>
      </c>
      <c r="U201" s="9" t="s">
        <v>50</v>
      </c>
      <c r="V201" s="9" t="s">
        <v>33</v>
      </c>
      <c r="W201" s="9" t="s">
        <v>925</v>
      </c>
      <c r="X201" s="1">
        <v>13.89</v>
      </c>
      <c r="Y201" s="1">
        <v>15</v>
      </c>
      <c r="Z201" s="3">
        <f>X201/Y201</f>
        <v>0.92600000000000005</v>
      </c>
      <c r="AA201" s="11">
        <v>0.2152682973780409</v>
      </c>
      <c r="AB201" s="11">
        <v>4.6618912832775999E-2</v>
      </c>
      <c r="AC201" s="10">
        <v>0</v>
      </c>
      <c r="AD201" s="9" t="s">
        <v>41</v>
      </c>
      <c r="AE201" s="9" t="s">
        <v>35</v>
      </c>
    </row>
    <row r="202" spans="1:31" x14ac:dyDescent="0.25">
      <c r="A202" s="9" t="s">
        <v>942</v>
      </c>
      <c r="B202" s="1" t="s">
        <v>735</v>
      </c>
      <c r="C202" s="1" t="s">
        <v>602</v>
      </c>
      <c r="D202" s="10">
        <v>3</v>
      </c>
      <c r="E202" s="10">
        <v>2020</v>
      </c>
      <c r="F202" s="9" t="s">
        <v>28</v>
      </c>
      <c r="G202" s="9" t="s">
        <v>54</v>
      </c>
      <c r="H202" s="1">
        <v>14.54</v>
      </c>
      <c r="I202" s="1">
        <v>4.47</v>
      </c>
      <c r="J202" s="9" t="s">
        <v>30</v>
      </c>
      <c r="K202" s="1">
        <v>0.87739999999999996</v>
      </c>
      <c r="L202" s="10">
        <v>302</v>
      </c>
      <c r="M202" s="3">
        <v>0.08</v>
      </c>
      <c r="N202" s="11">
        <v>3.2798702990033219E-3</v>
      </c>
      <c r="O202" t="s">
        <v>934</v>
      </c>
      <c r="P202" s="11">
        <v>8.0171325037589738E-2</v>
      </c>
      <c r="Q202" s="11">
        <v>3.3444816053511709E-3</v>
      </c>
      <c r="R202" s="11">
        <v>8.0133474331359894E-2</v>
      </c>
      <c r="S202" s="11">
        <v>3.2797291914401119E-3</v>
      </c>
      <c r="T202" s="9" t="s">
        <v>40</v>
      </c>
      <c r="U202" s="9" t="s">
        <v>50</v>
      </c>
      <c r="V202" s="9" t="s">
        <v>33</v>
      </c>
      <c r="W202" s="9" t="s">
        <v>908</v>
      </c>
      <c r="X202" s="1">
        <v>14.37</v>
      </c>
      <c r="Y202" s="1">
        <v>15</v>
      </c>
      <c r="Z202" s="3">
        <f>X202/Y202</f>
        <v>0.95799999999999996</v>
      </c>
      <c r="AA202" s="11">
        <v>8.3483372702689601E-2</v>
      </c>
      <c r="AB202" s="11">
        <v>6.0021408076872403E-2</v>
      </c>
      <c r="AC202" s="10">
        <v>0</v>
      </c>
      <c r="AD202" s="9" t="s">
        <v>41</v>
      </c>
      <c r="AE202" s="9" t="s">
        <v>35</v>
      </c>
    </row>
    <row r="203" spans="1:31" x14ac:dyDescent="0.25">
      <c r="A203" s="9" t="s">
        <v>942</v>
      </c>
      <c r="B203" s="1" t="s">
        <v>734</v>
      </c>
      <c r="C203" s="1" t="s">
        <v>603</v>
      </c>
      <c r="D203" s="10">
        <v>3</v>
      </c>
      <c r="E203" s="10">
        <v>2020</v>
      </c>
      <c r="F203" s="9" t="s">
        <v>38</v>
      </c>
      <c r="G203" s="9" t="s">
        <v>54</v>
      </c>
      <c r="H203" s="1">
        <v>14.54</v>
      </c>
      <c r="I203" s="1">
        <v>4.55</v>
      </c>
      <c r="J203" s="9" t="s">
        <v>30</v>
      </c>
      <c r="K203" s="1">
        <v>0.80400000000000005</v>
      </c>
      <c r="L203" s="10">
        <v>352</v>
      </c>
      <c r="M203" s="3">
        <v>0.31</v>
      </c>
      <c r="N203" s="11">
        <v>2.327735641025641E-3</v>
      </c>
      <c r="O203" t="s">
        <v>933</v>
      </c>
      <c r="P203" s="11">
        <v>0.32054540930194608</v>
      </c>
      <c r="Q203" s="11">
        <v>2.8653295128939832E-3</v>
      </c>
      <c r="R203" s="11">
        <v>0.3104026364016807</v>
      </c>
      <c r="S203" s="11">
        <v>2.3264492591197569E-3</v>
      </c>
      <c r="T203" s="9" t="s">
        <v>40</v>
      </c>
      <c r="U203" s="9" t="s">
        <v>50</v>
      </c>
      <c r="V203" s="9" t="s">
        <v>33</v>
      </c>
      <c r="W203" s="9" t="s">
        <v>908</v>
      </c>
      <c r="X203" s="1">
        <v>11.05</v>
      </c>
      <c r="Y203" s="1">
        <v>15</v>
      </c>
      <c r="Z203" s="3">
        <f>X203/Y203</f>
        <v>0.73666666666666669</v>
      </c>
      <c r="AA203" s="11">
        <v>0.40474442547967021</v>
      </c>
      <c r="AB203" s="11">
        <v>6.137984046658277E-2</v>
      </c>
      <c r="AC203" s="10">
        <v>0</v>
      </c>
      <c r="AD203" s="9" t="s">
        <v>41</v>
      </c>
      <c r="AE203" s="9" t="s">
        <v>35</v>
      </c>
    </row>
    <row r="204" spans="1:31" x14ac:dyDescent="0.25">
      <c r="A204" s="9" t="s">
        <v>940</v>
      </c>
      <c r="B204" s="1" t="s">
        <v>496</v>
      </c>
      <c r="C204" s="1" t="s">
        <v>604</v>
      </c>
      <c r="D204" s="10">
        <v>3</v>
      </c>
      <c r="E204" s="10">
        <v>2020</v>
      </c>
      <c r="F204" s="9" t="s">
        <v>38</v>
      </c>
      <c r="G204" s="9" t="s">
        <v>29</v>
      </c>
      <c r="H204" s="1">
        <v>79.400000000000006</v>
      </c>
      <c r="I204" s="1">
        <v>0.6</v>
      </c>
      <c r="J204" s="9" t="s">
        <v>30</v>
      </c>
      <c r="K204" s="1">
        <v>0.53100000000000003</v>
      </c>
      <c r="L204" s="10">
        <v>358</v>
      </c>
      <c r="M204" s="3">
        <v>0.189</v>
      </c>
      <c r="N204" s="11">
        <v>2.6045770023557422E-3</v>
      </c>
      <c r="O204" t="s">
        <v>919</v>
      </c>
      <c r="P204" s="11">
        <v>0.1912999212876845</v>
      </c>
      <c r="Q204" s="11">
        <v>2.8169014084507039E-3</v>
      </c>
      <c r="R204" s="11">
        <v>0.18925753618824609</v>
      </c>
      <c r="S204" s="11">
        <v>2.6040507810793042E-3</v>
      </c>
      <c r="T204" s="9" t="s">
        <v>40</v>
      </c>
      <c r="U204" s="9" t="s">
        <v>50</v>
      </c>
      <c r="V204" s="9" t="s">
        <v>33</v>
      </c>
      <c r="W204" s="9" t="s">
        <v>926</v>
      </c>
      <c r="X204" s="1" t="s">
        <v>31</v>
      </c>
      <c r="Y204" s="1" t="s">
        <v>31</v>
      </c>
      <c r="Z204" s="3" t="s">
        <v>31</v>
      </c>
      <c r="AA204" s="11" t="s">
        <v>31</v>
      </c>
      <c r="AB204" s="11" t="s">
        <v>31</v>
      </c>
      <c r="AC204" s="10">
        <v>1</v>
      </c>
      <c r="AD204" s="9" t="s">
        <v>41</v>
      </c>
      <c r="AE204" s="9" t="s">
        <v>35</v>
      </c>
    </row>
    <row r="205" spans="1:31" x14ac:dyDescent="0.25">
      <c r="A205" s="9" t="s">
        <v>502</v>
      </c>
      <c r="B205" s="10" t="s">
        <v>26</v>
      </c>
      <c r="C205" s="1" t="s">
        <v>605</v>
      </c>
      <c r="D205" s="10">
        <v>2</v>
      </c>
      <c r="E205" s="10">
        <v>1987</v>
      </c>
      <c r="F205" s="9" t="s">
        <v>28</v>
      </c>
      <c r="G205" s="9" t="s">
        <v>29</v>
      </c>
      <c r="H205" s="1">
        <v>38.4</v>
      </c>
      <c r="I205" s="1">
        <v>14.1</v>
      </c>
      <c r="J205" s="9" t="s">
        <v>30</v>
      </c>
      <c r="K205" s="1">
        <v>0.34</v>
      </c>
      <c r="L205" s="10">
        <v>41</v>
      </c>
      <c r="M205" s="3">
        <v>0.12</v>
      </c>
      <c r="N205" s="11">
        <v>2.4285184000000001E-2</v>
      </c>
      <c r="O205">
        <v>20</v>
      </c>
      <c r="P205" s="11">
        <v>0.1205810284084441</v>
      </c>
      <c r="Q205" s="11">
        <v>2.6315789473684209E-2</v>
      </c>
      <c r="R205">
        <v>0.12160743110574</v>
      </c>
      <c r="S205">
        <v>2.4266049030178229E-2</v>
      </c>
      <c r="T205" s="9" t="s">
        <v>32</v>
      </c>
      <c r="U205" s="9" t="s">
        <v>31</v>
      </c>
      <c r="V205" s="9" t="s">
        <v>276</v>
      </c>
      <c r="W205" s="9" t="s">
        <v>277</v>
      </c>
      <c r="X205" s="1">
        <v>13.3</v>
      </c>
      <c r="Y205" s="1">
        <v>15</v>
      </c>
      <c r="Z205" s="3">
        <f>X205/Y205</f>
        <v>0.88666666666666671</v>
      </c>
      <c r="AA205" s="11">
        <v>0.13507409766053299</v>
      </c>
      <c r="AB205" s="11">
        <v>0.17824251217698639</v>
      </c>
      <c r="AC205" s="10">
        <v>1</v>
      </c>
      <c r="AD205" s="9" t="s">
        <v>34</v>
      </c>
      <c r="AE205" s="9" t="s">
        <v>35</v>
      </c>
    </row>
    <row r="206" spans="1:31" x14ac:dyDescent="0.25">
      <c r="A206" s="9" t="s">
        <v>503</v>
      </c>
      <c r="B206" s="10" t="s">
        <v>48</v>
      </c>
      <c r="C206" s="1" t="s">
        <v>606</v>
      </c>
      <c r="D206" s="10">
        <v>2</v>
      </c>
      <c r="E206" s="10">
        <v>1993</v>
      </c>
      <c r="F206" s="9" t="s">
        <v>38</v>
      </c>
      <c r="G206" s="9" t="s">
        <v>29</v>
      </c>
      <c r="H206" s="1">
        <v>38</v>
      </c>
      <c r="I206" s="1">
        <v>16</v>
      </c>
      <c r="J206" s="9" t="s">
        <v>39</v>
      </c>
      <c r="K206" s="1">
        <v>0</v>
      </c>
      <c r="L206" s="10">
        <v>30</v>
      </c>
      <c r="M206" s="3">
        <v>0.43</v>
      </c>
      <c r="N206" s="11">
        <v>2.2909931379310348E-2</v>
      </c>
      <c r="O206">
        <v>132</v>
      </c>
      <c r="P206" s="11">
        <v>0.45989668121267852</v>
      </c>
      <c r="Q206" s="11">
        <v>3.7037037037037042E-2</v>
      </c>
      <c r="R206">
        <v>0.43668940203762968</v>
      </c>
      <c r="S206">
        <v>2.2585183443199298E-2</v>
      </c>
      <c r="T206" s="9" t="s">
        <v>40</v>
      </c>
      <c r="U206" s="9" t="s">
        <v>46</v>
      </c>
      <c r="V206" s="9" t="s">
        <v>276</v>
      </c>
      <c r="W206" s="9" t="s">
        <v>278</v>
      </c>
      <c r="X206" s="1">
        <v>15</v>
      </c>
      <c r="Y206" s="1">
        <v>15</v>
      </c>
      <c r="Z206" s="3">
        <f>X206/Y206</f>
        <v>1</v>
      </c>
      <c r="AA206" s="11">
        <v>0.43</v>
      </c>
      <c r="AB206" s="11">
        <v>0.17061862232978639</v>
      </c>
      <c r="AC206" s="10">
        <v>1</v>
      </c>
      <c r="AD206" s="9" t="s">
        <v>41</v>
      </c>
      <c r="AE206" s="9" t="s">
        <v>35</v>
      </c>
    </row>
    <row r="207" spans="1:31" x14ac:dyDescent="0.25">
      <c r="A207" s="9" t="s">
        <v>503</v>
      </c>
      <c r="B207" s="10" t="s">
        <v>52</v>
      </c>
      <c r="C207" s="1" t="s">
        <v>607</v>
      </c>
      <c r="D207" s="10">
        <v>2</v>
      </c>
      <c r="E207" s="10">
        <v>1993</v>
      </c>
      <c r="F207" s="9" t="s">
        <v>38</v>
      </c>
      <c r="G207" s="9" t="s">
        <v>29</v>
      </c>
      <c r="H207" s="1">
        <v>38</v>
      </c>
      <c r="I207" s="1">
        <v>16</v>
      </c>
      <c r="J207" s="9" t="s">
        <v>43</v>
      </c>
      <c r="K207" s="1">
        <v>1</v>
      </c>
      <c r="L207" s="10">
        <v>37</v>
      </c>
      <c r="M207" s="3">
        <v>0.33</v>
      </c>
      <c r="N207" s="11">
        <v>2.2057200277777779E-2</v>
      </c>
      <c r="O207">
        <v>132</v>
      </c>
      <c r="P207" s="11">
        <v>0.34282825441539388</v>
      </c>
      <c r="Q207" s="11">
        <v>2.9411764705882349E-2</v>
      </c>
      <c r="R207">
        <v>0.33445370867935148</v>
      </c>
      <c r="S207">
        <v>2.1910942576397731E-2</v>
      </c>
      <c r="T207" s="9" t="s">
        <v>40</v>
      </c>
      <c r="U207" s="9" t="s">
        <v>46</v>
      </c>
      <c r="V207" s="9" t="s">
        <v>276</v>
      </c>
      <c r="W207" s="9" t="s">
        <v>278</v>
      </c>
      <c r="X207" s="1">
        <v>15</v>
      </c>
      <c r="Y207" s="1">
        <v>15</v>
      </c>
      <c r="Z207" s="3">
        <f t="shared" ref="Z207:Z270" si="9">X207/Y207</f>
        <v>1</v>
      </c>
      <c r="AA207" s="11">
        <v>0.33</v>
      </c>
      <c r="AB207" s="11">
        <v>0.15956190021430561</v>
      </c>
      <c r="AC207" s="10">
        <v>1</v>
      </c>
      <c r="AD207" s="9" t="s">
        <v>41</v>
      </c>
      <c r="AE207" s="9" t="s">
        <v>35</v>
      </c>
    </row>
    <row r="208" spans="1:31" x14ac:dyDescent="0.25">
      <c r="A208" s="9" t="s">
        <v>504</v>
      </c>
      <c r="B208" s="10" t="s">
        <v>56</v>
      </c>
      <c r="C208" s="1" t="s">
        <v>608</v>
      </c>
      <c r="D208" s="10">
        <v>2</v>
      </c>
      <c r="E208" s="10">
        <v>1993</v>
      </c>
      <c r="F208" s="9" t="s">
        <v>38</v>
      </c>
      <c r="G208" s="9" t="s">
        <v>29</v>
      </c>
      <c r="H208" s="1">
        <v>43.8</v>
      </c>
      <c r="I208" s="1">
        <v>21.5</v>
      </c>
      <c r="J208" s="9" t="s">
        <v>30</v>
      </c>
      <c r="K208" s="1">
        <v>0.59</v>
      </c>
      <c r="L208" s="10">
        <v>29</v>
      </c>
      <c r="M208" s="3">
        <v>0.1</v>
      </c>
      <c r="N208" s="11">
        <v>3.5003571428571433E-2</v>
      </c>
      <c r="O208">
        <v>415</v>
      </c>
      <c r="P208" s="11">
        <v>0.10033534773107559</v>
      </c>
      <c r="Q208" s="11">
        <v>3.8461538461538457E-2</v>
      </c>
      <c r="R208">
        <v>0.10199743647485771</v>
      </c>
      <c r="S208">
        <v>3.4975045651421129E-2</v>
      </c>
      <c r="T208" s="9" t="s">
        <v>40</v>
      </c>
      <c r="U208" s="9" t="s">
        <v>50</v>
      </c>
      <c r="V208" s="9" t="s">
        <v>276</v>
      </c>
      <c r="W208" s="9" t="s">
        <v>279</v>
      </c>
      <c r="X208" s="1" t="s">
        <v>31</v>
      </c>
      <c r="Y208" s="1" t="s">
        <v>31</v>
      </c>
      <c r="Z208" s="3" t="s">
        <v>31</v>
      </c>
      <c r="AA208" s="11" t="s">
        <v>31</v>
      </c>
      <c r="AB208" s="11" t="s">
        <v>31</v>
      </c>
      <c r="AC208" s="10">
        <v>0</v>
      </c>
      <c r="AD208" s="9" t="s">
        <v>41</v>
      </c>
      <c r="AE208" s="9" t="s">
        <v>35</v>
      </c>
    </row>
    <row r="209" spans="1:31" x14ac:dyDescent="0.25">
      <c r="A209" s="9" t="s">
        <v>505</v>
      </c>
      <c r="B209" s="10" t="s">
        <v>1047</v>
      </c>
      <c r="C209" s="1" t="s">
        <v>609</v>
      </c>
      <c r="D209" s="10">
        <v>2</v>
      </c>
      <c r="E209" s="10">
        <v>1994</v>
      </c>
      <c r="F209" s="9" t="s">
        <v>38</v>
      </c>
      <c r="G209" s="9" t="s">
        <v>54</v>
      </c>
      <c r="H209" s="1">
        <v>12.1</v>
      </c>
      <c r="I209" s="1">
        <v>3</v>
      </c>
      <c r="J209" s="9" t="s">
        <v>43</v>
      </c>
      <c r="K209" s="1">
        <v>1</v>
      </c>
      <c r="L209" s="10">
        <v>46</v>
      </c>
      <c r="M209" s="3">
        <v>0.33</v>
      </c>
      <c r="N209" s="11">
        <v>1.764576022222222E-2</v>
      </c>
      <c r="O209">
        <v>1793</v>
      </c>
      <c r="P209" s="11">
        <v>0.34282825441539388</v>
      </c>
      <c r="Q209" s="11">
        <v>2.3255813953488368E-2</v>
      </c>
      <c r="R209">
        <v>0.33349997674782061</v>
      </c>
      <c r="S209">
        <v>1.7553909254745158E-2</v>
      </c>
      <c r="T209" s="9" t="s">
        <v>40</v>
      </c>
      <c r="U209" s="9" t="s">
        <v>50</v>
      </c>
      <c r="V209" s="9" t="s">
        <v>276</v>
      </c>
      <c r="W209" s="9" t="s">
        <v>356</v>
      </c>
      <c r="X209" s="1">
        <v>13.5</v>
      </c>
      <c r="Y209" s="1">
        <v>15</v>
      </c>
      <c r="Z209" s="3">
        <f t="shared" si="9"/>
        <v>0.9</v>
      </c>
      <c r="AA209" s="11">
        <v>0.36207137166083941</v>
      </c>
      <c r="AB209" s="11">
        <v>0.15225187323212661</v>
      </c>
      <c r="AC209" s="10">
        <v>0</v>
      </c>
      <c r="AD209" s="9" t="s">
        <v>34</v>
      </c>
      <c r="AE209" s="9" t="s">
        <v>35</v>
      </c>
    </row>
    <row r="210" spans="1:31" x14ac:dyDescent="0.25">
      <c r="A210" s="9" t="s">
        <v>860</v>
      </c>
      <c r="B210" s="10" t="s">
        <v>1048</v>
      </c>
      <c r="C210" s="1" t="s">
        <v>610</v>
      </c>
      <c r="D210" s="10">
        <v>2</v>
      </c>
      <c r="E210" s="10">
        <v>1994</v>
      </c>
      <c r="F210" s="9" t="s">
        <v>28</v>
      </c>
      <c r="G210" s="9" t="s">
        <v>29</v>
      </c>
      <c r="H210" s="1">
        <v>35.6</v>
      </c>
      <c r="I210" s="1" t="s">
        <v>31</v>
      </c>
      <c r="J210" s="9" t="s">
        <v>30</v>
      </c>
      <c r="K210" s="1">
        <v>0.38</v>
      </c>
      <c r="L210" s="10">
        <v>26</v>
      </c>
      <c r="M210" s="3">
        <v>0.38</v>
      </c>
      <c r="N210" s="11">
        <v>2.92820544E-2</v>
      </c>
      <c r="O210">
        <v>693</v>
      </c>
      <c r="P210" s="11">
        <v>0.40005965005605648</v>
      </c>
      <c r="Q210" s="11">
        <v>4.3478260869565223E-2</v>
      </c>
      <c r="R210">
        <v>0.3873533262439105</v>
      </c>
      <c r="S210">
        <v>2.889710331663714E-2</v>
      </c>
      <c r="T210" s="9" t="s">
        <v>40</v>
      </c>
      <c r="U210" s="9" t="s">
        <v>46</v>
      </c>
      <c r="V210" s="9" t="s">
        <v>276</v>
      </c>
      <c r="W210" s="9" t="s">
        <v>288</v>
      </c>
      <c r="X210" s="1" t="s">
        <v>31</v>
      </c>
      <c r="Y210" s="1" t="s">
        <v>31</v>
      </c>
      <c r="Z210" s="3" t="s">
        <v>31</v>
      </c>
      <c r="AA210" s="11" t="s">
        <v>31</v>
      </c>
      <c r="AB210" s="11" t="s">
        <v>31</v>
      </c>
      <c r="AC210" s="10">
        <v>0</v>
      </c>
      <c r="AD210" s="9" t="s">
        <v>34</v>
      </c>
      <c r="AE210" s="9" t="s">
        <v>35</v>
      </c>
    </row>
    <row r="211" spans="1:31" x14ac:dyDescent="0.25">
      <c r="A211" s="9" t="s">
        <v>860</v>
      </c>
      <c r="B211" s="10" t="s">
        <v>1049</v>
      </c>
      <c r="C211" s="1" t="s">
        <v>611</v>
      </c>
      <c r="D211" s="10">
        <v>2</v>
      </c>
      <c r="E211" s="10">
        <v>1994</v>
      </c>
      <c r="F211" s="9" t="s">
        <v>28</v>
      </c>
      <c r="G211" s="9" t="s">
        <v>29</v>
      </c>
      <c r="H211" s="1">
        <v>31.1</v>
      </c>
      <c r="I211" s="1" t="s">
        <v>31</v>
      </c>
      <c r="J211" s="9" t="s">
        <v>30</v>
      </c>
      <c r="K211" s="1">
        <v>0.77</v>
      </c>
      <c r="L211" s="10">
        <v>48</v>
      </c>
      <c r="M211" s="3">
        <v>0.24</v>
      </c>
      <c r="N211" s="11">
        <v>1.889612255319149E-2</v>
      </c>
      <c r="O211">
        <v>693</v>
      </c>
      <c r="P211" s="11">
        <v>0.24477411265935289</v>
      </c>
      <c r="Q211" s="11">
        <v>2.222222222222222E-2</v>
      </c>
      <c r="R211">
        <v>0.24257667400627281</v>
      </c>
      <c r="S211">
        <v>1.884629074922051E-2</v>
      </c>
      <c r="T211" s="9" t="s">
        <v>40</v>
      </c>
      <c r="U211" s="9" t="s">
        <v>46</v>
      </c>
      <c r="V211" s="9" t="s">
        <v>276</v>
      </c>
      <c r="W211" s="9" t="s">
        <v>288</v>
      </c>
      <c r="X211" s="1" t="s">
        <v>31</v>
      </c>
      <c r="Y211" s="1" t="s">
        <v>31</v>
      </c>
      <c r="Z211" s="3" t="s">
        <v>31</v>
      </c>
      <c r="AA211" s="11" t="s">
        <v>31</v>
      </c>
      <c r="AB211" s="11" t="s">
        <v>31</v>
      </c>
      <c r="AC211" s="10">
        <v>0</v>
      </c>
      <c r="AD211" s="9" t="s">
        <v>34</v>
      </c>
      <c r="AE211" s="9" t="s">
        <v>35</v>
      </c>
    </row>
    <row r="212" spans="1:31" x14ac:dyDescent="0.25">
      <c r="A212" s="9" t="s">
        <v>860</v>
      </c>
      <c r="B212" s="10" t="s">
        <v>1050</v>
      </c>
      <c r="C212" s="1" t="s">
        <v>612</v>
      </c>
      <c r="D212" s="10">
        <v>2</v>
      </c>
      <c r="E212" s="10">
        <v>1994</v>
      </c>
      <c r="F212" s="9" t="s">
        <v>38</v>
      </c>
      <c r="G212" s="9" t="s">
        <v>29</v>
      </c>
      <c r="H212" s="1">
        <v>31.6</v>
      </c>
      <c r="I212" s="1" t="s">
        <v>31</v>
      </c>
      <c r="J212" s="9" t="s">
        <v>30</v>
      </c>
      <c r="K212" s="1">
        <v>0.55000000000000004</v>
      </c>
      <c r="L212" s="10">
        <v>34</v>
      </c>
      <c r="M212" s="3">
        <v>0.69</v>
      </c>
      <c r="N212" s="11">
        <v>8.3173093939393952E-3</v>
      </c>
      <c r="O212">
        <v>693</v>
      </c>
      <c r="P212" s="11">
        <v>0.84795575521896349</v>
      </c>
      <c r="Q212" s="11">
        <v>3.2258064516129031E-2</v>
      </c>
      <c r="R212">
        <v>0.69585712145620149</v>
      </c>
      <c r="S212">
        <v>8.0615747089162419E-3</v>
      </c>
      <c r="T212" s="9" t="s">
        <v>40</v>
      </c>
      <c r="U212" s="9" t="s">
        <v>46</v>
      </c>
      <c r="V212" s="9" t="s">
        <v>276</v>
      </c>
      <c r="W212" s="9" t="s">
        <v>288</v>
      </c>
      <c r="X212" s="1" t="s">
        <v>31</v>
      </c>
      <c r="Y212" s="1" t="s">
        <v>31</v>
      </c>
      <c r="Z212" s="3" t="s">
        <v>31</v>
      </c>
      <c r="AA212" s="11" t="s">
        <v>31</v>
      </c>
      <c r="AB212" s="11" t="s">
        <v>31</v>
      </c>
      <c r="AC212" s="10">
        <v>0</v>
      </c>
      <c r="AD212" s="9" t="s">
        <v>34</v>
      </c>
      <c r="AE212" s="9" t="s">
        <v>35</v>
      </c>
    </row>
    <row r="213" spans="1:31" x14ac:dyDescent="0.25">
      <c r="A213" s="9" t="s">
        <v>861</v>
      </c>
      <c r="B213" s="10" t="s">
        <v>1037</v>
      </c>
      <c r="C213" s="1" t="s">
        <v>613</v>
      </c>
      <c r="D213" s="10">
        <v>2</v>
      </c>
      <c r="E213" s="10">
        <v>1994</v>
      </c>
      <c r="F213" s="9" t="s">
        <v>38</v>
      </c>
      <c r="G213" s="9" t="s">
        <v>29</v>
      </c>
      <c r="H213" s="1">
        <v>31.7</v>
      </c>
      <c r="I213" s="1">
        <v>6.9</v>
      </c>
      <c r="J213" s="9" t="s">
        <v>30</v>
      </c>
      <c r="K213" s="1">
        <v>0.64</v>
      </c>
      <c r="L213" s="10">
        <v>67</v>
      </c>
      <c r="M213" s="3">
        <v>0.3</v>
      </c>
      <c r="N213" s="11">
        <v>1.2546969696969701E-2</v>
      </c>
      <c r="O213">
        <v>999</v>
      </c>
      <c r="P213" s="11">
        <v>0.30951960420311181</v>
      </c>
      <c r="Q213" s="11">
        <v>1.5625E-2</v>
      </c>
      <c r="R213">
        <v>0.30216801072331151</v>
      </c>
      <c r="S213">
        <v>1.251099518402418E-2</v>
      </c>
      <c r="T213" s="9" t="s">
        <v>32</v>
      </c>
      <c r="U213" s="9" t="s">
        <v>46</v>
      </c>
      <c r="V213" s="9" t="s">
        <v>276</v>
      </c>
      <c r="W213" s="9" t="s">
        <v>358</v>
      </c>
      <c r="X213" s="1">
        <v>6.6</v>
      </c>
      <c r="Y213" s="1">
        <v>15</v>
      </c>
      <c r="Z213" s="3">
        <f t="shared" si="9"/>
        <v>0.44</v>
      </c>
      <c r="AA213" s="11">
        <v>0.58148271233660354</v>
      </c>
      <c r="AB213" s="11">
        <v>0.16680767506606459</v>
      </c>
      <c r="AC213" s="10">
        <v>0</v>
      </c>
      <c r="AD213" s="9" t="s">
        <v>34</v>
      </c>
      <c r="AE213" s="9" t="s">
        <v>35</v>
      </c>
    </row>
    <row r="214" spans="1:31" x14ac:dyDescent="0.25">
      <c r="A214" s="9" t="s">
        <v>55</v>
      </c>
      <c r="B214" s="10" t="s">
        <v>60</v>
      </c>
      <c r="C214" s="1" t="s">
        <v>614</v>
      </c>
      <c r="D214" s="10">
        <v>2</v>
      </c>
      <c r="E214" s="10">
        <v>1994</v>
      </c>
      <c r="F214" s="9" t="s">
        <v>38</v>
      </c>
      <c r="G214" s="9" t="s">
        <v>29</v>
      </c>
      <c r="H214" s="1">
        <v>25</v>
      </c>
      <c r="I214" s="1" t="s">
        <v>31</v>
      </c>
      <c r="J214" s="9" t="s">
        <v>39</v>
      </c>
      <c r="K214" s="1">
        <v>0</v>
      </c>
      <c r="L214" s="10">
        <v>40</v>
      </c>
      <c r="M214" s="3">
        <v>0.439</v>
      </c>
      <c r="N214" s="11">
        <v>1.671024061130769E-2</v>
      </c>
      <c r="O214">
        <v>834</v>
      </c>
      <c r="P214" s="11">
        <v>0.4709914006823358</v>
      </c>
      <c r="Q214" s="11">
        <v>2.7027027027027029E-2</v>
      </c>
      <c r="R214">
        <v>0.44389403962128149</v>
      </c>
      <c r="S214">
        <v>1.6531837968938611E-2</v>
      </c>
      <c r="T214" s="9" t="s">
        <v>40</v>
      </c>
      <c r="U214" s="9" t="s">
        <v>50</v>
      </c>
      <c r="V214" s="9" t="s">
        <v>276</v>
      </c>
      <c r="W214" s="9" t="s">
        <v>357</v>
      </c>
      <c r="X214" s="1" t="s">
        <v>31</v>
      </c>
      <c r="Y214" s="1" t="s">
        <v>31</v>
      </c>
      <c r="Z214" s="3" t="s">
        <v>31</v>
      </c>
      <c r="AA214" s="11" t="s">
        <v>31</v>
      </c>
      <c r="AB214" s="11" t="s">
        <v>31</v>
      </c>
      <c r="AC214" s="10">
        <v>0</v>
      </c>
      <c r="AD214" s="9" t="s">
        <v>41</v>
      </c>
      <c r="AE214" s="9" t="s">
        <v>35</v>
      </c>
    </row>
    <row r="215" spans="1:31" x14ac:dyDescent="0.25">
      <c r="A215" s="9" t="s">
        <v>58</v>
      </c>
      <c r="B215" s="10" t="s">
        <v>67</v>
      </c>
      <c r="C215" s="1" t="s">
        <v>615</v>
      </c>
      <c r="D215" s="10">
        <v>2</v>
      </c>
      <c r="E215" s="10">
        <v>1995</v>
      </c>
      <c r="F215" s="9" t="s">
        <v>38</v>
      </c>
      <c r="G215" s="9" t="s">
        <v>29</v>
      </c>
      <c r="H215" s="1">
        <v>22.5</v>
      </c>
      <c r="I215" s="1">
        <v>5</v>
      </c>
      <c r="J215" s="9" t="s">
        <v>43</v>
      </c>
      <c r="K215" s="1">
        <v>1</v>
      </c>
      <c r="L215" s="10">
        <v>40</v>
      </c>
      <c r="M215" s="3">
        <v>0.21</v>
      </c>
      <c r="N215" s="11">
        <v>2.3429354102564099E-2</v>
      </c>
      <c r="O215">
        <v>114</v>
      </c>
      <c r="P215" s="11">
        <v>0.21317134656485981</v>
      </c>
      <c r="Q215" s="11">
        <v>2.7027027027027029E-2</v>
      </c>
      <c r="R215">
        <v>0.2127989653500712</v>
      </c>
      <c r="S215">
        <v>2.3371379153233531E-2</v>
      </c>
      <c r="T215" s="9" t="s">
        <v>40</v>
      </c>
      <c r="U215" s="9" t="s">
        <v>50</v>
      </c>
      <c r="V215" s="9" t="s">
        <v>276</v>
      </c>
      <c r="W215" s="9" t="s">
        <v>278</v>
      </c>
      <c r="X215" s="1">
        <v>8.5</v>
      </c>
      <c r="Y215" s="1">
        <v>15</v>
      </c>
      <c r="Z215" s="3">
        <f t="shared" si="9"/>
        <v>0.56666666666666665</v>
      </c>
      <c r="AA215" s="11">
        <v>0.35443347873347458</v>
      </c>
      <c r="AB215" s="11">
        <v>0.24485901243687619</v>
      </c>
      <c r="AC215" s="10">
        <v>0</v>
      </c>
      <c r="AD215" s="9" t="s">
        <v>41</v>
      </c>
      <c r="AE215" s="9" t="s">
        <v>35</v>
      </c>
    </row>
    <row r="216" spans="1:31" x14ac:dyDescent="0.25">
      <c r="A216" s="9" t="s">
        <v>508</v>
      </c>
      <c r="B216" s="10" t="s">
        <v>1038</v>
      </c>
      <c r="C216" s="1" t="s">
        <v>616</v>
      </c>
      <c r="D216" s="10">
        <v>3</v>
      </c>
      <c r="E216" s="10">
        <v>1995</v>
      </c>
      <c r="F216" s="9" t="s">
        <v>28</v>
      </c>
      <c r="G216" s="9" t="s">
        <v>29</v>
      </c>
      <c r="H216" s="1">
        <v>29.75</v>
      </c>
      <c r="I216" s="1">
        <v>6.87</v>
      </c>
      <c r="J216" s="9" t="s">
        <v>30</v>
      </c>
      <c r="K216" s="1">
        <v>0.63</v>
      </c>
      <c r="L216" s="10">
        <v>68</v>
      </c>
      <c r="M216" s="3">
        <v>0.36</v>
      </c>
      <c r="N216" s="11">
        <v>1.130740537313433E-2</v>
      </c>
      <c r="O216">
        <v>215</v>
      </c>
      <c r="P216" s="11">
        <v>0.37688590118818999</v>
      </c>
      <c r="Q216" s="11">
        <v>1.5384615384615391E-2</v>
      </c>
      <c r="R216">
        <v>0.36244601675270122</v>
      </c>
      <c r="S216">
        <v>1.126153863879645E-2</v>
      </c>
      <c r="T216" s="9" t="s">
        <v>40</v>
      </c>
      <c r="U216" s="9" t="s">
        <v>50</v>
      </c>
      <c r="V216" s="9" t="s">
        <v>276</v>
      </c>
      <c r="W216" s="9" t="s">
        <v>316</v>
      </c>
      <c r="X216" s="1" t="s">
        <v>31</v>
      </c>
      <c r="Y216" s="1" t="s">
        <v>31</v>
      </c>
      <c r="Z216" s="3" t="s">
        <v>31</v>
      </c>
      <c r="AA216" s="11" t="s">
        <v>31</v>
      </c>
      <c r="AB216" s="11" t="s">
        <v>31</v>
      </c>
      <c r="AC216" s="10">
        <v>0</v>
      </c>
      <c r="AD216" s="9" t="s">
        <v>41</v>
      </c>
      <c r="AE216" s="9" t="s">
        <v>35</v>
      </c>
    </row>
    <row r="217" spans="1:31" x14ac:dyDescent="0.25">
      <c r="A217" s="9" t="s">
        <v>508</v>
      </c>
      <c r="B217" s="10" t="s">
        <v>72</v>
      </c>
      <c r="C217" s="1" t="s">
        <v>617</v>
      </c>
      <c r="D217" s="10">
        <v>3</v>
      </c>
      <c r="E217" s="10">
        <v>1995</v>
      </c>
      <c r="F217" s="9" t="s">
        <v>38</v>
      </c>
      <c r="G217" s="9" t="s">
        <v>29</v>
      </c>
      <c r="H217" s="1">
        <v>27.66</v>
      </c>
      <c r="I217" s="1">
        <v>7.31</v>
      </c>
      <c r="J217" s="9" t="s">
        <v>30</v>
      </c>
      <c r="K217" s="1">
        <v>0.63</v>
      </c>
      <c r="L217" s="10">
        <v>68</v>
      </c>
      <c r="M217" s="3">
        <v>0.24</v>
      </c>
      <c r="N217" s="11">
        <v>1.325548895522388E-2</v>
      </c>
      <c r="O217">
        <v>215</v>
      </c>
      <c r="P217" s="11">
        <v>0.24477411265935289</v>
      </c>
      <c r="Q217" s="11">
        <v>1.5384615384615391E-2</v>
      </c>
      <c r="R217">
        <v>0.24177014994141169</v>
      </c>
      <c r="S217">
        <v>1.323150924856805E-2</v>
      </c>
      <c r="T217" s="9" t="s">
        <v>40</v>
      </c>
      <c r="U217" s="9" t="s">
        <v>50</v>
      </c>
      <c r="V217" s="9" t="s">
        <v>276</v>
      </c>
      <c r="W217" s="9" t="s">
        <v>872</v>
      </c>
      <c r="X217" s="1" t="s">
        <v>31</v>
      </c>
      <c r="Y217" s="1" t="s">
        <v>31</v>
      </c>
      <c r="Z217" s="3" t="s">
        <v>31</v>
      </c>
      <c r="AA217" s="11" t="s">
        <v>31</v>
      </c>
      <c r="AB217" s="11" t="s">
        <v>31</v>
      </c>
      <c r="AC217" s="10">
        <v>0</v>
      </c>
      <c r="AD217" s="9" t="s">
        <v>41</v>
      </c>
      <c r="AE217" s="9" t="s">
        <v>35</v>
      </c>
    </row>
    <row r="218" spans="1:31" x14ac:dyDescent="0.25">
      <c r="A218" s="9" t="s">
        <v>856</v>
      </c>
      <c r="B218" s="10" t="s">
        <v>1039</v>
      </c>
      <c r="C218" s="1" t="s">
        <v>618</v>
      </c>
      <c r="D218" s="10">
        <v>2</v>
      </c>
      <c r="E218" s="10">
        <v>1997</v>
      </c>
      <c r="F218" s="9" t="s">
        <v>28</v>
      </c>
      <c r="G218" s="9" t="s">
        <v>29</v>
      </c>
      <c r="H218" s="1" t="s">
        <v>31</v>
      </c>
      <c r="I218" s="1" t="s">
        <v>31</v>
      </c>
      <c r="J218" s="9" t="s">
        <v>31</v>
      </c>
      <c r="K218" s="1" t="s">
        <v>31</v>
      </c>
      <c r="L218" s="10">
        <v>22</v>
      </c>
      <c r="M218" s="3">
        <v>0.56799999999999995</v>
      </c>
      <c r="N218" s="11">
        <v>2.1849440256E-2</v>
      </c>
      <c r="O218">
        <v>6</v>
      </c>
      <c r="P218" s="11">
        <v>0.64456530633312137</v>
      </c>
      <c r="Q218" s="11">
        <v>5.2631578947368418E-2</v>
      </c>
      <c r="R218">
        <v>0.57837917481682</v>
      </c>
      <c r="S218">
        <v>2.108858776756466E-2</v>
      </c>
      <c r="T218" s="9" t="s">
        <v>40</v>
      </c>
      <c r="U218" s="9" t="s">
        <v>50</v>
      </c>
      <c r="V218" s="9" t="s">
        <v>276</v>
      </c>
      <c r="W218" s="9" t="s">
        <v>278</v>
      </c>
      <c r="X218" s="1" t="s">
        <v>31</v>
      </c>
      <c r="Y218" s="1" t="s">
        <v>31</v>
      </c>
      <c r="Z218" s="3" t="s">
        <v>31</v>
      </c>
      <c r="AA218" s="11" t="s">
        <v>31</v>
      </c>
      <c r="AB218" s="11" t="s">
        <v>31</v>
      </c>
      <c r="AC218" s="10">
        <v>3</v>
      </c>
      <c r="AD218" s="9" t="s">
        <v>34</v>
      </c>
      <c r="AE218" s="9" t="s">
        <v>35</v>
      </c>
    </row>
    <row r="219" spans="1:31" x14ac:dyDescent="0.25">
      <c r="A219" s="9" t="s">
        <v>510</v>
      </c>
      <c r="B219" s="10" t="s">
        <v>88</v>
      </c>
      <c r="C219" s="1" t="s">
        <v>619</v>
      </c>
      <c r="D219" s="10">
        <v>2</v>
      </c>
      <c r="E219" s="10">
        <v>1997</v>
      </c>
      <c r="F219" s="9" t="s">
        <v>28</v>
      </c>
      <c r="G219" s="9" t="s">
        <v>29</v>
      </c>
      <c r="H219" s="1">
        <v>70.2</v>
      </c>
      <c r="I219" s="1">
        <v>7.1</v>
      </c>
      <c r="J219" s="9" t="s">
        <v>30</v>
      </c>
      <c r="K219" s="1">
        <v>0.38</v>
      </c>
      <c r="L219" s="10">
        <v>60</v>
      </c>
      <c r="M219" s="3">
        <v>0.36499999999999999</v>
      </c>
      <c r="N219" s="11">
        <v>1.273387967161017E-2</v>
      </c>
      <c r="O219">
        <v>21</v>
      </c>
      <c r="P219" s="11">
        <v>0.38264235436318422</v>
      </c>
      <c r="Q219" s="11">
        <v>1.754385964912281E-2</v>
      </c>
      <c r="R219">
        <v>0.36782164720622368</v>
      </c>
      <c r="S219">
        <v>1.2673196673310081E-2</v>
      </c>
      <c r="T219" s="9" t="s">
        <v>40</v>
      </c>
      <c r="U219" s="9" t="s">
        <v>50</v>
      </c>
      <c r="V219" s="9" t="s">
        <v>276</v>
      </c>
      <c r="W219" s="9" t="s">
        <v>278</v>
      </c>
      <c r="X219" s="1">
        <v>11.6</v>
      </c>
      <c r="Y219" s="1">
        <v>15</v>
      </c>
      <c r="Z219" s="3">
        <f t="shared" si="9"/>
        <v>0.77333333333333332</v>
      </c>
      <c r="AA219" s="11">
        <v>0.45217234974362341</v>
      </c>
      <c r="AB219" s="11">
        <v>0.1389972038783342</v>
      </c>
      <c r="AC219" s="10">
        <v>3</v>
      </c>
      <c r="AD219" s="9" t="s">
        <v>34</v>
      </c>
      <c r="AE219" s="9" t="s">
        <v>35</v>
      </c>
    </row>
    <row r="220" spans="1:31" x14ac:dyDescent="0.25">
      <c r="A220" s="9" t="s">
        <v>511</v>
      </c>
      <c r="B220" s="10" t="s">
        <v>91</v>
      </c>
      <c r="C220" s="1" t="s">
        <v>620</v>
      </c>
      <c r="D220" s="10">
        <v>2</v>
      </c>
      <c r="E220" s="10">
        <v>1997</v>
      </c>
      <c r="F220" s="9" t="s">
        <v>38</v>
      </c>
      <c r="G220" s="9" t="s">
        <v>29</v>
      </c>
      <c r="H220" s="1">
        <v>24.8</v>
      </c>
      <c r="I220" s="1">
        <v>4.5</v>
      </c>
      <c r="J220" s="9" t="s">
        <v>30</v>
      </c>
      <c r="K220" s="1">
        <v>0.53</v>
      </c>
      <c r="L220" s="10">
        <v>62</v>
      </c>
      <c r="M220" s="3">
        <v>0.27</v>
      </c>
      <c r="N220" s="11">
        <v>1.409040016393443E-2</v>
      </c>
      <c r="O220">
        <v>4</v>
      </c>
      <c r="P220" s="11">
        <v>0.27686382265510012</v>
      </c>
      <c r="Q220" s="11">
        <v>1.6949152542372881E-2</v>
      </c>
      <c r="R220">
        <v>0.27216080428614658</v>
      </c>
      <c r="S220">
        <v>1.405481280057448E-2</v>
      </c>
      <c r="T220" s="9" t="s">
        <v>40</v>
      </c>
      <c r="U220" s="9" t="s">
        <v>50</v>
      </c>
      <c r="V220" s="9" t="s">
        <v>276</v>
      </c>
      <c r="W220" s="9" t="s">
        <v>359</v>
      </c>
      <c r="X220" s="1" t="s">
        <v>31</v>
      </c>
      <c r="Y220" s="1" t="s">
        <v>31</v>
      </c>
      <c r="Z220" s="3" t="s">
        <v>31</v>
      </c>
      <c r="AA220" s="11" t="s">
        <v>31</v>
      </c>
      <c r="AB220" s="11" t="s">
        <v>31</v>
      </c>
      <c r="AC220" s="10">
        <v>0</v>
      </c>
      <c r="AD220" s="9" t="s">
        <v>41</v>
      </c>
      <c r="AE220" s="9" t="s">
        <v>35</v>
      </c>
    </row>
    <row r="221" spans="1:31" x14ac:dyDescent="0.25">
      <c r="A221" s="9" t="s">
        <v>511</v>
      </c>
      <c r="B221" s="10" t="s">
        <v>91</v>
      </c>
      <c r="C221" s="1" t="s">
        <v>621</v>
      </c>
      <c r="D221" s="10">
        <v>3</v>
      </c>
      <c r="E221" s="10">
        <v>1997</v>
      </c>
      <c r="F221" s="9" t="s">
        <v>38</v>
      </c>
      <c r="G221" s="9" t="s">
        <v>29</v>
      </c>
      <c r="H221" s="1">
        <v>24.8</v>
      </c>
      <c r="I221" s="1">
        <v>4.5</v>
      </c>
      <c r="J221" s="9" t="s">
        <v>30</v>
      </c>
      <c r="K221" s="1">
        <v>0.53</v>
      </c>
      <c r="L221" s="10">
        <v>62</v>
      </c>
      <c r="M221" s="3">
        <v>0.11</v>
      </c>
      <c r="N221" s="11">
        <v>1.5999121475409842E-2</v>
      </c>
      <c r="O221">
        <v>4</v>
      </c>
      <c r="P221" s="11">
        <v>0.1104469157900972</v>
      </c>
      <c r="Q221" s="11">
        <v>1.6949152542372881E-2</v>
      </c>
      <c r="R221">
        <v>0.11094034688087739</v>
      </c>
      <c r="S221">
        <v>1.5992392784230369E-2</v>
      </c>
      <c r="T221" s="9" t="s">
        <v>40</v>
      </c>
      <c r="U221" s="9" t="s">
        <v>50</v>
      </c>
      <c r="V221" s="9" t="s">
        <v>276</v>
      </c>
      <c r="W221" s="9" t="s">
        <v>873</v>
      </c>
      <c r="X221" s="1" t="s">
        <v>31</v>
      </c>
      <c r="Y221" s="1" t="s">
        <v>31</v>
      </c>
      <c r="Z221" s="3" t="s">
        <v>31</v>
      </c>
      <c r="AA221" s="11" t="s">
        <v>31</v>
      </c>
      <c r="AB221" s="11" t="s">
        <v>31</v>
      </c>
      <c r="AC221" s="10">
        <v>0</v>
      </c>
      <c r="AD221" s="9" t="s">
        <v>41</v>
      </c>
      <c r="AE221" s="9" t="s">
        <v>35</v>
      </c>
    </row>
    <row r="222" spans="1:31" x14ac:dyDescent="0.25">
      <c r="A222" s="9" t="s">
        <v>512</v>
      </c>
      <c r="B222" s="10" t="s">
        <v>95</v>
      </c>
      <c r="C222" s="1" t="s">
        <v>622</v>
      </c>
      <c r="D222" s="10">
        <v>2</v>
      </c>
      <c r="E222" s="10">
        <v>1998</v>
      </c>
      <c r="F222" s="9" t="s">
        <v>38</v>
      </c>
      <c r="G222" s="9" t="s">
        <v>29</v>
      </c>
      <c r="H222" s="1">
        <v>27</v>
      </c>
      <c r="I222" s="1">
        <v>10</v>
      </c>
      <c r="J222" s="9" t="s">
        <v>30</v>
      </c>
      <c r="K222" s="1">
        <v>0.53</v>
      </c>
      <c r="L222" s="10">
        <v>90</v>
      </c>
      <c r="M222" s="3">
        <v>0.16</v>
      </c>
      <c r="N222" s="11">
        <v>1.066803775280899E-2</v>
      </c>
      <c r="O222">
        <v>152</v>
      </c>
      <c r="P222" s="11">
        <v>0.16138669613152551</v>
      </c>
      <c r="Q222" s="11">
        <v>1.149425287356322E-2</v>
      </c>
      <c r="R222">
        <v>0.1609084149807978</v>
      </c>
      <c r="S222">
        <v>1.066165544586159E-2</v>
      </c>
      <c r="T222" s="9" t="s">
        <v>40</v>
      </c>
      <c r="U222" s="9" t="s">
        <v>50</v>
      </c>
      <c r="V222" s="9" t="s">
        <v>276</v>
      </c>
      <c r="W222" s="9" t="s">
        <v>278</v>
      </c>
      <c r="X222" s="1">
        <v>13</v>
      </c>
      <c r="Y222" s="1">
        <v>15</v>
      </c>
      <c r="Z222" s="3">
        <f t="shared" si="9"/>
        <v>0.8666666666666667</v>
      </c>
      <c r="AA222" s="11">
        <v>0.18383729999993151</v>
      </c>
      <c r="AB222" s="11">
        <v>0.1198870955742677</v>
      </c>
      <c r="AC222" s="10">
        <v>1</v>
      </c>
      <c r="AD222" s="9" t="s">
        <v>41</v>
      </c>
      <c r="AE222" s="9" t="s">
        <v>35</v>
      </c>
    </row>
    <row r="223" spans="1:31" x14ac:dyDescent="0.25">
      <c r="A223" s="9" t="s">
        <v>513</v>
      </c>
      <c r="B223" s="10" t="s">
        <v>97</v>
      </c>
      <c r="C223" s="1" t="s">
        <v>623</v>
      </c>
      <c r="D223" s="10">
        <v>2</v>
      </c>
      <c r="E223" s="10">
        <v>1999</v>
      </c>
      <c r="F223" s="9" t="s">
        <v>38</v>
      </c>
      <c r="G223" s="9" t="s">
        <v>29</v>
      </c>
      <c r="H223" s="1">
        <v>25</v>
      </c>
      <c r="I223" s="1">
        <v>5.3</v>
      </c>
      <c r="J223" s="9" t="s">
        <v>39</v>
      </c>
      <c r="K223" s="1">
        <v>0</v>
      </c>
      <c r="L223" s="10">
        <v>40</v>
      </c>
      <c r="M223" s="3">
        <v>0.4</v>
      </c>
      <c r="N223" s="11">
        <v>1.8092307692307689E-2</v>
      </c>
      <c r="O223">
        <v>4069</v>
      </c>
      <c r="P223" s="11">
        <v>0.42364893019360178</v>
      </c>
      <c r="Q223" s="11">
        <v>2.7027027027027029E-2</v>
      </c>
      <c r="R223">
        <v>0.40464975908000661</v>
      </c>
      <c r="S223">
        <v>1.7931497436933879E-2</v>
      </c>
      <c r="T223" s="9" t="s">
        <v>40</v>
      </c>
      <c r="U223" s="9" t="s">
        <v>46</v>
      </c>
      <c r="V223" s="9" t="s">
        <v>276</v>
      </c>
      <c r="W223" s="9" t="s">
        <v>874</v>
      </c>
      <c r="X223" s="1" t="s">
        <v>31</v>
      </c>
      <c r="Y223" s="1" t="s">
        <v>31</v>
      </c>
      <c r="Z223" s="3" t="s">
        <v>31</v>
      </c>
      <c r="AA223" s="11" t="s">
        <v>31</v>
      </c>
      <c r="AB223" s="11" t="s">
        <v>31</v>
      </c>
      <c r="AC223" s="10">
        <v>0</v>
      </c>
      <c r="AD223" s="9" t="s">
        <v>41</v>
      </c>
      <c r="AE223" s="9" t="s">
        <v>35</v>
      </c>
    </row>
    <row r="224" spans="1:31" x14ac:dyDescent="0.25">
      <c r="A224" s="9" t="s">
        <v>513</v>
      </c>
      <c r="B224" s="10" t="s">
        <v>100</v>
      </c>
      <c r="C224" s="1" t="s">
        <v>624</v>
      </c>
      <c r="D224" s="10">
        <v>2</v>
      </c>
      <c r="E224" s="10">
        <v>1999</v>
      </c>
      <c r="F224" s="9" t="s">
        <v>38</v>
      </c>
      <c r="G224" s="9" t="s">
        <v>29</v>
      </c>
      <c r="H224" s="1">
        <v>27</v>
      </c>
      <c r="I224" s="1">
        <v>5.7</v>
      </c>
      <c r="J224" s="9" t="s">
        <v>43</v>
      </c>
      <c r="K224" s="1">
        <v>1</v>
      </c>
      <c r="L224" s="10">
        <v>40</v>
      </c>
      <c r="M224" s="3">
        <v>0</v>
      </c>
      <c r="N224" s="11">
        <v>2.564102564102564E-2</v>
      </c>
      <c r="O224">
        <v>4069</v>
      </c>
      <c r="P224" s="11">
        <v>0</v>
      </c>
      <c r="Q224" s="11">
        <v>2.7027027027027029E-2</v>
      </c>
      <c r="R224">
        <v>0</v>
      </c>
      <c r="S224">
        <v>2.564102564102564E-2</v>
      </c>
      <c r="T224" s="9" t="s">
        <v>40</v>
      </c>
      <c r="U224" s="9" t="s">
        <v>46</v>
      </c>
      <c r="V224" s="9" t="s">
        <v>276</v>
      </c>
      <c r="W224" s="9" t="s">
        <v>874</v>
      </c>
      <c r="X224" s="1" t="s">
        <v>31</v>
      </c>
      <c r="Y224" s="1" t="s">
        <v>31</v>
      </c>
      <c r="Z224" s="3" t="s">
        <v>31</v>
      </c>
      <c r="AA224" s="11" t="s">
        <v>31</v>
      </c>
      <c r="AB224" s="11" t="s">
        <v>31</v>
      </c>
      <c r="AC224" s="10">
        <v>0</v>
      </c>
      <c r="AD224" s="9" t="s">
        <v>41</v>
      </c>
      <c r="AE224" s="9" t="s">
        <v>63</v>
      </c>
    </row>
    <row r="225" spans="1:31" x14ac:dyDescent="0.25">
      <c r="A225" s="9" t="s">
        <v>850</v>
      </c>
      <c r="B225" s="10" t="s">
        <v>1040</v>
      </c>
      <c r="C225" s="1" t="s">
        <v>625</v>
      </c>
      <c r="D225" s="10">
        <v>2</v>
      </c>
      <c r="E225" s="10">
        <v>1999</v>
      </c>
      <c r="F225" s="9" t="s">
        <v>28</v>
      </c>
      <c r="G225" s="9" t="s">
        <v>29</v>
      </c>
      <c r="H225" s="1">
        <v>43</v>
      </c>
      <c r="I225" s="1">
        <v>10</v>
      </c>
      <c r="J225" s="9" t="s">
        <v>43</v>
      </c>
      <c r="K225" s="1">
        <v>1</v>
      </c>
      <c r="L225" s="10">
        <v>37</v>
      </c>
      <c r="M225" s="3">
        <v>0</v>
      </c>
      <c r="N225" s="11">
        <v>2.777777777777778E-2</v>
      </c>
      <c r="O225" t="s">
        <v>63</v>
      </c>
      <c r="P225" s="11">
        <v>0</v>
      </c>
      <c r="Q225" s="11">
        <v>2.9411764705882349E-2</v>
      </c>
      <c r="R225">
        <v>0</v>
      </c>
      <c r="S225">
        <v>2.777777777777778E-2</v>
      </c>
      <c r="T225" s="9" t="s">
        <v>40</v>
      </c>
      <c r="U225" s="9" t="s">
        <v>50</v>
      </c>
      <c r="V225" s="9" t="s">
        <v>276</v>
      </c>
      <c r="W225" s="9" t="s">
        <v>278</v>
      </c>
      <c r="X225" s="1">
        <v>14</v>
      </c>
      <c r="Y225" s="1">
        <v>15</v>
      </c>
      <c r="Z225" s="3">
        <f t="shared" si="9"/>
        <v>0.93333333333333335</v>
      </c>
      <c r="AA225" s="11">
        <v>0</v>
      </c>
      <c r="AB225" s="11" t="s">
        <v>31</v>
      </c>
      <c r="AC225" s="10">
        <v>0</v>
      </c>
      <c r="AD225" s="9" t="s">
        <v>34</v>
      </c>
      <c r="AE225" s="9" t="s">
        <v>63</v>
      </c>
    </row>
    <row r="226" spans="1:31" x14ac:dyDescent="0.25">
      <c r="A226" s="9" t="s">
        <v>850</v>
      </c>
      <c r="B226" s="10" t="s">
        <v>1041</v>
      </c>
      <c r="C226" s="1" t="s">
        <v>626</v>
      </c>
      <c r="D226" s="10">
        <v>2</v>
      </c>
      <c r="E226" s="10">
        <v>1999</v>
      </c>
      <c r="F226" s="9" t="s">
        <v>38</v>
      </c>
      <c r="G226" s="9" t="s">
        <v>29</v>
      </c>
      <c r="H226" s="1">
        <v>42</v>
      </c>
      <c r="I226" s="1">
        <v>10</v>
      </c>
      <c r="J226" s="9" t="s">
        <v>43</v>
      </c>
      <c r="K226" s="1">
        <v>1</v>
      </c>
      <c r="L226" s="10">
        <v>33</v>
      </c>
      <c r="M226" s="3">
        <v>0</v>
      </c>
      <c r="N226" s="11">
        <v>3.125E-2</v>
      </c>
      <c r="O226" t="s">
        <v>63</v>
      </c>
      <c r="P226" s="11">
        <v>0</v>
      </c>
      <c r="Q226" s="11">
        <v>3.3333333333333333E-2</v>
      </c>
      <c r="R226">
        <v>0</v>
      </c>
      <c r="S226">
        <v>3.125E-2</v>
      </c>
      <c r="T226" s="9" t="s">
        <v>40</v>
      </c>
      <c r="U226" s="9" t="s">
        <v>50</v>
      </c>
      <c r="V226" s="9" t="s">
        <v>276</v>
      </c>
      <c r="W226" s="9" t="s">
        <v>278</v>
      </c>
      <c r="X226" s="1">
        <v>12</v>
      </c>
      <c r="Y226" s="1">
        <v>15</v>
      </c>
      <c r="Z226" s="3">
        <f t="shared" si="9"/>
        <v>0.8</v>
      </c>
      <c r="AA226" s="11">
        <v>0</v>
      </c>
      <c r="AB226" s="11" t="s">
        <v>31</v>
      </c>
      <c r="AC226" s="10">
        <v>0</v>
      </c>
      <c r="AD226" s="9" t="s">
        <v>34</v>
      </c>
      <c r="AE226" s="9" t="s">
        <v>63</v>
      </c>
    </row>
    <row r="227" spans="1:31" x14ac:dyDescent="0.25">
      <c r="A227" s="9" t="s">
        <v>862</v>
      </c>
      <c r="B227" s="10" t="s">
        <v>1042</v>
      </c>
      <c r="C227" s="1" t="s">
        <v>627</v>
      </c>
      <c r="D227" s="10">
        <v>2</v>
      </c>
      <c r="E227" s="10">
        <v>1999</v>
      </c>
      <c r="F227" s="9" t="s">
        <v>28</v>
      </c>
      <c r="G227" s="9" t="s">
        <v>29</v>
      </c>
      <c r="H227" s="1">
        <v>21.6</v>
      </c>
      <c r="I227" s="1">
        <v>3.1</v>
      </c>
      <c r="J227" s="9" t="s">
        <v>39</v>
      </c>
      <c r="K227" s="1">
        <v>0</v>
      </c>
      <c r="L227" s="10">
        <v>11</v>
      </c>
      <c r="M227" s="3">
        <v>0</v>
      </c>
      <c r="N227" s="11">
        <v>0.1</v>
      </c>
      <c r="O227" t="s">
        <v>63</v>
      </c>
      <c r="P227" s="11">
        <v>0</v>
      </c>
      <c r="Q227" s="11">
        <v>0.125</v>
      </c>
      <c r="R227">
        <v>0</v>
      </c>
      <c r="S227">
        <v>0.1</v>
      </c>
      <c r="T227" s="9" t="s">
        <v>40</v>
      </c>
      <c r="U227" s="9" t="s">
        <v>50</v>
      </c>
      <c r="V227" s="9" t="s">
        <v>276</v>
      </c>
      <c r="W227" s="9" t="s">
        <v>284</v>
      </c>
      <c r="X227" s="1">
        <v>9.4</v>
      </c>
      <c r="Y227" s="1">
        <v>15</v>
      </c>
      <c r="Z227" s="3">
        <f t="shared" si="9"/>
        <v>0.62666666666666671</v>
      </c>
      <c r="AA227" s="11">
        <v>0</v>
      </c>
      <c r="AB227" s="11" t="s">
        <v>31</v>
      </c>
      <c r="AC227" s="10">
        <v>0</v>
      </c>
      <c r="AD227" s="9" t="s">
        <v>34</v>
      </c>
      <c r="AE227" s="9" t="s">
        <v>63</v>
      </c>
    </row>
    <row r="228" spans="1:31" x14ac:dyDescent="0.25">
      <c r="A228" s="9" t="s">
        <v>862</v>
      </c>
      <c r="B228" s="10" t="s">
        <v>1043</v>
      </c>
      <c r="C228" s="1" t="s">
        <v>628</v>
      </c>
      <c r="D228" s="10">
        <v>2</v>
      </c>
      <c r="E228" s="10">
        <v>1999</v>
      </c>
      <c r="F228" s="9" t="s">
        <v>38</v>
      </c>
      <c r="G228" s="9" t="s">
        <v>29</v>
      </c>
      <c r="H228" s="1">
        <v>21.5</v>
      </c>
      <c r="I228" s="1">
        <v>1.4</v>
      </c>
      <c r="J228" s="9" t="s">
        <v>39</v>
      </c>
      <c r="K228" s="1">
        <v>0</v>
      </c>
      <c r="L228" s="10">
        <v>13</v>
      </c>
      <c r="M228" s="3">
        <v>0</v>
      </c>
      <c r="N228" s="11">
        <v>8.3333333333333329E-2</v>
      </c>
      <c r="O228" t="s">
        <v>63</v>
      </c>
      <c r="P228" s="11">
        <v>0</v>
      </c>
      <c r="Q228" s="11">
        <v>0.1</v>
      </c>
      <c r="R228">
        <v>0</v>
      </c>
      <c r="S228">
        <v>8.3333333333333329E-2</v>
      </c>
      <c r="T228" s="9" t="s">
        <v>40</v>
      </c>
      <c r="U228" s="9" t="s">
        <v>50</v>
      </c>
      <c r="V228" s="9" t="s">
        <v>276</v>
      </c>
      <c r="W228" s="9" t="s">
        <v>284</v>
      </c>
      <c r="X228" s="1">
        <v>9.4</v>
      </c>
      <c r="Y228" s="1">
        <v>15</v>
      </c>
      <c r="Z228" s="3">
        <f t="shared" si="9"/>
        <v>0.62666666666666671</v>
      </c>
      <c r="AA228" s="11">
        <v>0</v>
      </c>
      <c r="AB228" s="11" t="s">
        <v>31</v>
      </c>
      <c r="AC228" s="10">
        <v>0</v>
      </c>
      <c r="AD228" s="9" t="s">
        <v>34</v>
      </c>
      <c r="AE228" s="9" t="s">
        <v>63</v>
      </c>
    </row>
    <row r="229" spans="1:31" x14ac:dyDescent="0.25">
      <c r="A229" s="9" t="s">
        <v>862</v>
      </c>
      <c r="B229" s="10" t="s">
        <v>1044</v>
      </c>
      <c r="C229" s="1" t="s">
        <v>629</v>
      </c>
      <c r="D229" s="10">
        <v>2</v>
      </c>
      <c r="E229" s="10">
        <v>1999</v>
      </c>
      <c r="F229" s="9" t="s">
        <v>28</v>
      </c>
      <c r="G229" s="9" t="s">
        <v>29</v>
      </c>
      <c r="H229" s="1">
        <v>21.8</v>
      </c>
      <c r="I229" s="1">
        <v>3.2</v>
      </c>
      <c r="J229" s="9" t="s">
        <v>43</v>
      </c>
      <c r="K229" s="1">
        <v>1</v>
      </c>
      <c r="L229" s="10">
        <v>10</v>
      </c>
      <c r="M229" s="3">
        <v>0</v>
      </c>
      <c r="N229" s="11">
        <v>0.1111111111111111</v>
      </c>
      <c r="O229" t="s">
        <v>63</v>
      </c>
      <c r="P229" s="11">
        <v>0</v>
      </c>
      <c r="Q229" s="11">
        <v>0.1428571428571429</v>
      </c>
      <c r="R229">
        <v>0</v>
      </c>
      <c r="S229">
        <v>0.1111111111111111</v>
      </c>
      <c r="T229" s="9" t="s">
        <v>40</v>
      </c>
      <c r="U229" s="9" t="s">
        <v>50</v>
      </c>
      <c r="V229" s="9" t="s">
        <v>276</v>
      </c>
      <c r="W229" s="9" t="s">
        <v>284</v>
      </c>
      <c r="X229" s="1">
        <v>11.4</v>
      </c>
      <c r="Y229" s="1">
        <v>15</v>
      </c>
      <c r="Z229" s="3">
        <f t="shared" si="9"/>
        <v>0.76</v>
      </c>
      <c r="AA229" s="11">
        <v>0</v>
      </c>
      <c r="AB229" s="11" t="s">
        <v>31</v>
      </c>
      <c r="AC229" s="10">
        <v>0</v>
      </c>
      <c r="AD229" s="9" t="s">
        <v>34</v>
      </c>
      <c r="AE229" s="9" t="s">
        <v>63</v>
      </c>
    </row>
    <row r="230" spans="1:31" x14ac:dyDescent="0.25">
      <c r="A230" s="9" t="s">
        <v>862</v>
      </c>
      <c r="B230" s="10" t="s">
        <v>1045</v>
      </c>
      <c r="C230" s="1" t="s">
        <v>630</v>
      </c>
      <c r="D230" s="10">
        <v>2</v>
      </c>
      <c r="E230" s="10">
        <v>1999</v>
      </c>
      <c r="F230" s="9" t="s">
        <v>28</v>
      </c>
      <c r="G230" s="9" t="s">
        <v>29</v>
      </c>
      <c r="H230" s="1">
        <v>21.8</v>
      </c>
      <c r="I230" s="1">
        <v>4.2</v>
      </c>
      <c r="J230" s="9" t="s">
        <v>43</v>
      </c>
      <c r="K230" s="1">
        <v>1</v>
      </c>
      <c r="L230" s="10">
        <v>10</v>
      </c>
      <c r="M230" s="3">
        <v>0</v>
      </c>
      <c r="N230" s="11">
        <v>0.1111111111111111</v>
      </c>
      <c r="O230" t="s">
        <v>63</v>
      </c>
      <c r="P230" s="11">
        <v>0</v>
      </c>
      <c r="Q230" s="11">
        <v>0.1428571428571429</v>
      </c>
      <c r="R230">
        <v>0</v>
      </c>
      <c r="S230">
        <v>0.1111111111111111</v>
      </c>
      <c r="T230" s="9" t="s">
        <v>40</v>
      </c>
      <c r="U230" s="9" t="s">
        <v>50</v>
      </c>
      <c r="V230" s="9" t="s">
        <v>276</v>
      </c>
      <c r="W230" s="9" t="s">
        <v>284</v>
      </c>
      <c r="X230" s="1">
        <v>18.600000000000001</v>
      </c>
      <c r="Y230" s="1">
        <v>15</v>
      </c>
      <c r="Z230" s="3">
        <f t="shared" si="9"/>
        <v>1.24</v>
      </c>
      <c r="AA230" s="11">
        <v>0</v>
      </c>
      <c r="AB230" s="11" t="s">
        <v>31</v>
      </c>
      <c r="AC230" s="10">
        <v>0</v>
      </c>
      <c r="AD230" s="9" t="s">
        <v>34</v>
      </c>
      <c r="AE230" s="9" t="s">
        <v>63</v>
      </c>
    </row>
    <row r="231" spans="1:31" x14ac:dyDescent="0.25">
      <c r="A231" s="9" t="s">
        <v>862</v>
      </c>
      <c r="B231" s="10" t="s">
        <v>1052</v>
      </c>
      <c r="C231" s="1" t="s">
        <v>631</v>
      </c>
      <c r="D231" s="10">
        <v>2</v>
      </c>
      <c r="E231" s="10">
        <v>1999</v>
      </c>
      <c r="F231" s="9" t="s">
        <v>38</v>
      </c>
      <c r="G231" s="9" t="s">
        <v>29</v>
      </c>
      <c r="H231" s="1">
        <v>21.5</v>
      </c>
      <c r="I231" s="1">
        <v>1.3</v>
      </c>
      <c r="J231" s="9" t="s">
        <v>43</v>
      </c>
      <c r="K231" s="1">
        <v>1</v>
      </c>
      <c r="L231" s="10">
        <v>25</v>
      </c>
      <c r="M231" s="3">
        <v>0</v>
      </c>
      <c r="N231" s="11">
        <v>4.1666666666666657E-2</v>
      </c>
      <c r="O231" t="s">
        <v>63</v>
      </c>
      <c r="P231" s="11">
        <v>0</v>
      </c>
      <c r="Q231" s="11">
        <v>4.5454545454545463E-2</v>
      </c>
      <c r="R231">
        <v>0</v>
      </c>
      <c r="S231">
        <v>4.1666666666666657E-2</v>
      </c>
      <c r="T231" s="9" t="s">
        <v>40</v>
      </c>
      <c r="U231" s="9" t="s">
        <v>50</v>
      </c>
      <c r="V231" s="9" t="s">
        <v>276</v>
      </c>
      <c r="W231" s="9" t="s">
        <v>284</v>
      </c>
      <c r="X231" s="1">
        <v>8.9</v>
      </c>
      <c r="Y231" s="1">
        <v>15</v>
      </c>
      <c r="Z231" s="3">
        <f t="shared" si="9"/>
        <v>0.59333333333333338</v>
      </c>
      <c r="AA231" s="11">
        <v>0</v>
      </c>
      <c r="AB231" s="11" t="s">
        <v>31</v>
      </c>
      <c r="AC231" s="10">
        <v>0</v>
      </c>
      <c r="AD231" s="9" t="s">
        <v>34</v>
      </c>
      <c r="AE231" s="9" t="s">
        <v>63</v>
      </c>
    </row>
    <row r="232" spans="1:31" x14ac:dyDescent="0.25">
      <c r="A232" s="9" t="s">
        <v>862</v>
      </c>
      <c r="B232" s="10" t="s">
        <v>1053</v>
      </c>
      <c r="C232" s="1" t="s">
        <v>632</v>
      </c>
      <c r="D232" s="10">
        <v>2</v>
      </c>
      <c r="E232" s="10">
        <v>1999</v>
      </c>
      <c r="F232" s="9" t="s">
        <v>28</v>
      </c>
      <c r="G232" s="9" t="s">
        <v>29</v>
      </c>
      <c r="H232" s="1">
        <v>21.63</v>
      </c>
      <c r="I232" s="1">
        <v>2.34</v>
      </c>
      <c r="J232" s="9" t="s">
        <v>43</v>
      </c>
      <c r="K232" s="1">
        <v>1</v>
      </c>
      <c r="L232" s="10">
        <v>45</v>
      </c>
      <c r="M232" s="3">
        <v>0.31</v>
      </c>
      <c r="N232" s="11">
        <v>1.8568982045454541E-2</v>
      </c>
      <c r="O232">
        <v>630</v>
      </c>
      <c r="P232" s="11">
        <v>0.32054540930194608</v>
      </c>
      <c r="Q232" s="11">
        <v>2.3809523809523812E-2</v>
      </c>
      <c r="R232">
        <v>0.31341886668416358</v>
      </c>
      <c r="S232">
        <v>1.848151439106931E-2</v>
      </c>
      <c r="T232" s="9" t="s">
        <v>40</v>
      </c>
      <c r="U232" s="9" t="s">
        <v>50</v>
      </c>
      <c r="V232" s="9" t="s">
        <v>276</v>
      </c>
      <c r="W232" s="9" t="s">
        <v>284</v>
      </c>
      <c r="X232" s="1" t="s">
        <v>31</v>
      </c>
      <c r="Y232" s="1" t="s">
        <v>31</v>
      </c>
      <c r="Z232" s="3" t="s">
        <v>31</v>
      </c>
      <c r="AA232" s="11" t="s">
        <v>31</v>
      </c>
      <c r="AB232" s="11" t="s">
        <v>31</v>
      </c>
      <c r="AC232" s="10">
        <v>0</v>
      </c>
      <c r="AD232" s="9" t="s">
        <v>34</v>
      </c>
      <c r="AE232" s="9" t="s">
        <v>35</v>
      </c>
    </row>
    <row r="233" spans="1:31" x14ac:dyDescent="0.25">
      <c r="A233" s="9" t="s">
        <v>862</v>
      </c>
      <c r="B233" s="10" t="s">
        <v>1054</v>
      </c>
      <c r="C233" s="1" t="s">
        <v>633</v>
      </c>
      <c r="D233" s="10">
        <v>2</v>
      </c>
      <c r="E233" s="10">
        <v>1999</v>
      </c>
      <c r="F233" s="9" t="s">
        <v>28</v>
      </c>
      <c r="G233" s="9" t="s">
        <v>29</v>
      </c>
      <c r="H233" s="1">
        <v>21.55</v>
      </c>
      <c r="I233" s="1">
        <v>2.2200000000000002</v>
      </c>
      <c r="J233" s="9" t="s">
        <v>39</v>
      </c>
      <c r="K233" s="1">
        <v>0</v>
      </c>
      <c r="L233" s="10">
        <v>24</v>
      </c>
      <c r="M233" s="3">
        <v>0.53</v>
      </c>
      <c r="N233" s="11">
        <v>2.2482817826086951E-2</v>
      </c>
      <c r="O233">
        <v>630</v>
      </c>
      <c r="P233" s="11">
        <v>0.59014515984118854</v>
      </c>
      <c r="Q233" s="11">
        <v>4.7619047619047623E-2</v>
      </c>
      <c r="R233">
        <v>0.53932640115708419</v>
      </c>
      <c r="S233">
        <v>2.1863528215329699E-2</v>
      </c>
      <c r="T233" s="9" t="s">
        <v>40</v>
      </c>
      <c r="U233" s="9" t="s">
        <v>50</v>
      </c>
      <c r="V233" s="9" t="s">
        <v>276</v>
      </c>
      <c r="W233" s="9" t="s">
        <v>284</v>
      </c>
      <c r="X233" s="1" t="s">
        <v>31</v>
      </c>
      <c r="Y233" s="1" t="s">
        <v>31</v>
      </c>
      <c r="Z233" s="3" t="s">
        <v>31</v>
      </c>
      <c r="AA233" s="11" t="s">
        <v>31</v>
      </c>
      <c r="AB233" s="11" t="s">
        <v>31</v>
      </c>
      <c r="AC233" s="10">
        <v>0</v>
      </c>
      <c r="AD233" s="9" t="s">
        <v>34</v>
      </c>
      <c r="AE233" s="9" t="s">
        <v>35</v>
      </c>
    </row>
    <row r="234" spans="1:31" x14ac:dyDescent="0.25">
      <c r="A234" s="9" t="s">
        <v>943</v>
      </c>
      <c r="B234" s="10" t="s">
        <v>113</v>
      </c>
      <c r="C234" s="1" t="s">
        <v>634</v>
      </c>
      <c r="D234" s="10">
        <v>2</v>
      </c>
      <c r="E234" s="10">
        <v>2000</v>
      </c>
      <c r="F234" s="9" t="s">
        <v>38</v>
      </c>
      <c r="G234" s="9" t="s">
        <v>54</v>
      </c>
      <c r="H234" s="1">
        <v>7.75</v>
      </c>
      <c r="I234" s="1" t="s">
        <v>31</v>
      </c>
      <c r="J234" s="9" t="s">
        <v>30</v>
      </c>
      <c r="K234" s="1">
        <v>0.73</v>
      </c>
      <c r="L234" s="10">
        <v>11</v>
      </c>
      <c r="M234" s="3">
        <v>-3.6999999999999998E-2</v>
      </c>
      <c r="N234" s="11">
        <v>9.9726387416100001E-2</v>
      </c>
      <c r="O234" t="s">
        <v>63</v>
      </c>
      <c r="P234" s="11">
        <v>-3.7016898215700873E-2</v>
      </c>
      <c r="Q234" s="11">
        <v>0.125</v>
      </c>
      <c r="R234">
        <v>-3.9724668911170553E-2</v>
      </c>
      <c r="S234">
        <v>9.9684639159945257E-2</v>
      </c>
      <c r="T234" s="9" t="s">
        <v>40</v>
      </c>
      <c r="U234" s="9" t="s">
        <v>31</v>
      </c>
      <c r="V234" s="9" t="s">
        <v>276</v>
      </c>
      <c r="W234" s="9" t="s">
        <v>286</v>
      </c>
      <c r="X234" s="1" t="s">
        <v>31</v>
      </c>
      <c r="Y234" s="1" t="s">
        <v>31</v>
      </c>
      <c r="Z234" s="3" t="s">
        <v>31</v>
      </c>
      <c r="AA234" s="11" t="s">
        <v>31</v>
      </c>
      <c r="AB234" s="11" t="s">
        <v>31</v>
      </c>
      <c r="AC234" s="10">
        <v>0</v>
      </c>
      <c r="AD234" s="9" t="s">
        <v>34</v>
      </c>
      <c r="AE234" s="9" t="s">
        <v>63</v>
      </c>
    </row>
    <row r="235" spans="1:31" x14ac:dyDescent="0.25">
      <c r="A235" s="9" t="s">
        <v>943</v>
      </c>
      <c r="B235" s="10" t="s">
        <v>116</v>
      </c>
      <c r="C235" s="1" t="s">
        <v>635</v>
      </c>
      <c r="D235" s="10">
        <v>2</v>
      </c>
      <c r="E235" s="10">
        <v>2000</v>
      </c>
      <c r="F235" s="9" t="s">
        <v>38</v>
      </c>
      <c r="G235" s="9" t="s">
        <v>54</v>
      </c>
      <c r="H235" s="1">
        <v>7.75</v>
      </c>
      <c r="I235" s="1" t="s">
        <v>31</v>
      </c>
      <c r="J235" s="9" t="s">
        <v>30</v>
      </c>
      <c r="K235" s="1">
        <v>0.38</v>
      </c>
      <c r="L235" s="10">
        <v>8</v>
      </c>
      <c r="M235" s="3">
        <v>0.57099999999999995</v>
      </c>
      <c r="N235" s="11">
        <v>6.4888676240142856E-2</v>
      </c>
      <c r="O235" t="s">
        <v>63</v>
      </c>
      <c r="P235" s="11">
        <v>0.64900535966380202</v>
      </c>
      <c r="Q235" s="11">
        <v>0.2</v>
      </c>
      <c r="R235">
        <v>0.61185451588498296</v>
      </c>
      <c r="S235">
        <v>5.5916852322872579E-2</v>
      </c>
      <c r="T235" s="9" t="s">
        <v>40</v>
      </c>
      <c r="U235" s="9" t="s">
        <v>31</v>
      </c>
      <c r="V235" s="9" t="s">
        <v>276</v>
      </c>
      <c r="W235" s="9" t="s">
        <v>286</v>
      </c>
      <c r="X235" s="1" t="s">
        <v>31</v>
      </c>
      <c r="Y235" s="1" t="s">
        <v>31</v>
      </c>
      <c r="Z235" s="3" t="s">
        <v>31</v>
      </c>
      <c r="AA235" s="11" t="s">
        <v>31</v>
      </c>
      <c r="AB235" s="11" t="s">
        <v>31</v>
      </c>
      <c r="AC235" s="10">
        <v>0</v>
      </c>
      <c r="AD235" s="9" t="s">
        <v>34</v>
      </c>
      <c r="AE235" s="9" t="s">
        <v>63</v>
      </c>
    </row>
    <row r="236" spans="1:31" x14ac:dyDescent="0.25">
      <c r="A236" s="9" t="s">
        <v>517</v>
      </c>
      <c r="B236" s="10" t="s">
        <v>137</v>
      </c>
      <c r="C236" s="1" t="s">
        <v>636</v>
      </c>
      <c r="D236" s="10">
        <v>2</v>
      </c>
      <c r="E236" s="10">
        <v>2000</v>
      </c>
      <c r="F236" s="9" t="s">
        <v>38</v>
      </c>
      <c r="G236" s="9" t="s">
        <v>29</v>
      </c>
      <c r="H236" s="1">
        <v>23.2</v>
      </c>
      <c r="I236" s="1">
        <v>5.0999999999999996</v>
      </c>
      <c r="J236" s="9" t="s">
        <v>39</v>
      </c>
      <c r="K236" s="1">
        <v>0</v>
      </c>
      <c r="L236" s="10">
        <v>36</v>
      </c>
      <c r="M236" s="3">
        <v>0.12</v>
      </c>
      <c r="N236" s="11">
        <v>2.7754496E-2</v>
      </c>
      <c r="O236">
        <v>4934</v>
      </c>
      <c r="P236" s="11">
        <v>0.1205810284084441</v>
      </c>
      <c r="Q236" s="11">
        <v>3.03030303030303E-2</v>
      </c>
      <c r="R236">
        <v>0.1218601957242859</v>
      </c>
      <c r="S236">
        <v>2.7729163004084411E-2</v>
      </c>
      <c r="T236" s="9" t="s">
        <v>40</v>
      </c>
      <c r="U236" s="9" t="s">
        <v>50</v>
      </c>
      <c r="V236" s="9" t="s">
        <v>276</v>
      </c>
      <c r="W236" s="9" t="s">
        <v>875</v>
      </c>
      <c r="X236" s="1" t="s">
        <v>31</v>
      </c>
      <c r="Y236" s="1" t="s">
        <v>31</v>
      </c>
      <c r="Z236" s="3" t="s">
        <v>31</v>
      </c>
      <c r="AA236" s="11" t="s">
        <v>31</v>
      </c>
      <c r="AB236" s="11" t="s">
        <v>31</v>
      </c>
      <c r="AC236" s="10">
        <v>2</v>
      </c>
      <c r="AD236" s="9" t="s">
        <v>41</v>
      </c>
      <c r="AE236" s="9" t="s">
        <v>35</v>
      </c>
    </row>
    <row r="237" spans="1:31" x14ac:dyDescent="0.25">
      <c r="A237" s="9" t="s">
        <v>94</v>
      </c>
      <c r="B237" s="10" t="s">
        <v>140</v>
      </c>
      <c r="C237" s="1" t="s">
        <v>637</v>
      </c>
      <c r="D237" s="10">
        <v>2</v>
      </c>
      <c r="E237" s="10">
        <v>2000</v>
      </c>
      <c r="F237" s="9" t="s">
        <v>38</v>
      </c>
      <c r="G237" s="9" t="s">
        <v>29</v>
      </c>
      <c r="H237" s="1">
        <v>24.97</v>
      </c>
      <c r="I237" s="1">
        <v>4.47</v>
      </c>
      <c r="J237" s="9" t="s">
        <v>43</v>
      </c>
      <c r="K237" s="1">
        <v>1</v>
      </c>
      <c r="L237" s="10">
        <v>68</v>
      </c>
      <c r="M237" s="3">
        <v>0.32900000000000001</v>
      </c>
      <c r="N237" s="11">
        <v>1.1869165881805969E-2</v>
      </c>
      <c r="O237">
        <v>1106</v>
      </c>
      <c r="P237" s="11">
        <v>0.34170646087078171</v>
      </c>
      <c r="Q237" s="11">
        <v>1.5384615384615391E-2</v>
      </c>
      <c r="R237">
        <v>0.33129199926012581</v>
      </c>
      <c r="S237">
        <v>1.1828914153844201E-2</v>
      </c>
      <c r="T237" s="9" t="s">
        <v>40</v>
      </c>
      <c r="U237" s="9" t="s">
        <v>50</v>
      </c>
      <c r="V237" s="9" t="s">
        <v>276</v>
      </c>
      <c r="W237" s="9" t="s">
        <v>357</v>
      </c>
      <c r="X237" s="1">
        <v>11.25</v>
      </c>
      <c r="Y237" s="1">
        <v>15</v>
      </c>
      <c r="Z237" s="3">
        <f t="shared" si="9"/>
        <v>0.75</v>
      </c>
      <c r="AA237" s="11">
        <v>0.42129125836142062</v>
      </c>
      <c r="AB237" s="11">
        <v>0.13728843647140829</v>
      </c>
      <c r="AC237" s="10">
        <v>0</v>
      </c>
      <c r="AD237" s="9" t="s">
        <v>41</v>
      </c>
      <c r="AE237" s="9" t="s">
        <v>35</v>
      </c>
    </row>
    <row r="238" spans="1:31" x14ac:dyDescent="0.25">
      <c r="A238" s="9" t="s">
        <v>851</v>
      </c>
      <c r="B238" s="10" t="s">
        <v>1055</v>
      </c>
      <c r="C238" s="1" t="s">
        <v>638</v>
      </c>
      <c r="D238" s="10">
        <v>2</v>
      </c>
      <c r="E238" s="10">
        <v>2001</v>
      </c>
      <c r="F238" s="9" t="s">
        <v>38</v>
      </c>
      <c r="G238" s="9" t="s">
        <v>29</v>
      </c>
      <c r="H238" s="1">
        <v>74.849999999999994</v>
      </c>
      <c r="I238" s="1">
        <v>4.95</v>
      </c>
      <c r="J238" s="9" t="s">
        <v>30</v>
      </c>
      <c r="K238" s="1">
        <v>0.38</v>
      </c>
      <c r="L238" s="10">
        <v>319</v>
      </c>
      <c r="M238" s="3">
        <v>-6.0999999999999999E-2</v>
      </c>
      <c r="N238" s="11">
        <v>3.1212951127075469E-3</v>
      </c>
      <c r="O238">
        <v>482</v>
      </c>
      <c r="P238" s="11">
        <v>-6.1075829702860088E-2</v>
      </c>
      <c r="Q238" s="11">
        <v>3.164556962025316E-3</v>
      </c>
      <c r="R238">
        <v>-6.1096538964485463E-2</v>
      </c>
      <c r="S238">
        <v>3.1212212564542701E-3</v>
      </c>
      <c r="T238" s="9" t="s">
        <v>40</v>
      </c>
      <c r="U238" s="9" t="s">
        <v>50</v>
      </c>
      <c r="V238" s="9" t="s">
        <v>276</v>
      </c>
      <c r="W238" s="9" t="s">
        <v>362</v>
      </c>
      <c r="X238" s="1">
        <v>9.4</v>
      </c>
      <c r="Y238" s="1" t="s">
        <v>31</v>
      </c>
      <c r="Z238" s="3" t="s">
        <v>31</v>
      </c>
      <c r="AA238" s="11" t="s">
        <v>31</v>
      </c>
      <c r="AB238" s="11" t="s">
        <v>31</v>
      </c>
      <c r="AC238" s="10">
        <v>5</v>
      </c>
      <c r="AD238" s="9" t="s">
        <v>34</v>
      </c>
      <c r="AE238" s="9" t="s">
        <v>35</v>
      </c>
    </row>
    <row r="239" spans="1:31" x14ac:dyDescent="0.25">
      <c r="A239" s="9" t="s">
        <v>518</v>
      </c>
      <c r="B239" s="10" t="s">
        <v>154</v>
      </c>
      <c r="C239" s="1" t="s">
        <v>639</v>
      </c>
      <c r="D239" s="10">
        <v>2</v>
      </c>
      <c r="E239" s="10">
        <v>2002</v>
      </c>
      <c r="F239" s="9" t="s">
        <v>28</v>
      </c>
      <c r="G239" s="9" t="s">
        <v>29</v>
      </c>
      <c r="H239" s="1">
        <v>18.8</v>
      </c>
      <c r="I239" s="1">
        <v>10</v>
      </c>
      <c r="J239" s="9" t="s">
        <v>30</v>
      </c>
      <c r="K239" s="1">
        <v>0.87</v>
      </c>
      <c r="L239" s="10">
        <v>67</v>
      </c>
      <c r="M239" s="3">
        <v>0.08</v>
      </c>
      <c r="N239" s="11">
        <v>1.4958196363636361E-2</v>
      </c>
      <c r="O239">
        <v>179</v>
      </c>
      <c r="P239" s="11">
        <v>8.0171325037589738E-2</v>
      </c>
      <c r="Q239" s="11">
        <v>1.5625E-2</v>
      </c>
      <c r="R239">
        <v>8.0633190846162869E-2</v>
      </c>
      <c r="S239">
        <v>1.4955134080604849E-2</v>
      </c>
      <c r="T239" s="9" t="s">
        <v>40</v>
      </c>
      <c r="U239" s="9" t="s">
        <v>50</v>
      </c>
      <c r="V239" s="9" t="s">
        <v>276</v>
      </c>
      <c r="W239" s="9" t="s">
        <v>289</v>
      </c>
      <c r="X239" s="1">
        <v>15.8</v>
      </c>
      <c r="Y239" s="1" t="s">
        <v>31</v>
      </c>
      <c r="Z239" s="3" t="s">
        <v>31</v>
      </c>
      <c r="AA239" s="11" t="s">
        <v>31</v>
      </c>
      <c r="AB239" s="11" t="s">
        <v>31</v>
      </c>
      <c r="AC239" s="10">
        <v>0</v>
      </c>
      <c r="AD239" s="9" t="s">
        <v>34</v>
      </c>
      <c r="AE239" s="9" t="s">
        <v>35</v>
      </c>
    </row>
    <row r="240" spans="1:31" x14ac:dyDescent="0.25">
      <c r="A240" s="9" t="s">
        <v>518</v>
      </c>
      <c r="B240" s="10" t="s">
        <v>146</v>
      </c>
      <c r="C240" s="1" t="s">
        <v>640</v>
      </c>
      <c r="D240" s="10">
        <v>2</v>
      </c>
      <c r="E240" s="10">
        <v>2002</v>
      </c>
      <c r="F240" s="9" t="s">
        <v>38</v>
      </c>
      <c r="G240" s="9" t="s">
        <v>29</v>
      </c>
      <c r="H240" s="1">
        <v>18.899999999999999</v>
      </c>
      <c r="I240" s="1">
        <v>10</v>
      </c>
      <c r="J240" s="9" t="s">
        <v>30</v>
      </c>
      <c r="K240" s="1">
        <v>0.92</v>
      </c>
      <c r="L240" s="10">
        <v>83</v>
      </c>
      <c r="M240" s="3">
        <v>-0.01</v>
      </c>
      <c r="N240" s="11">
        <v>1.2192683048780489E-2</v>
      </c>
      <c r="O240" s="4">
        <v>179</v>
      </c>
      <c r="P240" s="11">
        <v>-1.000033335333477E-2</v>
      </c>
      <c r="Q240" s="11">
        <v>1.2500000000000001E-2</v>
      </c>
      <c r="R240">
        <v>-1.006348361555846E-2</v>
      </c>
      <c r="S240">
        <v>1.2192651985992699E-2</v>
      </c>
      <c r="T240" s="9" t="s">
        <v>40</v>
      </c>
      <c r="U240" s="9" t="s">
        <v>50</v>
      </c>
      <c r="V240" s="9" t="s">
        <v>276</v>
      </c>
      <c r="W240" s="9" t="s">
        <v>289</v>
      </c>
      <c r="X240" s="1">
        <v>11.8</v>
      </c>
      <c r="Y240" s="1" t="s">
        <v>31</v>
      </c>
      <c r="Z240" s="3" t="s">
        <v>31</v>
      </c>
      <c r="AA240" s="11" t="s">
        <v>31</v>
      </c>
      <c r="AB240" s="11" t="s">
        <v>31</v>
      </c>
      <c r="AC240" s="10">
        <v>0</v>
      </c>
      <c r="AD240" s="9" t="s">
        <v>34</v>
      </c>
      <c r="AE240" s="9" t="s">
        <v>35</v>
      </c>
    </row>
    <row r="241" spans="1:31" x14ac:dyDescent="0.25">
      <c r="A241" s="9" t="s">
        <v>863</v>
      </c>
      <c r="B241" s="10" t="s">
        <v>158</v>
      </c>
      <c r="C241" s="1" t="s">
        <v>641</v>
      </c>
      <c r="D241" s="10">
        <v>2</v>
      </c>
      <c r="E241" s="10">
        <v>2002</v>
      </c>
      <c r="F241" s="9" t="s">
        <v>38</v>
      </c>
      <c r="G241" s="9" t="s">
        <v>29</v>
      </c>
      <c r="H241" s="1">
        <v>67.8</v>
      </c>
      <c r="I241" s="1" t="s">
        <v>31</v>
      </c>
      <c r="J241" s="9" t="s">
        <v>43</v>
      </c>
      <c r="K241" s="1">
        <v>1</v>
      </c>
      <c r="L241" s="10">
        <v>97</v>
      </c>
      <c r="M241" s="3">
        <v>0.30399999999999999</v>
      </c>
      <c r="N241" s="11">
        <v>8.580299135999999E-3</v>
      </c>
      <c r="O241">
        <v>172</v>
      </c>
      <c r="P241" s="11">
        <v>0.31392104107608942</v>
      </c>
      <c r="Q241" s="11">
        <v>1.063829787234043E-2</v>
      </c>
      <c r="R241">
        <v>0.3054839420739191</v>
      </c>
      <c r="S241">
        <v>8.5632065268741366E-3</v>
      </c>
      <c r="T241" s="9" t="s">
        <v>40</v>
      </c>
      <c r="U241" s="9" t="s">
        <v>46</v>
      </c>
      <c r="V241" s="9" t="s">
        <v>276</v>
      </c>
      <c r="W241" s="9" t="s">
        <v>288</v>
      </c>
      <c r="X241" s="1" t="s">
        <v>31</v>
      </c>
      <c r="Y241" s="1" t="s">
        <v>31</v>
      </c>
      <c r="Z241" s="3" t="s">
        <v>31</v>
      </c>
      <c r="AA241" s="11" t="s">
        <v>31</v>
      </c>
      <c r="AB241" s="11" t="s">
        <v>31</v>
      </c>
      <c r="AC241" s="10">
        <v>0</v>
      </c>
      <c r="AD241" s="9" t="s">
        <v>41</v>
      </c>
      <c r="AE241" s="9" t="s">
        <v>35</v>
      </c>
    </row>
    <row r="242" spans="1:31" x14ac:dyDescent="0.25">
      <c r="A242" s="9" t="s">
        <v>136</v>
      </c>
      <c r="B242" s="10" t="s">
        <v>170</v>
      </c>
      <c r="C242" s="1" t="s">
        <v>642</v>
      </c>
      <c r="D242" s="10">
        <v>2</v>
      </c>
      <c r="E242" s="10">
        <v>2003</v>
      </c>
      <c r="F242" s="9" t="s">
        <v>28</v>
      </c>
      <c r="G242" s="9" t="s">
        <v>54</v>
      </c>
      <c r="H242" s="1">
        <v>16.8</v>
      </c>
      <c r="I242" s="1">
        <v>1.4</v>
      </c>
      <c r="J242" s="9" t="s">
        <v>30</v>
      </c>
      <c r="K242" s="1">
        <v>0.67</v>
      </c>
      <c r="L242" s="10">
        <v>32</v>
      </c>
      <c r="M242" s="3">
        <v>-0.27900000000000003</v>
      </c>
      <c r="N242" s="11">
        <v>2.743152326712903E-2</v>
      </c>
      <c r="O242" t="s">
        <v>63</v>
      </c>
      <c r="P242" s="11">
        <v>-0.28659733214694683</v>
      </c>
      <c r="Q242" s="11">
        <v>3.4482758620689662E-2</v>
      </c>
      <c r="R242">
        <v>-0.28360370344984559</v>
      </c>
      <c r="S242">
        <v>2.7277646267418999E-2</v>
      </c>
      <c r="T242" s="9" t="s">
        <v>40</v>
      </c>
      <c r="U242" s="9" t="s">
        <v>50</v>
      </c>
      <c r="V242" s="9" t="s">
        <v>276</v>
      </c>
      <c r="W242" s="9" t="s">
        <v>363</v>
      </c>
      <c r="X242" s="1" t="s">
        <v>31</v>
      </c>
      <c r="Y242" s="1" t="s">
        <v>31</v>
      </c>
      <c r="Z242" s="3" t="s">
        <v>31</v>
      </c>
      <c r="AA242" s="11" t="s">
        <v>31</v>
      </c>
      <c r="AB242" s="11" t="s">
        <v>31</v>
      </c>
      <c r="AC242" s="10">
        <v>0</v>
      </c>
      <c r="AD242" s="9" t="s">
        <v>34</v>
      </c>
      <c r="AE242" s="9" t="s">
        <v>63</v>
      </c>
    </row>
    <row r="243" spans="1:31" x14ac:dyDescent="0.25">
      <c r="A243" s="9" t="s">
        <v>136</v>
      </c>
      <c r="B243" s="10" t="s">
        <v>166</v>
      </c>
      <c r="C243" s="1" t="s">
        <v>643</v>
      </c>
      <c r="D243" s="10">
        <v>2</v>
      </c>
      <c r="E243" s="10">
        <v>2003</v>
      </c>
      <c r="F243" s="9" t="s">
        <v>38</v>
      </c>
      <c r="G243" s="9" t="s">
        <v>54</v>
      </c>
      <c r="H243" s="1">
        <v>16.399999999999999</v>
      </c>
      <c r="I243" s="1">
        <v>1.7</v>
      </c>
      <c r="J243" s="9" t="s">
        <v>30</v>
      </c>
      <c r="K243" s="1">
        <v>0.6</v>
      </c>
      <c r="L243" s="10">
        <v>22</v>
      </c>
      <c r="M243" s="3">
        <v>-8.6999999999999994E-2</v>
      </c>
      <c r="N243" s="11">
        <v>4.6900918560047612E-2</v>
      </c>
      <c r="O243" t="s">
        <v>63</v>
      </c>
      <c r="P243" s="11">
        <v>-8.7220503263120447E-2</v>
      </c>
      <c r="Q243" s="11">
        <v>5.2631578947368418E-2</v>
      </c>
      <c r="R243">
        <v>-8.9428139101209614E-2</v>
      </c>
      <c r="S243">
        <v>4.6860436864457157E-2</v>
      </c>
      <c r="T243" s="9" t="s">
        <v>40</v>
      </c>
      <c r="U243" s="9" t="s">
        <v>50</v>
      </c>
      <c r="V243" s="9" t="s">
        <v>276</v>
      </c>
      <c r="W243" s="9" t="s">
        <v>363</v>
      </c>
      <c r="X243" s="1" t="s">
        <v>31</v>
      </c>
      <c r="Y243" s="1" t="s">
        <v>31</v>
      </c>
      <c r="Z243" s="3" t="s">
        <v>31</v>
      </c>
      <c r="AA243" s="11" t="s">
        <v>31</v>
      </c>
      <c r="AB243" s="11" t="s">
        <v>31</v>
      </c>
      <c r="AC243" s="10">
        <v>0</v>
      </c>
      <c r="AD243" s="9" t="s">
        <v>34</v>
      </c>
      <c r="AE243" s="9" t="s">
        <v>63</v>
      </c>
    </row>
    <row r="244" spans="1:31" x14ac:dyDescent="0.25">
      <c r="A244" s="9" t="s">
        <v>521</v>
      </c>
      <c r="B244" s="10" t="s">
        <v>190</v>
      </c>
      <c r="C244" s="1" t="s">
        <v>644</v>
      </c>
      <c r="D244" s="10">
        <v>2</v>
      </c>
      <c r="E244" s="10">
        <v>2003</v>
      </c>
      <c r="F244" s="9" t="s">
        <v>28</v>
      </c>
      <c r="G244" s="9" t="s">
        <v>29</v>
      </c>
      <c r="H244" s="1">
        <v>26.16</v>
      </c>
      <c r="I244" s="1">
        <v>8.8000000000000007</v>
      </c>
      <c r="J244" s="9" t="s">
        <v>30</v>
      </c>
      <c r="K244" s="1">
        <v>0.52</v>
      </c>
      <c r="L244" s="10">
        <v>25</v>
      </c>
      <c r="M244" s="3">
        <v>0.56999999999999995</v>
      </c>
      <c r="N244" s="11">
        <v>1.899000041666667E-2</v>
      </c>
      <c r="O244">
        <v>157</v>
      </c>
      <c r="P244" s="11">
        <v>0.64752284482737277</v>
      </c>
      <c r="Q244" s="11">
        <v>4.5454545454545463E-2</v>
      </c>
      <c r="R244">
        <v>0.57893583769421109</v>
      </c>
      <c r="S244">
        <v>1.841680463535712E-2</v>
      </c>
      <c r="T244" s="9" t="s">
        <v>40</v>
      </c>
      <c r="U244" s="9" t="s">
        <v>46</v>
      </c>
      <c r="V244" s="9" t="s">
        <v>276</v>
      </c>
      <c r="W244" s="9" t="s">
        <v>291</v>
      </c>
      <c r="X244" s="1" t="s">
        <v>31</v>
      </c>
      <c r="Y244" s="1" t="s">
        <v>31</v>
      </c>
      <c r="Z244" s="3" t="s">
        <v>31</v>
      </c>
      <c r="AA244" s="11" t="s">
        <v>31</v>
      </c>
      <c r="AB244" s="11" t="s">
        <v>31</v>
      </c>
      <c r="AC244" s="10">
        <v>0</v>
      </c>
      <c r="AD244" s="9" t="s">
        <v>41</v>
      </c>
      <c r="AE244" s="9" t="s">
        <v>35</v>
      </c>
    </row>
    <row r="245" spans="1:31" x14ac:dyDescent="0.25">
      <c r="A245" s="9" t="s">
        <v>522</v>
      </c>
      <c r="B245" s="10" t="s">
        <v>193</v>
      </c>
      <c r="C245" s="1" t="s">
        <v>645</v>
      </c>
      <c r="D245" s="10">
        <v>2</v>
      </c>
      <c r="E245" s="10">
        <v>2003</v>
      </c>
      <c r="F245" s="9" t="s">
        <v>38</v>
      </c>
      <c r="G245" s="9" t="s">
        <v>54</v>
      </c>
      <c r="H245" s="1">
        <v>14.6</v>
      </c>
      <c r="I245" s="1">
        <v>1.5</v>
      </c>
      <c r="J245" s="9" t="s">
        <v>39</v>
      </c>
      <c r="K245" s="1">
        <v>0</v>
      </c>
      <c r="L245" s="10">
        <v>24</v>
      </c>
      <c r="M245" s="3">
        <v>0.17</v>
      </c>
      <c r="N245" s="11">
        <v>4.1001530869565213E-2</v>
      </c>
      <c r="O245">
        <v>10</v>
      </c>
      <c r="P245" s="11">
        <v>0.1716666635005791</v>
      </c>
      <c r="Q245" s="11">
        <v>4.7619047619047623E-2</v>
      </c>
      <c r="R245">
        <v>0.17416239850844531</v>
      </c>
      <c r="S245">
        <v>4.0880651345146797E-2</v>
      </c>
      <c r="T245" s="9" t="s">
        <v>40</v>
      </c>
      <c r="U245" s="9" t="s">
        <v>50</v>
      </c>
      <c r="V245" s="9" t="s">
        <v>276</v>
      </c>
      <c r="W245" s="9" t="s">
        <v>292</v>
      </c>
      <c r="X245" s="1" t="s">
        <v>31</v>
      </c>
      <c r="Y245" s="1" t="s">
        <v>31</v>
      </c>
      <c r="Z245" s="3" t="s">
        <v>31</v>
      </c>
      <c r="AA245" s="11" t="s">
        <v>31</v>
      </c>
      <c r="AB245" s="11" t="s">
        <v>31</v>
      </c>
      <c r="AC245" s="10">
        <v>0</v>
      </c>
      <c r="AD245" s="9" t="s">
        <v>41</v>
      </c>
      <c r="AE245" s="9" t="s">
        <v>35</v>
      </c>
    </row>
    <row r="246" spans="1:31" x14ac:dyDescent="0.25">
      <c r="A246" s="9" t="s">
        <v>522</v>
      </c>
      <c r="B246" s="10" t="s">
        <v>198</v>
      </c>
      <c r="C246" s="1" t="s">
        <v>646</v>
      </c>
      <c r="D246" s="10">
        <v>2</v>
      </c>
      <c r="E246" s="10">
        <v>2003</v>
      </c>
      <c r="F246" s="9" t="s">
        <v>38</v>
      </c>
      <c r="G246" s="9" t="s">
        <v>54</v>
      </c>
      <c r="H246" s="1">
        <v>14.5</v>
      </c>
      <c r="I246" s="1">
        <v>1.6</v>
      </c>
      <c r="J246" s="9" t="s">
        <v>43</v>
      </c>
      <c r="K246" s="1">
        <v>1</v>
      </c>
      <c r="L246" s="10">
        <v>13</v>
      </c>
      <c r="M246" s="3">
        <v>0.19</v>
      </c>
      <c r="N246" s="11">
        <v>7.7425267499999992E-2</v>
      </c>
      <c r="O246">
        <v>10</v>
      </c>
      <c r="P246" s="11">
        <v>0.1923371692195453</v>
      </c>
      <c r="Q246" s="11">
        <v>0.1</v>
      </c>
      <c r="R246">
        <v>0.20032182474331031</v>
      </c>
      <c r="S246">
        <v>7.677938802821356E-2</v>
      </c>
      <c r="T246" s="9" t="s">
        <v>40</v>
      </c>
      <c r="U246" s="9" t="s">
        <v>50</v>
      </c>
      <c r="V246" s="9" t="s">
        <v>276</v>
      </c>
      <c r="W246" s="9" t="s">
        <v>292</v>
      </c>
      <c r="X246" s="1" t="s">
        <v>31</v>
      </c>
      <c r="Y246" s="1" t="s">
        <v>31</v>
      </c>
      <c r="Z246" s="3" t="s">
        <v>31</v>
      </c>
      <c r="AA246" s="11" t="s">
        <v>31</v>
      </c>
      <c r="AB246" s="11" t="s">
        <v>31</v>
      </c>
      <c r="AC246" s="10">
        <v>0</v>
      </c>
      <c r="AD246" s="9" t="s">
        <v>41</v>
      </c>
      <c r="AE246" s="9" t="s">
        <v>35</v>
      </c>
    </row>
    <row r="247" spans="1:31" x14ac:dyDescent="0.25">
      <c r="A247" s="9" t="s">
        <v>522</v>
      </c>
      <c r="B247" s="10" t="s">
        <v>193</v>
      </c>
      <c r="C247" s="1" t="s">
        <v>647</v>
      </c>
      <c r="D247" s="10">
        <v>3</v>
      </c>
      <c r="E247" s="10">
        <v>2003</v>
      </c>
      <c r="F247" s="9" t="s">
        <v>38</v>
      </c>
      <c r="G247" s="9" t="s">
        <v>54</v>
      </c>
      <c r="H247" s="1">
        <v>14.6</v>
      </c>
      <c r="I247" s="1">
        <v>1.5</v>
      </c>
      <c r="J247" s="9" t="s">
        <v>39</v>
      </c>
      <c r="K247" s="1">
        <v>0</v>
      </c>
      <c r="L247" s="10">
        <v>24</v>
      </c>
      <c r="M247" s="3">
        <v>0.19</v>
      </c>
      <c r="N247" s="11">
        <v>4.0395791739130431E-2</v>
      </c>
      <c r="O247">
        <v>10</v>
      </c>
      <c r="P247" s="11">
        <v>0.1923371692195453</v>
      </c>
      <c r="Q247" s="11">
        <v>4.7619047619047623E-2</v>
      </c>
      <c r="R247">
        <v>0.19461348193755071</v>
      </c>
      <c r="S247">
        <v>4.0247202436023463E-2</v>
      </c>
      <c r="T247" s="9" t="s">
        <v>40</v>
      </c>
      <c r="U247" s="9" t="s">
        <v>50</v>
      </c>
      <c r="V247" s="9" t="s">
        <v>276</v>
      </c>
      <c r="W247" s="9" t="s">
        <v>877</v>
      </c>
      <c r="X247" s="1" t="s">
        <v>31</v>
      </c>
      <c r="Y247" s="1" t="s">
        <v>31</v>
      </c>
      <c r="Z247" s="3" t="s">
        <v>31</v>
      </c>
      <c r="AA247" s="11" t="s">
        <v>31</v>
      </c>
      <c r="AB247" s="11" t="s">
        <v>31</v>
      </c>
      <c r="AC247" s="10">
        <v>0</v>
      </c>
      <c r="AD247" s="9" t="s">
        <v>41</v>
      </c>
      <c r="AE247" s="9" t="s">
        <v>35</v>
      </c>
    </row>
    <row r="248" spans="1:31" x14ac:dyDescent="0.25">
      <c r="A248" s="9" t="s">
        <v>522</v>
      </c>
      <c r="B248" s="10" t="s">
        <v>198</v>
      </c>
      <c r="C248" s="1" t="s">
        <v>648</v>
      </c>
      <c r="D248" s="10">
        <v>3</v>
      </c>
      <c r="E248" s="10">
        <v>2003</v>
      </c>
      <c r="F248" s="9" t="s">
        <v>38</v>
      </c>
      <c r="G248" s="9" t="s">
        <v>54</v>
      </c>
      <c r="H248" s="1">
        <v>14.5</v>
      </c>
      <c r="I248" s="1">
        <v>1.6</v>
      </c>
      <c r="J248" s="9" t="s">
        <v>43</v>
      </c>
      <c r="K248" s="1">
        <v>1</v>
      </c>
      <c r="L248" s="10">
        <v>13</v>
      </c>
      <c r="M248" s="3">
        <v>0.55000000000000004</v>
      </c>
      <c r="N248" s="11">
        <v>4.05421875E-2</v>
      </c>
      <c r="O248">
        <v>10</v>
      </c>
      <c r="P248" s="11">
        <v>0.61838131357446358</v>
      </c>
      <c r="Q248" s="11">
        <v>0.1</v>
      </c>
      <c r="R248">
        <v>0.57009991834577001</v>
      </c>
      <c r="S248">
        <v>3.7967184365131468E-2</v>
      </c>
      <c r="T248" s="9" t="s">
        <v>40</v>
      </c>
      <c r="U248" s="9" t="s">
        <v>50</v>
      </c>
      <c r="V248" s="9" t="s">
        <v>276</v>
      </c>
      <c r="W248" s="9" t="s">
        <v>877</v>
      </c>
      <c r="X248" s="1" t="s">
        <v>31</v>
      </c>
      <c r="Y248" s="1" t="s">
        <v>31</v>
      </c>
      <c r="Z248" s="3" t="s">
        <v>31</v>
      </c>
      <c r="AA248" s="11" t="s">
        <v>31</v>
      </c>
      <c r="AB248" s="11" t="s">
        <v>31</v>
      </c>
      <c r="AC248" s="10">
        <v>0</v>
      </c>
      <c r="AD248" s="9" t="s">
        <v>41</v>
      </c>
      <c r="AE248" s="9" t="s">
        <v>35</v>
      </c>
    </row>
    <row r="249" spans="1:31" x14ac:dyDescent="0.25">
      <c r="A249" s="9" t="s">
        <v>148</v>
      </c>
      <c r="B249" s="10" t="s">
        <v>204</v>
      </c>
      <c r="C249" s="1" t="s">
        <v>649</v>
      </c>
      <c r="D249" s="10">
        <v>2</v>
      </c>
      <c r="E249" s="10">
        <v>2004</v>
      </c>
      <c r="F249" s="9" t="s">
        <v>38</v>
      </c>
      <c r="G249" s="9" t="s">
        <v>54</v>
      </c>
      <c r="H249" s="1">
        <v>15.6</v>
      </c>
      <c r="I249" s="1" t="s">
        <v>31</v>
      </c>
      <c r="J249" s="9" t="s">
        <v>39</v>
      </c>
      <c r="K249" s="1">
        <v>0</v>
      </c>
      <c r="L249" s="10">
        <v>38</v>
      </c>
      <c r="M249" s="3">
        <v>0.19700000000000001</v>
      </c>
      <c r="N249" s="11">
        <v>2.4969949688675681E-2</v>
      </c>
      <c r="O249" t="s">
        <v>63</v>
      </c>
      <c r="P249" s="11">
        <v>0.1996094958056058</v>
      </c>
      <c r="Q249" s="11">
        <v>2.8571428571428571E-2</v>
      </c>
      <c r="R249">
        <v>0.1997971645105398</v>
      </c>
      <c r="S249">
        <v>2.4912316357807999E-2</v>
      </c>
      <c r="T249" s="9" t="s">
        <v>40</v>
      </c>
      <c r="U249" s="9" t="s">
        <v>31</v>
      </c>
      <c r="V249" s="9" t="s">
        <v>276</v>
      </c>
      <c r="W249" s="9" t="s">
        <v>293</v>
      </c>
      <c r="X249" s="1" t="s">
        <v>31</v>
      </c>
      <c r="Y249" s="1" t="s">
        <v>31</v>
      </c>
      <c r="Z249" s="3" t="s">
        <v>31</v>
      </c>
      <c r="AA249" s="11" t="s">
        <v>31</v>
      </c>
      <c r="AB249" s="11" t="s">
        <v>31</v>
      </c>
      <c r="AC249" s="10">
        <v>0</v>
      </c>
      <c r="AD249" s="9" t="s">
        <v>34</v>
      </c>
      <c r="AE249" s="9" t="s">
        <v>63</v>
      </c>
    </row>
    <row r="250" spans="1:31" x14ac:dyDescent="0.25">
      <c r="A250" s="9" t="s">
        <v>142</v>
      </c>
      <c r="B250" s="10" t="s">
        <v>214</v>
      </c>
      <c r="C250" s="1" t="s">
        <v>650</v>
      </c>
      <c r="D250" s="10">
        <v>2</v>
      </c>
      <c r="E250" s="10">
        <v>2004</v>
      </c>
      <c r="F250" s="9" t="s">
        <v>38</v>
      </c>
      <c r="G250" s="9" t="s">
        <v>54</v>
      </c>
      <c r="H250" s="1">
        <v>18</v>
      </c>
      <c r="I250" s="1">
        <v>0.9</v>
      </c>
      <c r="J250" s="9" t="s">
        <v>39</v>
      </c>
      <c r="K250" s="1">
        <v>0</v>
      </c>
      <c r="L250" s="10">
        <v>49</v>
      </c>
      <c r="M250" s="3">
        <v>0.33100000000000002</v>
      </c>
      <c r="N250" s="11">
        <v>1.6518366931687501E-2</v>
      </c>
      <c r="O250">
        <v>471</v>
      </c>
      <c r="P250" s="11">
        <v>0.34395087913344158</v>
      </c>
      <c r="Q250" s="11">
        <v>2.1739130434782612E-2</v>
      </c>
      <c r="R250">
        <v>0.33427412052319921</v>
      </c>
      <c r="S250">
        <v>1.643765147403986E-2</v>
      </c>
      <c r="T250" s="9" t="s">
        <v>40</v>
      </c>
      <c r="U250" s="9" t="s">
        <v>50</v>
      </c>
      <c r="V250" s="9" t="s">
        <v>276</v>
      </c>
      <c r="W250" s="9" t="s">
        <v>278</v>
      </c>
      <c r="X250" s="1">
        <v>18</v>
      </c>
      <c r="Y250" s="1">
        <v>15</v>
      </c>
      <c r="Z250" s="3">
        <f t="shared" si="9"/>
        <v>1.2</v>
      </c>
      <c r="AA250" s="11">
        <v>0.28056962059160651</v>
      </c>
      <c r="AB250" s="11">
        <v>0.1207128776285855</v>
      </c>
      <c r="AC250" s="10">
        <v>0</v>
      </c>
      <c r="AD250" s="9" t="s">
        <v>41</v>
      </c>
      <c r="AE250" s="9" t="s">
        <v>35</v>
      </c>
    </row>
    <row r="251" spans="1:31" x14ac:dyDescent="0.25">
      <c r="A251" s="9" t="s">
        <v>142</v>
      </c>
      <c r="B251" s="10" t="s">
        <v>216</v>
      </c>
      <c r="C251" s="1" t="s">
        <v>651</v>
      </c>
      <c r="D251" s="10">
        <v>2</v>
      </c>
      <c r="E251" s="10">
        <v>2004</v>
      </c>
      <c r="F251" s="9" t="s">
        <v>38</v>
      </c>
      <c r="G251" s="9" t="s">
        <v>54</v>
      </c>
      <c r="H251" s="1">
        <v>18</v>
      </c>
      <c r="I251" s="1">
        <v>0.9</v>
      </c>
      <c r="J251" s="9" t="s">
        <v>43</v>
      </c>
      <c r="K251" s="1">
        <v>1</v>
      </c>
      <c r="L251" s="10">
        <v>47</v>
      </c>
      <c r="M251" s="3">
        <v>0.55200000000000005</v>
      </c>
      <c r="N251" s="11">
        <v>1.050948973078261E-2</v>
      </c>
      <c r="O251">
        <v>471</v>
      </c>
      <c r="P251" s="11">
        <v>0.62125323416408951</v>
      </c>
      <c r="Q251" s="11">
        <v>2.2727272727272731E-2</v>
      </c>
      <c r="R251">
        <v>0.55641560610119034</v>
      </c>
      <c r="S251">
        <v>1.0362053706033729E-2</v>
      </c>
      <c r="T251" s="9" t="s">
        <v>40</v>
      </c>
      <c r="U251" s="9" t="s">
        <v>50</v>
      </c>
      <c r="V251" s="9" t="s">
        <v>276</v>
      </c>
      <c r="W251" s="9" t="s">
        <v>278</v>
      </c>
      <c r="X251" s="1">
        <v>19.5</v>
      </c>
      <c r="Y251" s="1">
        <v>15</v>
      </c>
      <c r="Z251" s="3">
        <f t="shared" si="9"/>
        <v>1.3</v>
      </c>
      <c r="AA251" s="11">
        <v>0.45377888243851189</v>
      </c>
      <c r="AB251" s="11">
        <v>0.1167027053049589</v>
      </c>
      <c r="AC251" s="10">
        <v>0</v>
      </c>
      <c r="AD251" s="9" t="s">
        <v>41</v>
      </c>
      <c r="AE251" s="9" t="s">
        <v>35</v>
      </c>
    </row>
    <row r="252" spans="1:31" x14ac:dyDescent="0.25">
      <c r="A252" s="9" t="s">
        <v>157</v>
      </c>
      <c r="B252" s="10" t="s">
        <v>221</v>
      </c>
      <c r="C252" s="1" t="s">
        <v>652</v>
      </c>
      <c r="D252" s="10">
        <v>2</v>
      </c>
      <c r="E252" s="10">
        <v>2004</v>
      </c>
      <c r="F252" s="9" t="s">
        <v>28</v>
      </c>
      <c r="G252" s="9" t="s">
        <v>29</v>
      </c>
      <c r="H252" s="1">
        <v>30.3</v>
      </c>
      <c r="I252" s="1">
        <v>9.1</v>
      </c>
      <c r="J252" s="9" t="s">
        <v>30</v>
      </c>
      <c r="K252" s="1">
        <v>0.87</v>
      </c>
      <c r="L252" s="10">
        <v>15</v>
      </c>
      <c r="M252" s="3">
        <v>0.3</v>
      </c>
      <c r="N252" s="11">
        <v>5.9150000000000001E-2</v>
      </c>
      <c r="O252" t="s">
        <v>63</v>
      </c>
      <c r="P252" s="11">
        <v>0.30951960420311181</v>
      </c>
      <c r="Q252" s="11">
        <v>8.3333333333333329E-2</v>
      </c>
      <c r="R252">
        <v>0.31240436369494651</v>
      </c>
      <c r="S252">
        <v>5.8166578661228437E-2</v>
      </c>
      <c r="T252" s="9" t="s">
        <v>40</v>
      </c>
      <c r="U252" s="9" t="s">
        <v>50</v>
      </c>
      <c r="V252" s="9" t="s">
        <v>276</v>
      </c>
      <c r="W252" s="9" t="s">
        <v>365</v>
      </c>
      <c r="X252" s="1" t="s">
        <v>31</v>
      </c>
      <c r="Y252" s="1" t="s">
        <v>31</v>
      </c>
      <c r="Z252" s="3" t="s">
        <v>31</v>
      </c>
      <c r="AA252" s="11" t="s">
        <v>31</v>
      </c>
      <c r="AB252" s="11" t="s">
        <v>31</v>
      </c>
      <c r="AC252" s="10">
        <v>0</v>
      </c>
      <c r="AD252" s="9" t="s">
        <v>34</v>
      </c>
      <c r="AE252" s="9" t="s">
        <v>63</v>
      </c>
    </row>
    <row r="253" spans="1:31" x14ac:dyDescent="0.25">
      <c r="A253" s="9" t="s">
        <v>157</v>
      </c>
      <c r="B253" s="10" t="s">
        <v>218</v>
      </c>
      <c r="C253" s="1" t="s">
        <v>653</v>
      </c>
      <c r="D253" s="10">
        <v>2</v>
      </c>
      <c r="E253" s="10">
        <v>2004</v>
      </c>
      <c r="F253" s="9" t="s">
        <v>38</v>
      </c>
      <c r="G253" s="9" t="s">
        <v>29</v>
      </c>
      <c r="H253" s="1">
        <v>43.62</v>
      </c>
      <c r="I253" s="1">
        <v>4.3099999999999996</v>
      </c>
      <c r="J253" s="9" t="s">
        <v>30</v>
      </c>
      <c r="K253" s="1">
        <v>0.47</v>
      </c>
      <c r="L253" s="10">
        <v>17</v>
      </c>
      <c r="M253" s="3">
        <v>0.19</v>
      </c>
      <c r="N253" s="11">
        <v>5.8068950624999997E-2</v>
      </c>
      <c r="O253" t="s">
        <v>63</v>
      </c>
      <c r="P253" s="11">
        <v>0.1923371692195453</v>
      </c>
      <c r="Q253" s="11">
        <v>7.1428571428571425E-2</v>
      </c>
      <c r="R253">
        <v>0.19712148534719759</v>
      </c>
      <c r="S253">
        <v>5.7737256071952223E-2</v>
      </c>
      <c r="T253" s="9" t="s">
        <v>40</v>
      </c>
      <c r="U253" s="9" t="s">
        <v>50</v>
      </c>
      <c r="V253" s="9" t="s">
        <v>276</v>
      </c>
      <c r="W253" s="9" t="s">
        <v>365</v>
      </c>
      <c r="X253" s="1" t="s">
        <v>31</v>
      </c>
      <c r="Y253" s="1" t="s">
        <v>31</v>
      </c>
      <c r="Z253" s="3" t="s">
        <v>31</v>
      </c>
      <c r="AA253" s="11" t="s">
        <v>31</v>
      </c>
      <c r="AB253" s="11" t="s">
        <v>31</v>
      </c>
      <c r="AC253" s="10">
        <v>0</v>
      </c>
      <c r="AD253" s="9" t="s">
        <v>34</v>
      </c>
      <c r="AE253" s="9" t="s">
        <v>63</v>
      </c>
    </row>
    <row r="254" spans="1:31" x14ac:dyDescent="0.25">
      <c r="A254" s="9" t="s">
        <v>524</v>
      </c>
      <c r="B254" s="10" t="s">
        <v>225</v>
      </c>
      <c r="C254" s="1" t="s">
        <v>654</v>
      </c>
      <c r="D254" s="10">
        <v>2</v>
      </c>
      <c r="E254" s="10">
        <v>2004</v>
      </c>
      <c r="F254" s="9" t="s">
        <v>28</v>
      </c>
      <c r="G254" s="9" t="s">
        <v>29</v>
      </c>
      <c r="H254" s="1">
        <v>42.23</v>
      </c>
      <c r="I254" s="1">
        <v>12.94</v>
      </c>
      <c r="J254" s="9" t="s">
        <v>30</v>
      </c>
      <c r="K254" s="1">
        <v>0.5</v>
      </c>
      <c r="L254" s="10">
        <v>201</v>
      </c>
      <c r="M254" s="3">
        <v>0.28000000000000003</v>
      </c>
      <c r="N254" s="11">
        <v>4.2467327999999999E-3</v>
      </c>
      <c r="O254">
        <v>72</v>
      </c>
      <c r="P254" s="11">
        <v>0.28768207245178101</v>
      </c>
      <c r="Q254" s="11">
        <v>5.0505050505050509E-3</v>
      </c>
      <c r="R254">
        <v>0.28065518072246393</v>
      </c>
      <c r="S254">
        <v>4.2433481570803948E-3</v>
      </c>
      <c r="T254" s="9" t="s">
        <v>40</v>
      </c>
      <c r="U254" s="9" t="s">
        <v>50</v>
      </c>
      <c r="V254" s="9" t="s">
        <v>276</v>
      </c>
      <c r="W254" s="9" t="s">
        <v>278</v>
      </c>
      <c r="X254" s="1" t="s">
        <v>31</v>
      </c>
      <c r="Y254" s="1" t="s">
        <v>31</v>
      </c>
      <c r="Z254" s="3" t="s">
        <v>31</v>
      </c>
      <c r="AA254" s="11" t="s">
        <v>31</v>
      </c>
      <c r="AB254" s="11" t="s">
        <v>31</v>
      </c>
      <c r="AC254" s="10">
        <v>4</v>
      </c>
      <c r="AD254" s="9" t="s">
        <v>34</v>
      </c>
      <c r="AE254" s="9" t="s">
        <v>35</v>
      </c>
    </row>
    <row r="255" spans="1:31" x14ac:dyDescent="0.25">
      <c r="A255" s="9" t="s">
        <v>525</v>
      </c>
      <c r="B255" s="10" t="s">
        <v>232</v>
      </c>
      <c r="C255" s="1" t="s">
        <v>655</v>
      </c>
      <c r="D255" s="10">
        <v>2</v>
      </c>
      <c r="E255" s="10">
        <v>2004</v>
      </c>
      <c r="F255" s="9" t="s">
        <v>28</v>
      </c>
      <c r="G255" s="9" t="s">
        <v>54</v>
      </c>
      <c r="H255" s="1">
        <v>15.4</v>
      </c>
      <c r="I255" s="1">
        <v>2.2400000000000002</v>
      </c>
      <c r="J255" s="9" t="s">
        <v>43</v>
      </c>
      <c r="K255" s="1">
        <v>1</v>
      </c>
      <c r="L255" s="10">
        <v>16</v>
      </c>
      <c r="M255" s="3">
        <v>-0.16600000000000001</v>
      </c>
      <c r="N255" s="11">
        <v>6.304315554239999E-2</v>
      </c>
      <c r="O255" t="s">
        <v>63</v>
      </c>
      <c r="P255" s="11">
        <v>-0.1675504822758454</v>
      </c>
      <c r="Q255" s="11">
        <v>7.6923076923076927E-2</v>
      </c>
      <c r="R255">
        <v>-0.1728178879900685</v>
      </c>
      <c r="S255">
        <v>6.2743995631723989E-2</v>
      </c>
      <c r="T255" s="9" t="s">
        <v>40</v>
      </c>
      <c r="U255" s="9" t="s">
        <v>50</v>
      </c>
      <c r="V255" s="9" t="s">
        <v>276</v>
      </c>
      <c r="W255" s="9" t="s">
        <v>364</v>
      </c>
      <c r="X255" s="1">
        <v>23.4</v>
      </c>
      <c r="Y255" s="1">
        <v>15</v>
      </c>
      <c r="Z255" s="3">
        <f t="shared" si="9"/>
        <v>1.5599999999999998</v>
      </c>
      <c r="AA255" s="11">
        <v>-0.107284586844076</v>
      </c>
      <c r="AB255" s="11">
        <v>0.1731431101629885</v>
      </c>
      <c r="AC255" s="10">
        <v>0</v>
      </c>
      <c r="AD255" s="9" t="s">
        <v>34</v>
      </c>
      <c r="AE255" s="9" t="s">
        <v>63</v>
      </c>
    </row>
    <row r="256" spans="1:31" x14ac:dyDescent="0.25">
      <c r="A256" s="9" t="s">
        <v>525</v>
      </c>
      <c r="B256" s="10" t="s">
        <v>228</v>
      </c>
      <c r="C256" s="1" t="s">
        <v>656</v>
      </c>
      <c r="D256" s="10">
        <v>2</v>
      </c>
      <c r="E256" s="10">
        <v>2004</v>
      </c>
      <c r="F256" s="9" t="s">
        <v>38</v>
      </c>
      <c r="G256" s="9" t="s">
        <v>54</v>
      </c>
      <c r="H256" s="1">
        <v>15.5</v>
      </c>
      <c r="I256" s="1">
        <v>1.6</v>
      </c>
      <c r="J256" s="9" t="s">
        <v>43</v>
      </c>
      <c r="K256" s="1">
        <v>1</v>
      </c>
      <c r="L256" s="10">
        <v>16</v>
      </c>
      <c r="M256" s="3">
        <v>0.20200000000000001</v>
      </c>
      <c r="N256" s="11">
        <v>6.1337131094399991E-2</v>
      </c>
      <c r="O256" t="s">
        <v>63</v>
      </c>
      <c r="P256" s="11">
        <v>0.204816758822672</v>
      </c>
      <c r="Q256" s="11">
        <v>7.6923076923076927E-2</v>
      </c>
      <c r="R256">
        <v>0.21015956625750801</v>
      </c>
      <c r="S256">
        <v>6.0907776075590177E-2</v>
      </c>
      <c r="T256" s="9" t="s">
        <v>40</v>
      </c>
      <c r="U256" s="9" t="s">
        <v>50</v>
      </c>
      <c r="V256" s="9" t="s">
        <v>276</v>
      </c>
      <c r="W256" s="9" t="s">
        <v>364</v>
      </c>
      <c r="X256" s="1">
        <v>21.1</v>
      </c>
      <c r="Y256" s="1">
        <v>15</v>
      </c>
      <c r="Z256" s="3">
        <f t="shared" si="9"/>
        <v>1.4066666666666667</v>
      </c>
      <c r="AA256" s="11">
        <v>0.1450733287810449</v>
      </c>
      <c r="AB256" s="11">
        <v>0.19185833650302031</v>
      </c>
      <c r="AC256" s="10">
        <v>0</v>
      </c>
      <c r="AD256" s="9" t="s">
        <v>34</v>
      </c>
      <c r="AE256" s="9" t="s">
        <v>63</v>
      </c>
    </row>
    <row r="257" spans="1:31" x14ac:dyDescent="0.25">
      <c r="A257" s="9" t="s">
        <v>864</v>
      </c>
      <c r="B257" s="10" t="s">
        <v>1056</v>
      </c>
      <c r="C257" s="1" t="s">
        <v>657</v>
      </c>
      <c r="D257" s="10">
        <v>2</v>
      </c>
      <c r="E257" s="10">
        <v>2005</v>
      </c>
      <c r="F257" s="9" t="s">
        <v>28</v>
      </c>
      <c r="G257" s="9" t="s">
        <v>29</v>
      </c>
      <c r="H257" s="1">
        <v>40.49</v>
      </c>
      <c r="I257" s="1">
        <v>11.67</v>
      </c>
      <c r="J257" s="9" t="s">
        <v>30</v>
      </c>
      <c r="K257" s="1">
        <v>0.6</v>
      </c>
      <c r="L257" s="10">
        <v>44</v>
      </c>
      <c r="M257" s="3">
        <v>0.156</v>
      </c>
      <c r="N257" s="11">
        <v>2.213768002083721E-2</v>
      </c>
      <c r="O257" t="s">
        <v>63</v>
      </c>
      <c r="P257" s="11">
        <v>0.15728427731818281</v>
      </c>
      <c r="Q257" s="11">
        <v>2.4390243902439029E-2</v>
      </c>
      <c r="R257">
        <v>0.15791152851422521</v>
      </c>
      <c r="S257">
        <v>2.2110458254790289E-2</v>
      </c>
      <c r="T257" s="9" t="s">
        <v>40</v>
      </c>
      <c r="U257" s="9" t="s">
        <v>50</v>
      </c>
      <c r="V257" s="9" t="s">
        <v>276</v>
      </c>
      <c r="W257" s="9" t="s">
        <v>366</v>
      </c>
      <c r="X257" s="1">
        <v>16.46</v>
      </c>
      <c r="Y257" s="1">
        <v>15</v>
      </c>
      <c r="Z257" s="3">
        <f t="shared" si="9"/>
        <v>1.0973333333333335</v>
      </c>
      <c r="AA257" s="11">
        <v>0.142456992439707</v>
      </c>
      <c r="AB257" s="11">
        <v>0.1397591200230125</v>
      </c>
      <c r="AC257" s="10">
        <v>0</v>
      </c>
      <c r="AD257" s="9" t="s">
        <v>34</v>
      </c>
      <c r="AE257" s="9" t="s">
        <v>63</v>
      </c>
    </row>
    <row r="258" spans="1:31" x14ac:dyDescent="0.25">
      <c r="A258" s="9" t="s">
        <v>864</v>
      </c>
      <c r="B258" s="10" t="s">
        <v>1057</v>
      </c>
      <c r="C258" s="1" t="s">
        <v>658</v>
      </c>
      <c r="D258" s="10">
        <v>2</v>
      </c>
      <c r="E258" s="10">
        <v>2005</v>
      </c>
      <c r="F258" s="9" t="s">
        <v>38</v>
      </c>
      <c r="G258" s="9" t="s">
        <v>29</v>
      </c>
      <c r="H258" s="1">
        <v>33.72</v>
      </c>
      <c r="I258" s="1">
        <v>12.37</v>
      </c>
      <c r="J258" s="9" t="s">
        <v>30</v>
      </c>
      <c r="K258" s="1">
        <v>0.57999999999999996</v>
      </c>
      <c r="L258" s="10">
        <v>43</v>
      </c>
      <c r="M258" s="3">
        <v>0.23799999999999999</v>
      </c>
      <c r="N258" s="11">
        <v>2.1188584350857138E-2</v>
      </c>
      <c r="O258" t="s">
        <v>63</v>
      </c>
      <c r="P258" s="11">
        <v>0.2426529487789475</v>
      </c>
      <c r="Q258" s="11">
        <v>2.5000000000000001E-2</v>
      </c>
      <c r="R258">
        <v>0.2408867244427646</v>
      </c>
      <c r="S258">
        <v>2.1126529445182191E-2</v>
      </c>
      <c r="T258" s="9" t="s">
        <v>40</v>
      </c>
      <c r="U258" s="9" t="s">
        <v>50</v>
      </c>
      <c r="V258" s="9" t="s">
        <v>276</v>
      </c>
      <c r="W258" s="9" t="s">
        <v>366</v>
      </c>
      <c r="X258" s="1">
        <v>17.55</v>
      </c>
      <c r="Y258" s="1">
        <v>15</v>
      </c>
      <c r="Z258" s="3">
        <f t="shared" si="9"/>
        <v>1.1700000000000002</v>
      </c>
      <c r="AA258" s="11">
        <v>0.20498938006079151</v>
      </c>
      <c r="AB258" s="11">
        <v>0.13267247105940991</v>
      </c>
      <c r="AC258" s="10">
        <v>0</v>
      </c>
      <c r="AD258" s="9" t="s">
        <v>34</v>
      </c>
      <c r="AE258" s="9" t="s">
        <v>63</v>
      </c>
    </row>
    <row r="259" spans="1:31" x14ac:dyDescent="0.25">
      <c r="A259" s="9" t="s">
        <v>176</v>
      </c>
      <c r="B259" s="10" t="s">
        <v>256</v>
      </c>
      <c r="C259" s="1" t="s">
        <v>659</v>
      </c>
      <c r="D259" s="10">
        <v>2</v>
      </c>
      <c r="E259" s="10">
        <v>2006</v>
      </c>
      <c r="F259" s="9" t="s">
        <v>28</v>
      </c>
      <c r="G259" s="9" t="s">
        <v>29</v>
      </c>
      <c r="H259" s="1">
        <v>20.79</v>
      </c>
      <c r="I259" s="1">
        <v>10.58</v>
      </c>
      <c r="J259" s="9" t="s">
        <v>43</v>
      </c>
      <c r="K259" s="1">
        <v>1</v>
      </c>
      <c r="L259" s="10">
        <v>24</v>
      </c>
      <c r="M259" s="3">
        <v>0.28000000000000003</v>
      </c>
      <c r="N259" s="11">
        <v>3.6928111304347817E-2</v>
      </c>
      <c r="O259" t="s">
        <v>63</v>
      </c>
      <c r="P259" s="11">
        <v>0.28768207245178101</v>
      </c>
      <c r="Q259" s="11">
        <v>4.7619047619047623E-2</v>
      </c>
      <c r="R259">
        <v>0.28646678242653217</v>
      </c>
      <c r="S259">
        <v>3.6635127686433407E-2</v>
      </c>
      <c r="T259" s="9" t="s">
        <v>40</v>
      </c>
      <c r="U259" s="9" t="s">
        <v>31</v>
      </c>
      <c r="V259" s="9" t="s">
        <v>276</v>
      </c>
      <c r="W259" s="9" t="s">
        <v>367</v>
      </c>
      <c r="X259" s="1">
        <v>20.98</v>
      </c>
      <c r="Y259" s="1">
        <v>15</v>
      </c>
      <c r="Z259" s="3">
        <f t="shared" si="9"/>
        <v>1.3986666666666667</v>
      </c>
      <c r="AA259" s="11">
        <v>0.20414058268238991</v>
      </c>
      <c r="AB259" s="11">
        <v>0.15516804856446809</v>
      </c>
      <c r="AC259" s="10">
        <v>0</v>
      </c>
      <c r="AD259" s="9" t="s">
        <v>41</v>
      </c>
      <c r="AE259" s="9" t="s">
        <v>63</v>
      </c>
    </row>
    <row r="260" spans="1:31" x14ac:dyDescent="0.25">
      <c r="A260" s="9" t="s">
        <v>176</v>
      </c>
      <c r="B260" s="10" t="s">
        <v>252</v>
      </c>
      <c r="C260" s="1" t="s">
        <v>660</v>
      </c>
      <c r="D260" s="10">
        <v>2</v>
      </c>
      <c r="E260" s="10">
        <v>2006</v>
      </c>
      <c r="F260" s="9" t="s">
        <v>38</v>
      </c>
      <c r="G260" s="9" t="s">
        <v>29</v>
      </c>
      <c r="H260" s="1">
        <v>21.41</v>
      </c>
      <c r="I260" s="1">
        <v>10.91</v>
      </c>
      <c r="J260" s="9" t="s">
        <v>43</v>
      </c>
      <c r="K260" s="1">
        <v>1</v>
      </c>
      <c r="L260" s="10">
        <v>23</v>
      </c>
      <c r="M260" s="3">
        <v>0.55000000000000004</v>
      </c>
      <c r="N260" s="11">
        <v>2.2113920454545459E-2</v>
      </c>
      <c r="O260" t="s">
        <v>63</v>
      </c>
      <c r="P260" s="11">
        <v>0.61838131357446358</v>
      </c>
      <c r="Q260" s="11">
        <v>0.05</v>
      </c>
      <c r="R260">
        <v>0.55984400814928836</v>
      </c>
      <c r="S260">
        <v>2.142658182711784E-2</v>
      </c>
      <c r="T260" s="9" t="s">
        <v>40</v>
      </c>
      <c r="U260" s="9" t="s">
        <v>31</v>
      </c>
      <c r="V260" s="9" t="s">
        <v>276</v>
      </c>
      <c r="W260" s="9" t="s">
        <v>367</v>
      </c>
      <c r="X260" s="1">
        <v>13.18</v>
      </c>
      <c r="Y260" s="1">
        <v>15</v>
      </c>
      <c r="Z260" s="3">
        <f t="shared" si="9"/>
        <v>0.8786666666666666</v>
      </c>
      <c r="AA260" s="11">
        <v>0.59973930547364718</v>
      </c>
      <c r="AB260" s="11">
        <v>0.18243586899573111</v>
      </c>
      <c r="AC260" s="10">
        <v>0</v>
      </c>
      <c r="AD260" s="9" t="s">
        <v>41</v>
      </c>
      <c r="AE260" s="9" t="s">
        <v>63</v>
      </c>
    </row>
    <row r="261" spans="1:31" x14ac:dyDescent="0.25">
      <c r="A261" s="9" t="s">
        <v>169</v>
      </c>
      <c r="B261" s="10" t="s">
        <v>280</v>
      </c>
      <c r="C261" s="1" t="s">
        <v>661</v>
      </c>
      <c r="D261" s="10">
        <v>2</v>
      </c>
      <c r="E261" s="10">
        <v>2006</v>
      </c>
      <c r="F261" s="9" t="s">
        <v>38</v>
      </c>
      <c r="G261" s="9" t="s">
        <v>29</v>
      </c>
      <c r="H261" s="1">
        <v>79.5</v>
      </c>
      <c r="I261" s="1">
        <v>0.5</v>
      </c>
      <c r="J261" s="9" t="s">
        <v>30</v>
      </c>
      <c r="K261" s="1">
        <v>0.61</v>
      </c>
      <c r="L261" s="10">
        <v>102</v>
      </c>
      <c r="M261" s="3">
        <v>-0.14199999999999999</v>
      </c>
      <c r="N261" s="11">
        <v>9.5057285831287135E-3</v>
      </c>
      <c r="O261" t="s">
        <v>63</v>
      </c>
      <c r="P261" s="11">
        <v>-0.1429661453639966</v>
      </c>
      <c r="Q261" s="11">
        <v>1.01010101010101E-2</v>
      </c>
      <c r="R261">
        <v>-0.142711346485908</v>
      </c>
      <c r="S261">
        <v>9.5017993925551551E-3</v>
      </c>
      <c r="T261" s="9" t="s">
        <v>40</v>
      </c>
      <c r="U261" s="9" t="s">
        <v>31</v>
      </c>
      <c r="V261" s="9" t="s">
        <v>276</v>
      </c>
      <c r="W261" s="9" t="s">
        <v>288</v>
      </c>
      <c r="X261" s="1" t="s">
        <v>31</v>
      </c>
      <c r="Y261" s="1" t="s">
        <v>31</v>
      </c>
      <c r="Z261" s="3" t="s">
        <v>31</v>
      </c>
      <c r="AA261" s="11" t="s">
        <v>31</v>
      </c>
      <c r="AB261" s="11" t="s">
        <v>31</v>
      </c>
      <c r="AC261" s="10">
        <v>0</v>
      </c>
      <c r="AD261" s="9" t="s">
        <v>34</v>
      </c>
      <c r="AE261" s="9" t="s">
        <v>63</v>
      </c>
    </row>
    <row r="262" spans="1:31" x14ac:dyDescent="0.25">
      <c r="A262" s="9" t="s">
        <v>529</v>
      </c>
      <c r="B262" s="10" t="s">
        <v>282</v>
      </c>
      <c r="C262" s="1" t="s">
        <v>662</v>
      </c>
      <c r="D262" s="10">
        <v>2</v>
      </c>
      <c r="E262" s="10">
        <v>2006</v>
      </c>
      <c r="F262" s="9" t="s">
        <v>28</v>
      </c>
      <c r="G262" s="9" t="s">
        <v>54</v>
      </c>
      <c r="H262" s="1">
        <v>10.16</v>
      </c>
      <c r="I262" s="1">
        <v>1.92</v>
      </c>
      <c r="J262" s="9" t="s">
        <v>43</v>
      </c>
      <c r="K262" s="1">
        <v>1</v>
      </c>
      <c r="L262" s="10">
        <v>38</v>
      </c>
      <c r="M262" s="3">
        <v>8.2000000000000003E-2</v>
      </c>
      <c r="N262" s="11">
        <v>2.6664789518270272E-2</v>
      </c>
      <c r="O262" t="s">
        <v>63</v>
      </c>
      <c r="P262" s="11">
        <v>8.2184534392968162E-2</v>
      </c>
      <c r="Q262" s="11">
        <v>2.8571428571428571E-2</v>
      </c>
      <c r="R262">
        <v>8.3205878177495946E-2</v>
      </c>
      <c r="S262">
        <v>2.6654094449274589E-2</v>
      </c>
      <c r="T262" s="9" t="s">
        <v>40</v>
      </c>
      <c r="U262" s="9" t="s">
        <v>46</v>
      </c>
      <c r="V262" s="9" t="s">
        <v>276</v>
      </c>
      <c r="W262" s="9" t="s">
        <v>286</v>
      </c>
      <c r="X262" s="1">
        <v>18.04</v>
      </c>
      <c r="Y262" s="1">
        <v>15</v>
      </c>
      <c r="Z262" s="3">
        <f t="shared" si="9"/>
        <v>1.2026666666666666</v>
      </c>
      <c r="AA262" s="11">
        <v>6.8252675291936599E-2</v>
      </c>
      <c r="AB262" s="11">
        <v>0.13854528451556841</v>
      </c>
      <c r="AC262" s="10">
        <v>0</v>
      </c>
      <c r="AD262" s="9" t="s">
        <v>41</v>
      </c>
      <c r="AE262" s="9" t="s">
        <v>63</v>
      </c>
    </row>
    <row r="263" spans="1:31" x14ac:dyDescent="0.25">
      <c r="A263" s="9" t="s">
        <v>529</v>
      </c>
      <c r="B263" s="10" t="s">
        <v>283</v>
      </c>
      <c r="C263" s="1" t="s">
        <v>663</v>
      </c>
      <c r="D263" s="10">
        <v>2</v>
      </c>
      <c r="E263" s="10">
        <v>2006</v>
      </c>
      <c r="F263" s="9" t="s">
        <v>28</v>
      </c>
      <c r="G263" s="9" t="s">
        <v>54</v>
      </c>
      <c r="H263" s="1">
        <v>10.08</v>
      </c>
      <c r="I263" s="1">
        <v>1.31</v>
      </c>
      <c r="J263" s="9" t="s">
        <v>43</v>
      </c>
      <c r="K263" s="1">
        <v>1</v>
      </c>
      <c r="L263" s="10">
        <v>12</v>
      </c>
      <c r="M263" s="3">
        <v>0.23200000000000001</v>
      </c>
      <c r="N263" s="11">
        <v>8.1386274816000012E-2</v>
      </c>
      <c r="O263" t="s">
        <v>63</v>
      </c>
      <c r="P263" s="11">
        <v>0.2363022054728964</v>
      </c>
      <c r="Q263" s="11">
        <v>0.1111111111111111</v>
      </c>
      <c r="R263">
        <v>0.24584643755187821</v>
      </c>
      <c r="S263">
        <v>8.0252009891228257E-2</v>
      </c>
      <c r="T263" s="9" t="s">
        <v>40</v>
      </c>
      <c r="U263" s="9" t="s">
        <v>46</v>
      </c>
      <c r="V263" s="9" t="s">
        <v>276</v>
      </c>
      <c r="W263" s="9" t="s">
        <v>286</v>
      </c>
      <c r="X263" s="1">
        <v>12.48</v>
      </c>
      <c r="Y263" s="1">
        <v>15</v>
      </c>
      <c r="Z263" s="3">
        <f t="shared" si="9"/>
        <v>0.83200000000000007</v>
      </c>
      <c r="AA263" s="11">
        <v>0.27556831147017352</v>
      </c>
      <c r="AB263" s="11">
        <v>0.35682599640593271</v>
      </c>
      <c r="AC263" s="10">
        <v>0</v>
      </c>
      <c r="AD263" s="9" t="s">
        <v>41</v>
      </c>
      <c r="AE263" s="9" t="s">
        <v>63</v>
      </c>
    </row>
    <row r="264" spans="1:31" x14ac:dyDescent="0.25">
      <c r="A264" s="9" t="s">
        <v>529</v>
      </c>
      <c r="B264" s="10" t="s">
        <v>281</v>
      </c>
      <c r="C264" s="1" t="s">
        <v>664</v>
      </c>
      <c r="D264" s="10">
        <v>2</v>
      </c>
      <c r="E264" s="10">
        <v>2006</v>
      </c>
      <c r="F264" s="9" t="s">
        <v>38</v>
      </c>
      <c r="G264" s="9" t="s">
        <v>54</v>
      </c>
      <c r="H264" s="1">
        <v>10.77</v>
      </c>
      <c r="I264" s="1">
        <v>1.48</v>
      </c>
      <c r="J264" s="9" t="s">
        <v>43</v>
      </c>
      <c r="K264" s="1">
        <v>1</v>
      </c>
      <c r="L264" s="10">
        <v>13</v>
      </c>
      <c r="M264" s="3">
        <v>-0.14499999999999999</v>
      </c>
      <c r="N264" s="11">
        <v>7.9866004218750009E-2</v>
      </c>
      <c r="O264" t="s">
        <v>63</v>
      </c>
      <c r="P264" s="11">
        <v>-0.1460292235257899</v>
      </c>
      <c r="Q264" s="11">
        <v>0.1</v>
      </c>
      <c r="R264">
        <v>-0.1530381985414653</v>
      </c>
      <c r="S264">
        <v>7.9475595692034245E-2</v>
      </c>
      <c r="T264" s="9" t="s">
        <v>40</v>
      </c>
      <c r="U264" s="9" t="s">
        <v>46</v>
      </c>
      <c r="V264" s="9" t="s">
        <v>276</v>
      </c>
      <c r="W264" s="9" t="s">
        <v>286</v>
      </c>
      <c r="X264" s="1">
        <v>12.34</v>
      </c>
      <c r="Y264" s="1">
        <v>15</v>
      </c>
      <c r="Z264" s="3">
        <f t="shared" si="9"/>
        <v>0.82266666666666666</v>
      </c>
      <c r="AA264" s="11">
        <v>-0.1753777750011675</v>
      </c>
      <c r="AB264" s="11">
        <v>0.3572374005011828</v>
      </c>
      <c r="AC264" s="10">
        <v>0</v>
      </c>
      <c r="AD264" s="9" t="s">
        <v>41</v>
      </c>
      <c r="AE264" s="9" t="s">
        <v>63</v>
      </c>
    </row>
    <row r="265" spans="1:31" x14ac:dyDescent="0.25">
      <c r="A265" s="9" t="s">
        <v>852</v>
      </c>
      <c r="B265" s="10" t="s">
        <v>1058</v>
      </c>
      <c r="C265" s="1" t="s">
        <v>665</v>
      </c>
      <c r="D265" s="10">
        <v>2</v>
      </c>
      <c r="E265" s="10">
        <v>2007</v>
      </c>
      <c r="F265" s="9" t="s">
        <v>28</v>
      </c>
      <c r="G265" s="9" t="s">
        <v>29</v>
      </c>
      <c r="H265" s="1">
        <v>29.2</v>
      </c>
      <c r="I265" s="1">
        <v>9.1999999999999993</v>
      </c>
      <c r="J265" s="9" t="s">
        <v>30</v>
      </c>
      <c r="K265" s="1">
        <v>0.45</v>
      </c>
      <c r="L265" s="10">
        <v>39</v>
      </c>
      <c r="M265" s="3">
        <v>-2.0796384291294101E-2</v>
      </c>
      <c r="N265" s="11">
        <v>2.6293031785475561E-2</v>
      </c>
      <c r="O265" s="4">
        <v>1100</v>
      </c>
      <c r="P265" s="11">
        <v>-2.079938314282094E-2</v>
      </c>
      <c r="Q265" s="11">
        <v>2.777777777777778E-2</v>
      </c>
      <c r="R265">
        <v>-2.1095428522549489E-2</v>
      </c>
      <c r="S265">
        <v>2.629237273239798E-2</v>
      </c>
      <c r="T265" s="9" t="s">
        <v>40</v>
      </c>
      <c r="U265" s="9" t="s">
        <v>31</v>
      </c>
      <c r="V265" s="9" t="s">
        <v>276</v>
      </c>
      <c r="W265" s="9" t="s">
        <v>277</v>
      </c>
      <c r="X265" s="1">
        <v>7.4</v>
      </c>
      <c r="Y265" s="1">
        <v>15</v>
      </c>
      <c r="Z265" s="3">
        <f t="shared" si="9"/>
        <v>0.49333333333333335</v>
      </c>
      <c r="AA265" s="11">
        <v>-4.2126522131625779E-2</v>
      </c>
      <c r="AB265" s="11">
        <v>0.33249830957003179</v>
      </c>
      <c r="AC265" s="10">
        <v>0</v>
      </c>
      <c r="AD265" s="9" t="s">
        <v>34</v>
      </c>
      <c r="AE265" s="9" t="s">
        <v>35</v>
      </c>
    </row>
    <row r="266" spans="1:31" x14ac:dyDescent="0.25">
      <c r="A266" s="9" t="s">
        <v>852</v>
      </c>
      <c r="B266" s="10" t="s">
        <v>1051</v>
      </c>
      <c r="C266" s="1" t="s">
        <v>666</v>
      </c>
      <c r="D266" s="10">
        <v>2</v>
      </c>
      <c r="E266" s="10">
        <v>2007</v>
      </c>
      <c r="F266" s="9" t="s">
        <v>38</v>
      </c>
      <c r="G266" s="9" t="s">
        <v>29</v>
      </c>
      <c r="H266" s="1" t="s">
        <v>31</v>
      </c>
      <c r="I266" s="1" t="s">
        <v>31</v>
      </c>
      <c r="J266" s="9" t="s">
        <v>31</v>
      </c>
      <c r="K266" s="1" t="s">
        <v>31</v>
      </c>
      <c r="L266" s="10">
        <v>16</v>
      </c>
      <c r="M266" s="3">
        <v>-0.43766025924379798</v>
      </c>
      <c r="N266" s="11">
        <v>4.3573137172364267E-2</v>
      </c>
      <c r="O266">
        <v>1100</v>
      </c>
      <c r="P266" s="11">
        <v>-0.46933303149292538</v>
      </c>
      <c r="Q266" s="11">
        <v>7.6923076923076927E-2</v>
      </c>
      <c r="R266">
        <v>-0.45209998854752909</v>
      </c>
      <c r="S266">
        <v>4.2199218087783701E-2</v>
      </c>
      <c r="T266" s="9" t="s">
        <v>40</v>
      </c>
      <c r="U266" s="9" t="s">
        <v>31</v>
      </c>
      <c r="V266" s="9" t="s">
        <v>276</v>
      </c>
      <c r="W266" s="9" t="s">
        <v>277</v>
      </c>
      <c r="X266" s="1">
        <v>11</v>
      </c>
      <c r="Y266" s="1">
        <v>15</v>
      </c>
      <c r="Z266" s="3">
        <f t="shared" si="9"/>
        <v>0.73333333333333328</v>
      </c>
      <c r="AA266" s="11">
        <v>-0.55301990905873011</v>
      </c>
      <c r="AB266" s="11">
        <v>0.26072178212578118</v>
      </c>
      <c r="AC266" s="10">
        <v>0</v>
      </c>
      <c r="AD266" s="9" t="s">
        <v>34</v>
      </c>
      <c r="AE266" s="9" t="s">
        <v>35</v>
      </c>
    </row>
    <row r="267" spans="1:31" x14ac:dyDescent="0.25">
      <c r="A267" s="9" t="s">
        <v>531</v>
      </c>
      <c r="B267" s="10" t="s">
        <v>294</v>
      </c>
      <c r="C267" s="1" t="s">
        <v>667</v>
      </c>
      <c r="D267" s="10">
        <v>2</v>
      </c>
      <c r="E267" s="10">
        <v>2007</v>
      </c>
      <c r="F267" s="9" t="s">
        <v>28</v>
      </c>
      <c r="G267" s="9" t="s">
        <v>54</v>
      </c>
      <c r="H267" s="1">
        <v>10.75</v>
      </c>
      <c r="I267" s="1">
        <v>2.33</v>
      </c>
      <c r="J267" s="9" t="s">
        <v>31</v>
      </c>
      <c r="K267" s="1" t="s">
        <v>31</v>
      </c>
      <c r="L267" s="10">
        <v>21</v>
      </c>
      <c r="M267" s="3">
        <v>0.3</v>
      </c>
      <c r="N267" s="11">
        <v>4.1404999999999997E-2</v>
      </c>
      <c r="O267" t="s">
        <v>63</v>
      </c>
      <c r="P267" s="11">
        <v>0.30951960420311181</v>
      </c>
      <c r="Q267" s="11">
        <v>5.5555555555555552E-2</v>
      </c>
      <c r="R267">
        <v>0.30803647454890942</v>
      </c>
      <c r="S267">
        <v>4.096152514090385E-2</v>
      </c>
      <c r="T267" s="9" t="s">
        <v>40</v>
      </c>
      <c r="U267" s="9" t="s">
        <v>31</v>
      </c>
      <c r="V267" s="9" t="s">
        <v>276</v>
      </c>
      <c r="W267" s="9" t="s">
        <v>370</v>
      </c>
      <c r="X267" s="1">
        <v>14</v>
      </c>
      <c r="Y267" s="1">
        <v>15</v>
      </c>
      <c r="Z267" s="3">
        <f t="shared" si="9"/>
        <v>0.93333333333333335</v>
      </c>
      <c r="AA267" s="11">
        <v>0.31930958700902368</v>
      </c>
      <c r="AB267" s="11">
        <v>0.22987384438805999</v>
      </c>
      <c r="AC267" s="10">
        <v>0</v>
      </c>
      <c r="AD267" s="9" t="s">
        <v>34</v>
      </c>
      <c r="AE267" s="9" t="s">
        <v>63</v>
      </c>
    </row>
    <row r="268" spans="1:31" x14ac:dyDescent="0.25">
      <c r="A268" s="9" t="s">
        <v>531</v>
      </c>
      <c r="B268" s="10" t="s">
        <v>290</v>
      </c>
      <c r="C268" s="1" t="s">
        <v>668</v>
      </c>
      <c r="D268" s="10">
        <v>2</v>
      </c>
      <c r="E268" s="10">
        <v>2007</v>
      </c>
      <c r="F268" s="9" t="s">
        <v>38</v>
      </c>
      <c r="G268" s="9" t="s">
        <v>54</v>
      </c>
      <c r="H268" s="1">
        <v>10.5</v>
      </c>
      <c r="I268" s="1">
        <v>1.92</v>
      </c>
      <c r="J268" s="9" t="s">
        <v>31</v>
      </c>
      <c r="K268" s="1" t="s">
        <v>31</v>
      </c>
      <c r="L268" s="10">
        <v>20</v>
      </c>
      <c r="M268" s="3">
        <v>-0.2</v>
      </c>
      <c r="N268" s="11">
        <v>4.8505263157894739E-2</v>
      </c>
      <c r="O268" t="s">
        <v>63</v>
      </c>
      <c r="P268" s="11">
        <v>-0.20273255405408211</v>
      </c>
      <c r="Q268" s="11">
        <v>5.8823529411764712E-2</v>
      </c>
      <c r="R268">
        <v>-0.20605190001628321</v>
      </c>
      <c r="S268">
        <v>4.8257255714888543E-2</v>
      </c>
      <c r="T268" s="9" t="s">
        <v>40</v>
      </c>
      <c r="U268" s="9" t="s">
        <v>31</v>
      </c>
      <c r="V268" s="9" t="s">
        <v>276</v>
      </c>
      <c r="W268" s="9" t="s">
        <v>370</v>
      </c>
      <c r="X268" s="1">
        <v>11</v>
      </c>
      <c r="Y268" s="1">
        <v>15</v>
      </c>
      <c r="Z268" s="3">
        <f t="shared" si="9"/>
        <v>0.73333333333333328</v>
      </c>
      <c r="AA268" s="11">
        <v>-0.26815659196446789</v>
      </c>
      <c r="AB268" s="11">
        <v>0.299348896568147</v>
      </c>
      <c r="AC268" s="10">
        <v>0</v>
      </c>
      <c r="AD268" s="9" t="s">
        <v>34</v>
      </c>
      <c r="AE268" s="9" t="s">
        <v>63</v>
      </c>
    </row>
    <row r="269" spans="1:31" x14ac:dyDescent="0.25">
      <c r="A269" s="9" t="s">
        <v>534</v>
      </c>
      <c r="B269" s="10" t="s">
        <v>475</v>
      </c>
      <c r="C269" s="1" t="s">
        <v>669</v>
      </c>
      <c r="D269" s="10">
        <v>2</v>
      </c>
      <c r="E269" s="10">
        <v>2007</v>
      </c>
      <c r="F269" s="9" t="s">
        <v>28</v>
      </c>
      <c r="G269" s="9" t="s">
        <v>29</v>
      </c>
      <c r="H269" s="1">
        <v>40.6</v>
      </c>
      <c r="I269" s="1">
        <v>10.4</v>
      </c>
      <c r="J269" s="9" t="s">
        <v>30</v>
      </c>
      <c r="K269" s="1">
        <v>0.9</v>
      </c>
      <c r="L269" s="10">
        <v>44</v>
      </c>
      <c r="M269" s="3">
        <v>0.26400000000000001</v>
      </c>
      <c r="N269" s="11">
        <v>2.0127105405023261E-2</v>
      </c>
      <c r="O269" t="s">
        <v>63</v>
      </c>
      <c r="P269" s="11">
        <v>0.27040322798896332</v>
      </c>
      <c r="Q269" s="11">
        <v>2.4390243902439029E-2</v>
      </c>
      <c r="R269">
        <v>0.26707627540925671</v>
      </c>
      <c r="S269">
        <v>2.005647575793796E-2</v>
      </c>
      <c r="T269" s="9" t="s">
        <v>40</v>
      </c>
      <c r="U269" s="9" t="s">
        <v>46</v>
      </c>
      <c r="V269" s="9" t="s">
        <v>276</v>
      </c>
      <c r="W269" s="9" t="s">
        <v>296</v>
      </c>
      <c r="X269" s="1">
        <v>13.7</v>
      </c>
      <c r="Y269" s="1">
        <v>15</v>
      </c>
      <c r="Z269" s="3">
        <f t="shared" si="9"/>
        <v>0.91333333333333333</v>
      </c>
      <c r="AA269" s="11">
        <v>0.28706932928879442</v>
      </c>
      <c r="AB269" s="11">
        <v>0.15962283444759079</v>
      </c>
      <c r="AC269" s="10">
        <v>0</v>
      </c>
      <c r="AD269" s="9" t="s">
        <v>34</v>
      </c>
      <c r="AE269" s="9" t="s">
        <v>63</v>
      </c>
    </row>
    <row r="270" spans="1:31" x14ac:dyDescent="0.25">
      <c r="A270" s="9" t="s">
        <v>534</v>
      </c>
      <c r="B270" s="10" t="s">
        <v>473</v>
      </c>
      <c r="C270" s="1" t="s">
        <v>670</v>
      </c>
      <c r="D270" s="10">
        <v>2</v>
      </c>
      <c r="E270" s="10">
        <v>2007</v>
      </c>
      <c r="F270" s="9" t="s">
        <v>38</v>
      </c>
      <c r="G270" s="9" t="s">
        <v>29</v>
      </c>
      <c r="H270" s="1">
        <v>40.799999999999997</v>
      </c>
      <c r="I270" s="1">
        <v>9.4</v>
      </c>
      <c r="J270" s="9" t="s">
        <v>30</v>
      </c>
      <c r="K270" s="1">
        <v>0.9</v>
      </c>
      <c r="L270" s="10">
        <v>44</v>
      </c>
      <c r="M270" s="3">
        <v>0.39800000000000002</v>
      </c>
      <c r="N270" s="11">
        <v>1.6471716912000001E-2</v>
      </c>
      <c r="O270" t="s">
        <v>63</v>
      </c>
      <c r="P270" s="11">
        <v>0.42127023874246738</v>
      </c>
      <c r="Q270" s="11">
        <v>2.4390243902439029E-2</v>
      </c>
      <c r="R270">
        <v>0.40217388860505499</v>
      </c>
      <c r="S270">
        <v>1.6341241752352478E-2</v>
      </c>
      <c r="T270" s="9" t="s">
        <v>40</v>
      </c>
      <c r="U270" s="9" t="s">
        <v>46</v>
      </c>
      <c r="V270" s="9" t="s">
        <v>276</v>
      </c>
      <c r="W270" s="9" t="s">
        <v>296</v>
      </c>
      <c r="X270" s="1">
        <v>14.8</v>
      </c>
      <c r="Y270" s="1">
        <v>15</v>
      </c>
      <c r="Z270" s="3">
        <f t="shared" si="9"/>
        <v>0.98666666666666669</v>
      </c>
      <c r="AA270" s="11">
        <v>0.40251187459320742</v>
      </c>
      <c r="AB270" s="11">
        <v>0.14254597994546561</v>
      </c>
      <c r="AC270" s="10">
        <v>0</v>
      </c>
      <c r="AD270" s="9" t="s">
        <v>34</v>
      </c>
      <c r="AE270" s="9" t="s">
        <v>63</v>
      </c>
    </row>
    <row r="271" spans="1:31" x14ac:dyDescent="0.25">
      <c r="A271" s="9" t="s">
        <v>536</v>
      </c>
      <c r="B271" s="10" t="s">
        <v>207</v>
      </c>
      <c r="C271" s="1" t="s">
        <v>671</v>
      </c>
      <c r="D271" s="10">
        <v>2</v>
      </c>
      <c r="E271" s="10">
        <v>2007</v>
      </c>
      <c r="F271" s="9" t="s">
        <v>28</v>
      </c>
      <c r="G271" s="9" t="s">
        <v>29</v>
      </c>
      <c r="H271" s="1">
        <v>40.9</v>
      </c>
      <c r="I271" s="1" t="s">
        <v>31</v>
      </c>
      <c r="J271" s="9" t="s">
        <v>39</v>
      </c>
      <c r="K271" s="1">
        <v>0</v>
      </c>
      <c r="L271" s="10">
        <v>68</v>
      </c>
      <c r="M271" s="3">
        <v>0.433</v>
      </c>
      <c r="N271" s="11">
        <v>9.8533451510597007E-3</v>
      </c>
      <c r="O271" t="s">
        <v>63</v>
      </c>
      <c r="P271" s="11">
        <v>0.46358306205020988</v>
      </c>
      <c r="Q271" s="11">
        <v>1.5384615384615391E-2</v>
      </c>
      <c r="R271">
        <v>0.43574066619837259</v>
      </c>
      <c r="S271">
        <v>9.7956825860999429E-3</v>
      </c>
      <c r="T271" s="9" t="s">
        <v>40</v>
      </c>
      <c r="U271" s="9" t="s">
        <v>46</v>
      </c>
      <c r="V271" s="9" t="s">
        <v>276</v>
      </c>
      <c r="W271" s="9" t="s">
        <v>359</v>
      </c>
      <c r="X271" s="1" t="s">
        <v>31</v>
      </c>
      <c r="Y271" s="1" t="s">
        <v>31</v>
      </c>
      <c r="Z271" s="3" t="s">
        <v>31</v>
      </c>
      <c r="AA271" s="11" t="s">
        <v>31</v>
      </c>
      <c r="AB271" s="11" t="s">
        <v>31</v>
      </c>
      <c r="AC271" s="10">
        <v>0</v>
      </c>
      <c r="AD271" s="9" t="s">
        <v>34</v>
      </c>
      <c r="AE271" s="9" t="s">
        <v>63</v>
      </c>
    </row>
    <row r="272" spans="1:31" x14ac:dyDescent="0.25">
      <c r="A272" s="9" t="s">
        <v>536</v>
      </c>
      <c r="B272" s="10" t="s">
        <v>478</v>
      </c>
      <c r="C272" s="1" t="s">
        <v>672</v>
      </c>
      <c r="D272" s="10">
        <v>2</v>
      </c>
      <c r="E272" s="10">
        <v>2007</v>
      </c>
      <c r="F272" s="9" t="s">
        <v>38</v>
      </c>
      <c r="G272" s="9" t="s">
        <v>29</v>
      </c>
      <c r="H272" s="1">
        <v>34.32</v>
      </c>
      <c r="I272" s="1" t="s">
        <v>31</v>
      </c>
      <c r="J272" s="9" t="s">
        <v>39</v>
      </c>
      <c r="K272" s="1">
        <v>0</v>
      </c>
      <c r="L272" s="10">
        <v>22</v>
      </c>
      <c r="M272" s="3">
        <v>0.53600000000000003</v>
      </c>
      <c r="N272" s="11">
        <v>2.4187951981714289E-2</v>
      </c>
      <c r="O272" t="s">
        <v>63</v>
      </c>
      <c r="P272" s="11">
        <v>0.5985261807406812</v>
      </c>
      <c r="Q272" s="11">
        <v>5.2631578947368418E-2</v>
      </c>
      <c r="R272">
        <v>0.54635091840472938</v>
      </c>
      <c r="S272">
        <v>2.3433485503045779E-2</v>
      </c>
      <c r="T272" s="9" t="s">
        <v>40</v>
      </c>
      <c r="U272" s="9" t="s">
        <v>46</v>
      </c>
      <c r="V272" s="9" t="s">
        <v>276</v>
      </c>
      <c r="W272" s="9" t="s">
        <v>359</v>
      </c>
      <c r="X272" s="1" t="s">
        <v>31</v>
      </c>
      <c r="Y272" s="1" t="s">
        <v>31</v>
      </c>
      <c r="Z272" s="3" t="s">
        <v>31</v>
      </c>
      <c r="AA272" s="11" t="s">
        <v>31</v>
      </c>
      <c r="AB272" s="11" t="s">
        <v>31</v>
      </c>
      <c r="AC272" s="10">
        <v>0</v>
      </c>
      <c r="AD272" s="9" t="s">
        <v>34</v>
      </c>
      <c r="AE272" s="9" t="s">
        <v>63</v>
      </c>
    </row>
    <row r="273" spans="1:31" x14ac:dyDescent="0.25">
      <c r="A273" s="9" t="s">
        <v>536</v>
      </c>
      <c r="B273" s="10" t="s">
        <v>479</v>
      </c>
      <c r="C273" s="1" t="s">
        <v>673</v>
      </c>
      <c r="D273" s="10">
        <v>2</v>
      </c>
      <c r="E273" s="10">
        <v>2007</v>
      </c>
      <c r="F273" s="9" t="s">
        <v>28</v>
      </c>
      <c r="G273" s="9" t="s">
        <v>29</v>
      </c>
      <c r="H273" s="1">
        <v>39.659999999999997</v>
      </c>
      <c r="I273" s="1" t="s">
        <v>31</v>
      </c>
      <c r="J273" s="9" t="s">
        <v>43</v>
      </c>
      <c r="K273" s="1">
        <v>1</v>
      </c>
      <c r="L273" s="10">
        <v>202</v>
      </c>
      <c r="M273" s="3">
        <v>0.28299999999999997</v>
      </c>
      <c r="N273" s="11">
        <v>4.2101305866716421E-3</v>
      </c>
      <c r="O273" t="s">
        <v>63</v>
      </c>
      <c r="P273" s="11">
        <v>0.29094026200800788</v>
      </c>
      <c r="Q273" s="11">
        <v>5.0251256281407036E-3</v>
      </c>
      <c r="R273">
        <v>0.28365763471232741</v>
      </c>
      <c r="S273">
        <v>4.2067202500491408E-3</v>
      </c>
      <c r="T273" s="9" t="s">
        <v>40</v>
      </c>
      <c r="U273" s="9" t="s">
        <v>46</v>
      </c>
      <c r="V273" s="9" t="s">
        <v>276</v>
      </c>
      <c r="W273" s="9" t="s">
        <v>359</v>
      </c>
      <c r="X273" s="1" t="s">
        <v>31</v>
      </c>
      <c r="Y273" s="1" t="s">
        <v>31</v>
      </c>
      <c r="Z273" s="3" t="s">
        <v>31</v>
      </c>
      <c r="AA273" s="11" t="s">
        <v>31</v>
      </c>
      <c r="AB273" s="11" t="s">
        <v>31</v>
      </c>
      <c r="AC273" s="10">
        <v>0</v>
      </c>
      <c r="AD273" s="9" t="s">
        <v>34</v>
      </c>
      <c r="AE273" s="9" t="s">
        <v>63</v>
      </c>
    </row>
    <row r="274" spans="1:31" x14ac:dyDescent="0.25">
      <c r="A274" s="9" t="s">
        <v>536</v>
      </c>
      <c r="B274" s="10" t="s">
        <v>404</v>
      </c>
      <c r="C274" s="1" t="s">
        <v>674</v>
      </c>
      <c r="D274" s="10">
        <v>2</v>
      </c>
      <c r="E274" s="10">
        <v>2007</v>
      </c>
      <c r="F274" s="9" t="s">
        <v>38</v>
      </c>
      <c r="G274" s="9" t="s">
        <v>29</v>
      </c>
      <c r="H274" s="1">
        <v>37.770000000000003</v>
      </c>
      <c r="I274" s="1" t="s">
        <v>31</v>
      </c>
      <c r="J274" s="9" t="s">
        <v>43</v>
      </c>
      <c r="K274" s="1">
        <v>1</v>
      </c>
      <c r="L274" s="10">
        <v>35</v>
      </c>
      <c r="M274" s="3">
        <v>0.376</v>
      </c>
      <c r="N274" s="11">
        <v>2.16833874522353E-2</v>
      </c>
      <c r="O274" t="s">
        <v>63</v>
      </c>
      <c r="P274" s="11">
        <v>0.39539282506193058</v>
      </c>
      <c r="Q274" s="11">
        <v>3.125E-2</v>
      </c>
      <c r="R274">
        <v>0.38119193777070348</v>
      </c>
      <c r="S274">
        <v>2.148528301996119E-2</v>
      </c>
      <c r="T274" s="9" t="s">
        <v>40</v>
      </c>
      <c r="U274" s="9" t="s">
        <v>46</v>
      </c>
      <c r="V274" s="9" t="s">
        <v>276</v>
      </c>
      <c r="W274" s="9" t="s">
        <v>359</v>
      </c>
      <c r="X274" s="1" t="s">
        <v>31</v>
      </c>
      <c r="Y274" s="1" t="s">
        <v>31</v>
      </c>
      <c r="Z274" s="3" t="s">
        <v>31</v>
      </c>
      <c r="AA274" s="11" t="s">
        <v>31</v>
      </c>
      <c r="AB274" s="11" t="s">
        <v>31</v>
      </c>
      <c r="AC274" s="10">
        <v>0</v>
      </c>
      <c r="AD274" s="9" t="s">
        <v>34</v>
      </c>
      <c r="AE274" s="9" t="s">
        <v>63</v>
      </c>
    </row>
    <row r="275" spans="1:31" x14ac:dyDescent="0.25">
      <c r="A275" s="9" t="s">
        <v>537</v>
      </c>
      <c r="B275" s="10" t="s">
        <v>480</v>
      </c>
      <c r="C275" s="1" t="s">
        <v>675</v>
      </c>
      <c r="D275" s="10">
        <v>2</v>
      </c>
      <c r="E275" s="10">
        <v>2007</v>
      </c>
      <c r="F275" s="9" t="s">
        <v>38</v>
      </c>
      <c r="G275" s="9" t="s">
        <v>54</v>
      </c>
      <c r="H275" s="1">
        <v>13.1</v>
      </c>
      <c r="I275" s="1">
        <v>3.1</v>
      </c>
      <c r="J275" s="9" t="s">
        <v>43</v>
      </c>
      <c r="K275" s="1">
        <v>1</v>
      </c>
      <c r="L275" s="10">
        <v>22</v>
      </c>
      <c r="M275" s="3">
        <v>0.38</v>
      </c>
      <c r="N275" s="11">
        <v>3.4859588571428582E-2</v>
      </c>
      <c r="O275">
        <v>489</v>
      </c>
      <c r="P275" s="11">
        <v>0.40005965005605648</v>
      </c>
      <c r="Q275" s="11">
        <v>5.2631578947368418E-2</v>
      </c>
      <c r="R275">
        <v>0.38897396362192138</v>
      </c>
      <c r="S275">
        <v>3.4299544118912367E-2</v>
      </c>
      <c r="T275" s="9" t="s">
        <v>40</v>
      </c>
      <c r="U275" s="9" t="s">
        <v>50</v>
      </c>
      <c r="V275" s="9" t="s">
        <v>276</v>
      </c>
      <c r="W275" s="9" t="s">
        <v>369</v>
      </c>
      <c r="X275" s="1">
        <v>14</v>
      </c>
      <c r="Y275" s="1">
        <v>15</v>
      </c>
      <c r="Z275" s="3">
        <f t="shared" ref="Z275:Z325" si="10">X275/Y275</f>
        <v>0.93333333333333335</v>
      </c>
      <c r="AA275" s="11">
        <v>0.40286196729986118</v>
      </c>
      <c r="AB275" s="11">
        <v>0.21469007173181401</v>
      </c>
      <c r="AC275" s="10">
        <v>2</v>
      </c>
      <c r="AD275" s="9" t="s">
        <v>41</v>
      </c>
      <c r="AE275" s="9" t="s">
        <v>35</v>
      </c>
    </row>
    <row r="276" spans="1:31" x14ac:dyDescent="0.25">
      <c r="A276" s="9" t="s">
        <v>538</v>
      </c>
      <c r="B276" s="10" t="s">
        <v>481</v>
      </c>
      <c r="C276" s="1" t="s">
        <v>676</v>
      </c>
      <c r="D276" s="10">
        <v>2</v>
      </c>
      <c r="E276" s="10">
        <v>2008</v>
      </c>
      <c r="F276" s="9" t="s">
        <v>38</v>
      </c>
      <c r="G276" s="9" t="s">
        <v>29</v>
      </c>
      <c r="H276" s="1">
        <v>31.5</v>
      </c>
      <c r="I276" s="1">
        <v>11.1</v>
      </c>
      <c r="J276" s="9" t="s">
        <v>30</v>
      </c>
      <c r="K276" s="1">
        <v>0.56000000000000005</v>
      </c>
      <c r="L276" s="10">
        <v>27</v>
      </c>
      <c r="M276" s="3">
        <v>-0.29299999999999998</v>
      </c>
      <c r="N276" s="11">
        <v>3.2141232723115393E-2</v>
      </c>
      <c r="O276" t="s">
        <v>63</v>
      </c>
      <c r="P276" s="11">
        <v>-0.30184485643764231</v>
      </c>
      <c r="Q276" s="11">
        <v>4.1666666666666657E-2</v>
      </c>
      <c r="R276">
        <v>-0.29883129671523317</v>
      </c>
      <c r="S276">
        <v>3.1899008765650827E-2</v>
      </c>
      <c r="T276" s="9" t="s">
        <v>40</v>
      </c>
      <c r="U276" s="9" t="s">
        <v>31</v>
      </c>
      <c r="V276" s="9" t="s">
        <v>276</v>
      </c>
      <c r="W276" s="9" t="s">
        <v>278</v>
      </c>
      <c r="X276" s="1">
        <v>17.399999999999999</v>
      </c>
      <c r="Y276" s="1">
        <v>15</v>
      </c>
      <c r="Z276" s="3">
        <f t="shared" si="10"/>
        <v>1.1599999999999999</v>
      </c>
      <c r="AA276" s="11">
        <v>-0.2554177823114912</v>
      </c>
      <c r="AB276" s="11">
        <v>0.17045332279178119</v>
      </c>
      <c r="AC276" s="10">
        <v>3</v>
      </c>
      <c r="AD276" s="9" t="s">
        <v>41</v>
      </c>
      <c r="AE276" s="9" t="s">
        <v>63</v>
      </c>
    </row>
    <row r="277" spans="1:31" x14ac:dyDescent="0.25">
      <c r="A277" s="9" t="s">
        <v>865</v>
      </c>
      <c r="B277" s="10" t="s">
        <v>1059</v>
      </c>
      <c r="C277" s="1" t="s">
        <v>677</v>
      </c>
      <c r="D277" s="10">
        <v>2</v>
      </c>
      <c r="E277" s="10">
        <v>2008</v>
      </c>
      <c r="F277" s="9" t="s">
        <v>28</v>
      </c>
      <c r="G277" s="9" t="s">
        <v>29</v>
      </c>
      <c r="H277" s="1">
        <v>34.520000000000003</v>
      </c>
      <c r="I277" s="1">
        <v>10.34</v>
      </c>
      <c r="J277" s="9" t="s">
        <v>30</v>
      </c>
      <c r="K277" s="1">
        <v>0.68</v>
      </c>
      <c r="L277" s="10">
        <v>44</v>
      </c>
      <c r="M277" s="3">
        <v>0.15</v>
      </c>
      <c r="N277" s="11">
        <v>2.2221075581395348E-2</v>
      </c>
      <c r="O277" t="s">
        <v>63</v>
      </c>
      <c r="P277" s="11">
        <v>0.15114043593646681</v>
      </c>
      <c r="Q277" s="11">
        <v>2.4390243902439029E-2</v>
      </c>
      <c r="R277">
        <v>0.1518416667516731</v>
      </c>
      <c r="S277">
        <v>2.2195809084211291E-2</v>
      </c>
      <c r="T277" s="9" t="s">
        <v>40</v>
      </c>
      <c r="U277" s="9" t="s">
        <v>50</v>
      </c>
      <c r="V277" s="9" t="s">
        <v>276</v>
      </c>
      <c r="W277" s="9" t="s">
        <v>373</v>
      </c>
      <c r="X277" s="1" t="s">
        <v>31</v>
      </c>
      <c r="Y277" s="1" t="s">
        <v>31</v>
      </c>
      <c r="Z277" s="3" t="s">
        <v>31</v>
      </c>
      <c r="AA277" s="11" t="s">
        <v>31</v>
      </c>
      <c r="AB277" s="11" t="s">
        <v>31</v>
      </c>
      <c r="AC277" s="10">
        <v>0</v>
      </c>
      <c r="AD277" s="9" t="s">
        <v>34</v>
      </c>
      <c r="AE277" s="9" t="s">
        <v>63</v>
      </c>
    </row>
    <row r="278" spans="1:31" x14ac:dyDescent="0.25">
      <c r="A278" s="9" t="s">
        <v>865</v>
      </c>
      <c r="B278" s="10" t="s">
        <v>1060</v>
      </c>
      <c r="C278" s="1" t="s">
        <v>678</v>
      </c>
      <c r="D278" s="10">
        <v>2</v>
      </c>
      <c r="E278" s="10">
        <v>2008</v>
      </c>
      <c r="F278" s="9" t="s">
        <v>38</v>
      </c>
      <c r="G278" s="9" t="s">
        <v>29</v>
      </c>
      <c r="H278" s="1">
        <v>32.450000000000003</v>
      </c>
      <c r="I278" s="1">
        <v>12.88</v>
      </c>
      <c r="J278" s="9" t="s">
        <v>30</v>
      </c>
      <c r="K278" s="1">
        <v>0.51</v>
      </c>
      <c r="L278" s="10">
        <v>37</v>
      </c>
      <c r="M278" s="3">
        <v>-0.13</v>
      </c>
      <c r="N278" s="11">
        <v>2.6846822499999999E-2</v>
      </c>
      <c r="O278" t="s">
        <v>63</v>
      </c>
      <c r="P278" s="11">
        <v>-0.13073985002887839</v>
      </c>
      <c r="Q278" s="11">
        <v>2.9411764705882349E-2</v>
      </c>
      <c r="R278">
        <v>-0.1319484595071922</v>
      </c>
      <c r="S278">
        <v>2.681895360986283E-2</v>
      </c>
      <c r="T278" s="9" t="s">
        <v>40</v>
      </c>
      <c r="U278" s="9" t="s">
        <v>50</v>
      </c>
      <c r="V278" s="9" t="s">
        <v>276</v>
      </c>
      <c r="W278" s="9" t="s">
        <v>373</v>
      </c>
      <c r="X278" s="1" t="s">
        <v>31</v>
      </c>
      <c r="Y278" s="1" t="s">
        <v>31</v>
      </c>
      <c r="Z278" s="3" t="s">
        <v>31</v>
      </c>
      <c r="AA278" s="11" t="s">
        <v>31</v>
      </c>
      <c r="AB278" s="11" t="s">
        <v>31</v>
      </c>
      <c r="AC278" s="10">
        <v>0</v>
      </c>
      <c r="AD278" s="9" t="s">
        <v>34</v>
      </c>
      <c r="AE278" s="9" t="s">
        <v>63</v>
      </c>
    </row>
    <row r="279" spans="1:31" x14ac:dyDescent="0.25">
      <c r="A279" s="9" t="s">
        <v>203</v>
      </c>
      <c r="B279" s="10" t="s">
        <v>483</v>
      </c>
      <c r="C279" s="1" t="s">
        <v>679</v>
      </c>
      <c r="D279" s="10">
        <v>2</v>
      </c>
      <c r="E279" s="10">
        <v>2008</v>
      </c>
      <c r="F279" s="9" t="s">
        <v>28</v>
      </c>
      <c r="G279" s="9" t="s">
        <v>29</v>
      </c>
      <c r="H279" s="1">
        <v>59.75</v>
      </c>
      <c r="I279" s="1" t="s">
        <v>31</v>
      </c>
      <c r="J279" s="9" t="s">
        <v>30</v>
      </c>
      <c r="K279" s="1">
        <v>0.25</v>
      </c>
      <c r="L279" s="10">
        <v>31</v>
      </c>
      <c r="M279" s="3">
        <v>0.152</v>
      </c>
      <c r="N279" s="11">
        <v>3.18108598272E-2</v>
      </c>
      <c r="O279" t="s">
        <v>63</v>
      </c>
      <c r="P279" s="11">
        <v>0.1531871027319667</v>
      </c>
      <c r="Q279" s="11">
        <v>3.5714285714285712E-2</v>
      </c>
      <c r="R279">
        <v>0.15476899739167499</v>
      </c>
      <c r="S279">
        <v>3.1755562743430707E-2</v>
      </c>
      <c r="T279" s="9" t="s">
        <v>40</v>
      </c>
      <c r="U279" s="9" t="s">
        <v>31</v>
      </c>
      <c r="V279" s="9" t="s">
        <v>276</v>
      </c>
      <c r="W279" s="9" t="s">
        <v>878</v>
      </c>
      <c r="X279" s="1" t="s">
        <v>31</v>
      </c>
      <c r="Y279" s="1" t="s">
        <v>31</v>
      </c>
      <c r="Z279" s="3" t="s">
        <v>31</v>
      </c>
      <c r="AA279" s="11" t="s">
        <v>31</v>
      </c>
      <c r="AB279" s="11" t="s">
        <v>31</v>
      </c>
      <c r="AC279" s="10">
        <v>0</v>
      </c>
      <c r="AD279" s="9" t="s">
        <v>41</v>
      </c>
      <c r="AE279" s="9" t="s">
        <v>63</v>
      </c>
    </row>
    <row r="280" spans="1:31" x14ac:dyDescent="0.25">
      <c r="A280" s="9" t="s">
        <v>203</v>
      </c>
      <c r="B280" s="10" t="s">
        <v>482</v>
      </c>
      <c r="C280" s="1" t="s">
        <v>680</v>
      </c>
      <c r="D280" s="10">
        <v>2</v>
      </c>
      <c r="E280" s="10">
        <v>2008</v>
      </c>
      <c r="F280" s="9" t="s">
        <v>38</v>
      </c>
      <c r="G280" s="9" t="s">
        <v>29</v>
      </c>
      <c r="H280" s="1">
        <v>51.11</v>
      </c>
      <c r="I280" s="1" t="s">
        <v>31</v>
      </c>
      <c r="J280" s="9" t="s">
        <v>30</v>
      </c>
      <c r="K280" s="1">
        <v>0.43</v>
      </c>
      <c r="L280" s="10">
        <v>55</v>
      </c>
      <c r="M280" s="3">
        <v>0.13300000000000001</v>
      </c>
      <c r="N280" s="11">
        <v>1.7869164828166671E-2</v>
      </c>
      <c r="O280" t="s">
        <v>63</v>
      </c>
      <c r="P280" s="11">
        <v>0.13379264212373229</v>
      </c>
      <c r="Q280" s="11">
        <v>1.9230769230769228E-2</v>
      </c>
      <c r="R280">
        <v>0.13428602743927481</v>
      </c>
      <c r="S280">
        <v>1.7856661208867291E-2</v>
      </c>
      <c r="T280" s="9" t="s">
        <v>40</v>
      </c>
      <c r="U280" s="9" t="s">
        <v>31</v>
      </c>
      <c r="V280" s="9" t="s">
        <v>276</v>
      </c>
      <c r="W280" s="9" t="s">
        <v>878</v>
      </c>
      <c r="X280" s="1" t="s">
        <v>31</v>
      </c>
      <c r="Y280" s="1" t="s">
        <v>31</v>
      </c>
      <c r="Z280" s="3" t="s">
        <v>31</v>
      </c>
      <c r="AA280" s="11" t="s">
        <v>31</v>
      </c>
      <c r="AB280" s="11" t="s">
        <v>31</v>
      </c>
      <c r="AC280" s="10">
        <v>0</v>
      </c>
      <c r="AD280" s="9" t="s">
        <v>41</v>
      </c>
      <c r="AE280" s="9" t="s">
        <v>63</v>
      </c>
    </row>
    <row r="281" spans="1:31" x14ac:dyDescent="0.25">
      <c r="A281" s="9" t="s">
        <v>853</v>
      </c>
      <c r="B281" s="10" t="s">
        <v>1061</v>
      </c>
      <c r="C281" s="1" t="s">
        <v>681</v>
      </c>
      <c r="D281" s="10">
        <v>2</v>
      </c>
      <c r="E281" s="10">
        <v>2009</v>
      </c>
      <c r="F281" s="9" t="s">
        <v>28</v>
      </c>
      <c r="G281" s="9" t="s">
        <v>54</v>
      </c>
      <c r="H281" s="1">
        <v>14.5</v>
      </c>
      <c r="I281" s="1">
        <v>1.5</v>
      </c>
      <c r="J281" s="9" t="s">
        <v>30</v>
      </c>
      <c r="K281" s="1">
        <v>0.08</v>
      </c>
      <c r="L281" s="10">
        <v>12</v>
      </c>
      <c r="M281" s="3">
        <v>0.112</v>
      </c>
      <c r="N281" s="11">
        <v>8.8642668357818186E-2</v>
      </c>
      <c r="O281" t="s">
        <v>63</v>
      </c>
      <c r="P281" s="11">
        <v>0.1124718659091789</v>
      </c>
      <c r="Q281" s="11">
        <v>0.1111111111111111</v>
      </c>
      <c r="R281">
        <v>0.11908057439597421</v>
      </c>
      <c r="S281">
        <v>8.8349155563508364E-2</v>
      </c>
      <c r="T281" s="9" t="s">
        <v>40</v>
      </c>
      <c r="U281" s="9" t="s">
        <v>31</v>
      </c>
      <c r="V281" s="9" t="s">
        <v>276</v>
      </c>
      <c r="W281" s="9" t="s">
        <v>356</v>
      </c>
      <c r="X281" s="1" t="s">
        <v>31</v>
      </c>
      <c r="Y281" s="1" t="s">
        <v>31</v>
      </c>
      <c r="Z281" s="3" t="s">
        <v>31</v>
      </c>
      <c r="AA281" s="11" t="s">
        <v>31</v>
      </c>
      <c r="AB281" s="11" t="s">
        <v>31</v>
      </c>
      <c r="AC281" s="10">
        <v>0</v>
      </c>
      <c r="AD281" s="9" t="s">
        <v>34</v>
      </c>
      <c r="AE281" s="9" t="s">
        <v>63</v>
      </c>
    </row>
    <row r="282" spans="1:31" x14ac:dyDescent="0.25">
      <c r="A282" s="9" t="s">
        <v>853</v>
      </c>
      <c r="B282" s="10" t="s">
        <v>1062</v>
      </c>
      <c r="C282" s="1" t="s">
        <v>682</v>
      </c>
      <c r="D282" s="10">
        <v>2</v>
      </c>
      <c r="E282" s="10">
        <v>2009</v>
      </c>
      <c r="F282" s="9" t="s">
        <v>38</v>
      </c>
      <c r="G282" s="9" t="s">
        <v>54</v>
      </c>
      <c r="H282" s="1">
        <v>14.6</v>
      </c>
      <c r="I282" s="1">
        <v>3.2</v>
      </c>
      <c r="J282" s="9" t="s">
        <v>30</v>
      </c>
      <c r="K282" s="1">
        <v>0.11</v>
      </c>
      <c r="L282" s="10">
        <v>9</v>
      </c>
      <c r="M282" s="3">
        <v>0.42599999999999999</v>
      </c>
      <c r="N282" s="11">
        <v>8.3747692322000009E-2</v>
      </c>
      <c r="O282" t="s">
        <v>63</v>
      </c>
      <c r="P282" s="11">
        <v>0.45499960232733738</v>
      </c>
      <c r="Q282" s="11">
        <v>0.16666666666666671</v>
      </c>
      <c r="R282">
        <v>0.45875342799938579</v>
      </c>
      <c r="S282">
        <v>7.7922721073902149E-2</v>
      </c>
      <c r="T282" s="9" t="s">
        <v>40</v>
      </c>
      <c r="U282" s="9" t="s">
        <v>31</v>
      </c>
      <c r="V282" s="9" t="s">
        <v>276</v>
      </c>
      <c r="W282" s="9" t="s">
        <v>356</v>
      </c>
      <c r="X282" s="1" t="s">
        <v>31</v>
      </c>
      <c r="Y282" s="1" t="s">
        <v>31</v>
      </c>
      <c r="Z282" s="3" t="s">
        <v>31</v>
      </c>
      <c r="AA282" s="11" t="s">
        <v>31</v>
      </c>
      <c r="AB282" s="11" t="s">
        <v>31</v>
      </c>
      <c r="AC282" s="10">
        <v>0</v>
      </c>
      <c r="AD282" s="9" t="s">
        <v>34</v>
      </c>
      <c r="AE282" s="9" t="s">
        <v>63</v>
      </c>
    </row>
    <row r="283" spans="1:31" x14ac:dyDescent="0.25">
      <c r="A283" s="9" t="s">
        <v>540</v>
      </c>
      <c r="B283" s="10" t="s">
        <v>485</v>
      </c>
      <c r="C283" s="1" t="s">
        <v>683</v>
      </c>
      <c r="D283" s="10">
        <v>2</v>
      </c>
      <c r="E283" s="10">
        <v>2009</v>
      </c>
      <c r="F283" s="9" t="s">
        <v>38</v>
      </c>
      <c r="G283" s="9" t="s">
        <v>54</v>
      </c>
      <c r="H283" s="1">
        <v>12.08</v>
      </c>
      <c r="I283" s="1">
        <v>6.85</v>
      </c>
      <c r="J283" s="9" t="s">
        <v>31</v>
      </c>
      <c r="K283" s="1" t="s">
        <v>31</v>
      </c>
      <c r="L283" s="10">
        <v>11</v>
      </c>
      <c r="M283" s="3">
        <v>-0.65</v>
      </c>
      <c r="N283" s="11">
        <v>3.3350624999999988E-2</v>
      </c>
      <c r="O283">
        <v>279</v>
      </c>
      <c r="P283" s="11">
        <v>-0.7752987062055835</v>
      </c>
      <c r="Q283" s="11">
        <v>0.125</v>
      </c>
      <c r="R283">
        <v>-0.6739244302426366</v>
      </c>
      <c r="S283">
        <v>2.9792587197970521E-2</v>
      </c>
      <c r="T283" s="9" t="s">
        <v>40</v>
      </c>
      <c r="U283" s="9" t="s">
        <v>50</v>
      </c>
      <c r="V283" s="9" t="s">
        <v>276</v>
      </c>
      <c r="W283" s="9" t="s">
        <v>879</v>
      </c>
      <c r="X283" s="1" t="s">
        <v>31</v>
      </c>
      <c r="Y283" s="1" t="s">
        <v>31</v>
      </c>
      <c r="Z283" s="3" t="s">
        <v>31</v>
      </c>
      <c r="AA283" s="11" t="s">
        <v>31</v>
      </c>
      <c r="AB283" s="11" t="s">
        <v>31</v>
      </c>
      <c r="AC283" s="10">
        <v>0</v>
      </c>
      <c r="AD283" s="9" t="s">
        <v>34</v>
      </c>
      <c r="AE283" s="9" t="s">
        <v>35</v>
      </c>
    </row>
    <row r="284" spans="1:31" x14ac:dyDescent="0.25">
      <c r="A284" s="9" t="s">
        <v>540</v>
      </c>
      <c r="B284" s="10" t="s">
        <v>484</v>
      </c>
      <c r="C284" s="1" t="s">
        <v>684</v>
      </c>
      <c r="D284" s="10">
        <v>2</v>
      </c>
      <c r="E284" s="10">
        <v>2009</v>
      </c>
      <c r="F284" s="9" t="s">
        <v>38</v>
      </c>
      <c r="G284" s="9" t="s">
        <v>54</v>
      </c>
      <c r="H284" s="1">
        <v>9.25</v>
      </c>
      <c r="I284" s="1" t="s">
        <v>31</v>
      </c>
      <c r="J284" s="9" t="s">
        <v>31</v>
      </c>
      <c r="K284" s="1" t="s">
        <v>31</v>
      </c>
      <c r="L284" s="10">
        <v>5</v>
      </c>
      <c r="M284" s="3">
        <v>0.83999999999999897</v>
      </c>
      <c r="N284" s="11">
        <v>2.1667840000000261E-2</v>
      </c>
      <c r="O284">
        <v>279</v>
      </c>
      <c r="P284" s="11">
        <v>1.221173517684599</v>
      </c>
      <c r="Q284" s="11">
        <v>0.5</v>
      </c>
      <c r="R284">
        <v>0.8878788869643951</v>
      </c>
      <c r="S284">
        <v>1.1201161747532939E-2</v>
      </c>
      <c r="T284" s="9" t="s">
        <v>40</v>
      </c>
      <c r="U284" s="9" t="s">
        <v>50</v>
      </c>
      <c r="V284" s="9" t="s">
        <v>276</v>
      </c>
      <c r="W284" s="9" t="s">
        <v>879</v>
      </c>
      <c r="X284" s="1" t="s">
        <v>31</v>
      </c>
      <c r="Y284" s="1" t="s">
        <v>31</v>
      </c>
      <c r="Z284" s="3" t="s">
        <v>31</v>
      </c>
      <c r="AA284" s="11" t="s">
        <v>31</v>
      </c>
      <c r="AB284" s="11" t="s">
        <v>31</v>
      </c>
      <c r="AC284" s="10">
        <v>0</v>
      </c>
      <c r="AD284" s="9" t="s">
        <v>34</v>
      </c>
      <c r="AE284" s="9" t="s">
        <v>35</v>
      </c>
    </row>
    <row r="285" spans="1:31" x14ac:dyDescent="0.25">
      <c r="A285" s="9" t="s">
        <v>540</v>
      </c>
      <c r="B285" s="10" t="s">
        <v>486</v>
      </c>
      <c r="C285" s="1" t="s">
        <v>685</v>
      </c>
      <c r="D285" s="10">
        <v>2</v>
      </c>
      <c r="E285" s="10">
        <v>2009</v>
      </c>
      <c r="F285" s="9" t="s">
        <v>28</v>
      </c>
      <c r="G285" s="9" t="s">
        <v>54</v>
      </c>
      <c r="H285" s="1">
        <v>16.53</v>
      </c>
      <c r="I285" s="1" t="s">
        <v>31</v>
      </c>
      <c r="J285" s="9" t="s">
        <v>31</v>
      </c>
      <c r="K285" s="1" t="s">
        <v>31</v>
      </c>
      <c r="L285" s="10">
        <v>6</v>
      </c>
      <c r="M285" s="3">
        <v>0.76</v>
      </c>
      <c r="N285" s="11">
        <v>3.5684352000000003E-2</v>
      </c>
      <c r="O285">
        <v>279</v>
      </c>
      <c r="P285" s="11">
        <v>0.99621508234510314</v>
      </c>
      <c r="Q285" s="11">
        <v>0.33333333333333331</v>
      </c>
      <c r="R285">
        <v>0.80839400255246185</v>
      </c>
      <c r="S285">
        <v>2.4012330338066431E-2</v>
      </c>
      <c r="T285" s="9" t="s">
        <v>40</v>
      </c>
      <c r="U285" s="9" t="s">
        <v>50</v>
      </c>
      <c r="V285" s="9" t="s">
        <v>276</v>
      </c>
      <c r="W285" s="9" t="s">
        <v>879</v>
      </c>
      <c r="X285" s="1" t="s">
        <v>31</v>
      </c>
      <c r="Y285" s="1" t="s">
        <v>31</v>
      </c>
      <c r="Z285" s="3" t="s">
        <v>31</v>
      </c>
      <c r="AA285" s="11" t="s">
        <v>31</v>
      </c>
      <c r="AB285" s="11" t="s">
        <v>31</v>
      </c>
      <c r="AC285" s="10">
        <v>0</v>
      </c>
      <c r="AD285" s="9" t="s">
        <v>34</v>
      </c>
      <c r="AE285" s="9" t="s">
        <v>35</v>
      </c>
    </row>
    <row r="286" spans="1:31" x14ac:dyDescent="0.25">
      <c r="A286" s="9" t="s">
        <v>541</v>
      </c>
      <c r="B286" s="10" t="s">
        <v>488</v>
      </c>
      <c r="C286" s="1" t="s">
        <v>686</v>
      </c>
      <c r="D286" s="10">
        <v>2</v>
      </c>
      <c r="E286" s="10">
        <v>2009</v>
      </c>
      <c r="F286" s="9" t="s">
        <v>28</v>
      </c>
      <c r="G286" s="9" t="s">
        <v>54</v>
      </c>
      <c r="H286" s="1">
        <v>10.4</v>
      </c>
      <c r="I286" s="1">
        <v>1.24</v>
      </c>
      <c r="J286" s="9" t="s">
        <v>30</v>
      </c>
      <c r="K286" s="1">
        <v>0.56999999999999995</v>
      </c>
      <c r="L286" s="10">
        <v>47</v>
      </c>
      <c r="M286" s="3">
        <v>0.20499999999999999</v>
      </c>
      <c r="N286" s="11">
        <v>1.995035001358696E-2</v>
      </c>
      <c r="O286" t="s">
        <v>63</v>
      </c>
      <c r="P286" s="11">
        <v>0.20794636563521179</v>
      </c>
      <c r="Q286" s="11">
        <v>2.2727272727272731E-2</v>
      </c>
      <c r="R286">
        <v>0.20729138172634229</v>
      </c>
      <c r="S286">
        <v>1.9911020928210892E-2</v>
      </c>
      <c r="T286" s="9" t="s">
        <v>40</v>
      </c>
      <c r="U286" s="9" t="s">
        <v>50</v>
      </c>
      <c r="V286" s="9" t="s">
        <v>276</v>
      </c>
      <c r="W286" s="9" t="s">
        <v>370</v>
      </c>
      <c r="X286" s="1">
        <v>15.8</v>
      </c>
      <c r="Y286" s="1">
        <v>15</v>
      </c>
      <c r="Z286" s="3">
        <f t="shared" si="10"/>
        <v>1.0533333333333335</v>
      </c>
      <c r="AA286" s="11">
        <v>0.19502515145279051</v>
      </c>
      <c r="AB286" s="11">
        <v>0.13938395231624681</v>
      </c>
      <c r="AC286" s="10">
        <v>0</v>
      </c>
      <c r="AD286" s="9" t="s">
        <v>34</v>
      </c>
      <c r="AE286" s="9" t="s">
        <v>63</v>
      </c>
    </row>
    <row r="287" spans="1:31" x14ac:dyDescent="0.25">
      <c r="A287" s="9" t="s">
        <v>541</v>
      </c>
      <c r="B287" s="10" t="s">
        <v>487</v>
      </c>
      <c r="C287" s="1" t="s">
        <v>687</v>
      </c>
      <c r="D287" s="10">
        <v>2</v>
      </c>
      <c r="E287" s="10">
        <v>2009</v>
      </c>
      <c r="F287" s="9" t="s">
        <v>38</v>
      </c>
      <c r="G287" s="9" t="s">
        <v>54</v>
      </c>
      <c r="H287" s="1">
        <v>10.5</v>
      </c>
      <c r="I287" s="1">
        <v>1.27</v>
      </c>
      <c r="J287" s="9" t="s">
        <v>30</v>
      </c>
      <c r="K287" s="1">
        <v>0.53</v>
      </c>
      <c r="L287" s="10">
        <v>66</v>
      </c>
      <c r="M287" s="3">
        <v>0.35299999999999998</v>
      </c>
      <c r="N287" s="11">
        <v>1.1789375428938461E-2</v>
      </c>
      <c r="O287" t="s">
        <v>63</v>
      </c>
      <c r="P287" s="11">
        <v>0.36886666683494368</v>
      </c>
      <c r="Q287" s="11">
        <v>1.5873015873015869E-2</v>
      </c>
      <c r="R287">
        <v>0.35549040351908312</v>
      </c>
      <c r="S287">
        <v>1.174189829326042E-2</v>
      </c>
      <c r="T287" s="9" t="s">
        <v>40</v>
      </c>
      <c r="U287" s="9" t="s">
        <v>50</v>
      </c>
      <c r="V287" s="9" t="s">
        <v>276</v>
      </c>
      <c r="W287" s="9" t="s">
        <v>370</v>
      </c>
      <c r="X287" s="1">
        <v>14.7</v>
      </c>
      <c r="Y287" s="1">
        <v>15</v>
      </c>
      <c r="Z287" s="3">
        <f t="shared" si="10"/>
        <v>0.98</v>
      </c>
      <c r="AA287" s="11">
        <v>0.35928227153711251</v>
      </c>
      <c r="AB287" s="11">
        <v>0.1184258336084119</v>
      </c>
      <c r="AC287" s="10">
        <v>0</v>
      </c>
      <c r="AD287" s="9" t="s">
        <v>34</v>
      </c>
      <c r="AE287" s="9" t="s">
        <v>63</v>
      </c>
    </row>
    <row r="288" spans="1:31" x14ac:dyDescent="0.25">
      <c r="A288" s="9" t="s">
        <v>542</v>
      </c>
      <c r="B288" s="10" t="s">
        <v>280</v>
      </c>
      <c r="C288" s="1" t="s">
        <v>688</v>
      </c>
      <c r="D288" s="10">
        <v>2</v>
      </c>
      <c r="E288" s="10">
        <v>2009</v>
      </c>
      <c r="F288" s="9" t="s">
        <v>38</v>
      </c>
      <c r="G288" s="9" t="s">
        <v>29</v>
      </c>
      <c r="H288" s="1">
        <v>78.400000000000006</v>
      </c>
      <c r="I288" s="1">
        <v>1.5</v>
      </c>
      <c r="J288" s="9" t="s">
        <v>30</v>
      </c>
      <c r="K288" s="1">
        <v>0.28999999999999998</v>
      </c>
      <c r="L288" s="10">
        <v>107</v>
      </c>
      <c r="M288" s="3">
        <v>0.13</v>
      </c>
      <c r="N288" s="11">
        <v>9.1177887735849061E-3</v>
      </c>
      <c r="O288">
        <v>6</v>
      </c>
      <c r="P288" s="11">
        <v>0.13073985002887839</v>
      </c>
      <c r="Q288" s="11">
        <v>9.6153846153846159E-3</v>
      </c>
      <c r="R288">
        <v>0.13062166723221691</v>
      </c>
      <c r="S288">
        <v>9.1147837039975855E-3</v>
      </c>
      <c r="T288" s="9" t="s">
        <v>40</v>
      </c>
      <c r="U288" s="9" t="s">
        <v>50</v>
      </c>
      <c r="V288" s="9" t="s">
        <v>276</v>
      </c>
      <c r="W288" s="9" t="s">
        <v>375</v>
      </c>
      <c r="X288" s="1" t="s">
        <v>31</v>
      </c>
      <c r="Y288" s="1" t="s">
        <v>31</v>
      </c>
      <c r="Z288" s="3" t="s">
        <v>31</v>
      </c>
      <c r="AA288" s="11" t="s">
        <v>31</v>
      </c>
      <c r="AB288" s="11" t="s">
        <v>31</v>
      </c>
      <c r="AC288" s="10">
        <v>1</v>
      </c>
      <c r="AD288" s="9" t="s">
        <v>41</v>
      </c>
      <c r="AE288" s="9" t="s">
        <v>35</v>
      </c>
    </row>
    <row r="289" spans="1:31" x14ac:dyDescent="0.25">
      <c r="A289" s="9" t="s">
        <v>543</v>
      </c>
      <c r="B289" s="10" t="s">
        <v>489</v>
      </c>
      <c r="C289" s="1" t="s">
        <v>689</v>
      </c>
      <c r="D289" s="10">
        <v>2</v>
      </c>
      <c r="E289" s="10">
        <v>2009</v>
      </c>
      <c r="F289" s="9" t="s">
        <v>38</v>
      </c>
      <c r="G289" s="9" t="s">
        <v>54</v>
      </c>
      <c r="H289" s="1">
        <v>9.1</v>
      </c>
      <c r="I289" s="1">
        <v>0.1</v>
      </c>
      <c r="J289" s="9" t="s">
        <v>30</v>
      </c>
      <c r="K289" s="1">
        <v>0.5</v>
      </c>
      <c r="L289" s="10">
        <v>209</v>
      </c>
      <c r="M289" s="3">
        <v>0.33</v>
      </c>
      <c r="N289" s="11">
        <v>3.8175923557692312E-3</v>
      </c>
      <c r="O289">
        <v>186</v>
      </c>
      <c r="P289" s="11">
        <v>0.34282825441539388</v>
      </c>
      <c r="Q289" s="11">
        <v>4.8543689320388354E-3</v>
      </c>
      <c r="R289">
        <v>0.33071723419530052</v>
      </c>
      <c r="S289">
        <v>3.813533026952151E-3</v>
      </c>
      <c r="T289" s="9" t="s">
        <v>40</v>
      </c>
      <c r="U289" s="9" t="s">
        <v>50</v>
      </c>
      <c r="V289" s="9" t="s">
        <v>276</v>
      </c>
      <c r="W289" s="9" t="s">
        <v>880</v>
      </c>
      <c r="X289" s="1">
        <v>15</v>
      </c>
      <c r="Y289" s="1">
        <v>15</v>
      </c>
      <c r="Z289" s="3">
        <f t="shared" si="10"/>
        <v>1</v>
      </c>
      <c r="AA289" s="11">
        <v>0.33</v>
      </c>
      <c r="AB289" s="11">
        <v>6.5611210306428552E-2</v>
      </c>
      <c r="AC289" s="10">
        <v>1</v>
      </c>
      <c r="AD289" s="9" t="s">
        <v>41</v>
      </c>
      <c r="AE289" s="9" t="s">
        <v>35</v>
      </c>
    </row>
    <row r="290" spans="1:31" x14ac:dyDescent="0.25">
      <c r="A290" s="9" t="s">
        <v>544</v>
      </c>
      <c r="B290" s="10" t="s">
        <v>492</v>
      </c>
      <c r="C290" s="1" t="s">
        <v>690</v>
      </c>
      <c r="D290" s="10">
        <v>2</v>
      </c>
      <c r="E290" s="10">
        <v>2009</v>
      </c>
      <c r="F290" s="9" t="s">
        <v>28</v>
      </c>
      <c r="G290" s="9" t="s">
        <v>29</v>
      </c>
      <c r="H290" s="1">
        <v>32</v>
      </c>
      <c r="I290" s="1">
        <v>5</v>
      </c>
      <c r="J290" s="9" t="s">
        <v>39</v>
      </c>
      <c r="K290" s="1">
        <v>0</v>
      </c>
      <c r="L290" s="10">
        <v>13</v>
      </c>
      <c r="M290" s="3">
        <v>0.35299999999999998</v>
      </c>
      <c r="N290" s="11">
        <v>6.3859116906750002E-2</v>
      </c>
      <c r="O290" t="s">
        <v>63</v>
      </c>
      <c r="P290" s="11">
        <v>0.36886666683494368</v>
      </c>
      <c r="Q290" s="11">
        <v>0.1</v>
      </c>
      <c r="R290">
        <v>0.36996595665945131</v>
      </c>
      <c r="S290">
        <v>6.2082091265725087E-2</v>
      </c>
      <c r="T290" s="9" t="s">
        <v>40</v>
      </c>
      <c r="U290" s="9" t="s">
        <v>31</v>
      </c>
      <c r="V290" s="9" t="s">
        <v>276</v>
      </c>
      <c r="W290" s="9" t="s">
        <v>371</v>
      </c>
      <c r="X290" s="1">
        <v>14</v>
      </c>
      <c r="Y290" s="1">
        <v>15</v>
      </c>
      <c r="Z290" s="3">
        <f t="shared" si="10"/>
        <v>0.93333333333333335</v>
      </c>
      <c r="AA290" s="11">
        <v>0.37477519129554587</v>
      </c>
      <c r="AB290" s="11">
        <v>0.29408077665849058</v>
      </c>
      <c r="AC290" s="10">
        <v>0</v>
      </c>
      <c r="AD290" s="9" t="s">
        <v>34</v>
      </c>
      <c r="AE290" s="9" t="s">
        <v>63</v>
      </c>
    </row>
    <row r="291" spans="1:31" x14ac:dyDescent="0.25">
      <c r="A291" s="9" t="s">
        <v>544</v>
      </c>
      <c r="B291" s="10" t="s">
        <v>491</v>
      </c>
      <c r="C291" s="1" t="s">
        <v>691</v>
      </c>
      <c r="D291" s="10">
        <v>2</v>
      </c>
      <c r="E291" s="10">
        <v>2009</v>
      </c>
      <c r="F291" s="9" t="s">
        <v>38</v>
      </c>
      <c r="G291" s="9" t="s">
        <v>29</v>
      </c>
      <c r="H291" s="1">
        <v>33</v>
      </c>
      <c r="I291" s="1">
        <v>7</v>
      </c>
      <c r="J291" s="9" t="s">
        <v>39</v>
      </c>
      <c r="K291" s="1">
        <v>0</v>
      </c>
      <c r="L291" s="10">
        <v>25</v>
      </c>
      <c r="M291" s="3">
        <v>2E-3</v>
      </c>
      <c r="N291" s="11">
        <v>4.1666333334000001E-2</v>
      </c>
      <c r="O291" t="s">
        <v>63</v>
      </c>
      <c r="P291" s="11">
        <v>2.000002666673069E-3</v>
      </c>
      <c r="Q291" s="11">
        <v>4.5454545454545463E-2</v>
      </c>
      <c r="R291">
        <v>2.0481718711516301E-3</v>
      </c>
      <c r="S291">
        <v>4.1666317083398782E-2</v>
      </c>
      <c r="T291" s="9" t="s">
        <v>40</v>
      </c>
      <c r="U291" s="9" t="s">
        <v>31</v>
      </c>
      <c r="V291" s="9" t="s">
        <v>276</v>
      </c>
      <c r="W291" s="9" t="s">
        <v>371</v>
      </c>
      <c r="X291" s="1">
        <v>13</v>
      </c>
      <c r="Y291" s="1">
        <v>15</v>
      </c>
      <c r="Z291" s="3">
        <f t="shared" si="10"/>
        <v>0.8666666666666667</v>
      </c>
      <c r="AA291" s="11">
        <v>2.3076907783356119E-3</v>
      </c>
      <c r="AB291" s="11">
        <v>0.2405925951555504</v>
      </c>
      <c r="AC291" s="10">
        <v>0</v>
      </c>
      <c r="AD291" s="9" t="s">
        <v>34</v>
      </c>
      <c r="AE291" s="9" t="s">
        <v>63</v>
      </c>
    </row>
    <row r="292" spans="1:31" x14ac:dyDescent="0.25">
      <c r="A292" s="9" t="s">
        <v>544</v>
      </c>
      <c r="B292" s="10" t="s">
        <v>490</v>
      </c>
      <c r="C292" s="1" t="s">
        <v>692</v>
      </c>
      <c r="D292" s="10">
        <v>2</v>
      </c>
      <c r="E292" s="10">
        <v>2009</v>
      </c>
      <c r="F292" s="9" t="s">
        <v>28</v>
      </c>
      <c r="G292" s="9" t="s">
        <v>29</v>
      </c>
      <c r="H292" s="1">
        <v>32</v>
      </c>
      <c r="I292" s="1">
        <v>7</v>
      </c>
      <c r="J292" s="9" t="s">
        <v>39</v>
      </c>
      <c r="K292" s="1">
        <v>0</v>
      </c>
      <c r="L292" s="10">
        <v>10</v>
      </c>
      <c r="M292" s="3">
        <v>-0.17</v>
      </c>
      <c r="N292" s="11">
        <v>0.10478169</v>
      </c>
      <c r="O292" t="s">
        <v>63</v>
      </c>
      <c r="P292" s="11">
        <v>-0.1716666635005791</v>
      </c>
      <c r="Q292" s="11">
        <v>0.1428571428571429</v>
      </c>
      <c r="R292">
        <v>-0.18405609858010941</v>
      </c>
      <c r="S292">
        <v>0.1037104813768516</v>
      </c>
      <c r="T292" s="9" t="s">
        <v>40</v>
      </c>
      <c r="U292" s="9" t="s">
        <v>31</v>
      </c>
      <c r="V292" s="9" t="s">
        <v>276</v>
      </c>
      <c r="W292" s="9" t="s">
        <v>371</v>
      </c>
      <c r="X292" s="1">
        <v>11</v>
      </c>
      <c r="Y292" s="1">
        <v>15</v>
      </c>
      <c r="Z292" s="3">
        <f t="shared" si="10"/>
        <v>0.73333333333333328</v>
      </c>
      <c r="AA292" s="11">
        <v>-0.22899158936469211</v>
      </c>
      <c r="AB292" s="11">
        <v>0.45793270973166428</v>
      </c>
      <c r="AC292" s="10">
        <v>0</v>
      </c>
      <c r="AD292" s="9" t="s">
        <v>34</v>
      </c>
      <c r="AE292" s="9" t="s">
        <v>63</v>
      </c>
    </row>
    <row r="293" spans="1:31" x14ac:dyDescent="0.25">
      <c r="A293" s="9" t="s">
        <v>854</v>
      </c>
      <c r="B293" s="10" t="s">
        <v>1063</v>
      </c>
      <c r="C293" s="1" t="s">
        <v>693</v>
      </c>
      <c r="D293" s="10">
        <v>2</v>
      </c>
      <c r="E293" s="10">
        <v>2010</v>
      </c>
      <c r="F293" s="9" t="s">
        <v>38</v>
      </c>
      <c r="G293" s="9" t="s">
        <v>54</v>
      </c>
      <c r="H293" s="1">
        <v>11.4</v>
      </c>
      <c r="I293" s="1" t="s">
        <v>31</v>
      </c>
      <c r="J293" s="9" t="s">
        <v>30</v>
      </c>
      <c r="K293" s="1">
        <v>0.52</v>
      </c>
      <c r="L293" s="10">
        <v>142</v>
      </c>
      <c r="M293" s="3">
        <v>0.14000000000000001</v>
      </c>
      <c r="N293" s="11">
        <v>6.8169089361702134E-3</v>
      </c>
      <c r="O293">
        <v>140</v>
      </c>
      <c r="P293" s="11">
        <v>0.14092557607049391</v>
      </c>
      <c r="Q293" s="11">
        <v>7.1942446043165471E-3</v>
      </c>
      <c r="R293">
        <v>0.1404980404343715</v>
      </c>
      <c r="S293">
        <v>6.8149663616968769E-3</v>
      </c>
      <c r="T293" s="9" t="s">
        <v>40</v>
      </c>
      <c r="U293" s="9" t="s">
        <v>50</v>
      </c>
      <c r="V293" s="9" t="s">
        <v>276</v>
      </c>
      <c r="W293" s="9" t="s">
        <v>301</v>
      </c>
      <c r="X293" s="1">
        <v>12.34</v>
      </c>
      <c r="Y293" s="1">
        <v>15</v>
      </c>
      <c r="Z293" s="3">
        <f t="shared" si="10"/>
        <v>0.82266666666666666</v>
      </c>
      <c r="AA293" s="11">
        <v>0.16938734101905761</v>
      </c>
      <c r="AB293" s="11">
        <v>0.1003099882932736</v>
      </c>
      <c r="AC293" s="10">
        <v>2</v>
      </c>
      <c r="AD293" s="9" t="s">
        <v>41</v>
      </c>
      <c r="AE293" s="9" t="s">
        <v>35</v>
      </c>
    </row>
    <row r="294" spans="1:31" x14ac:dyDescent="0.25">
      <c r="A294" s="9" t="s">
        <v>545</v>
      </c>
      <c r="B294" s="10" t="s">
        <v>495</v>
      </c>
      <c r="C294" s="1" t="s">
        <v>694</v>
      </c>
      <c r="D294" s="10">
        <v>2</v>
      </c>
      <c r="E294" s="10">
        <v>2010</v>
      </c>
      <c r="F294" s="9" t="s">
        <v>28</v>
      </c>
      <c r="G294" s="9" t="s">
        <v>29</v>
      </c>
      <c r="H294" s="1">
        <v>36.090000000000003</v>
      </c>
      <c r="I294" s="1" t="s">
        <v>31</v>
      </c>
      <c r="J294" s="9" t="s">
        <v>30</v>
      </c>
      <c r="K294" s="1">
        <v>0.35</v>
      </c>
      <c r="L294" s="10">
        <v>77</v>
      </c>
      <c r="M294" s="3">
        <v>0.28199999999999997</v>
      </c>
      <c r="N294" s="11">
        <v>1.1148369297052631E-2</v>
      </c>
      <c r="O294" t="s">
        <v>63</v>
      </c>
      <c r="P294" s="11">
        <v>0.28985353421619559</v>
      </c>
      <c r="Q294" s="11">
        <v>1.3513513513513511E-2</v>
      </c>
      <c r="R294">
        <v>0.28377947292097938</v>
      </c>
      <c r="S294">
        <v>1.112399512519501E-2</v>
      </c>
      <c r="T294" s="9" t="s">
        <v>40</v>
      </c>
      <c r="U294" s="9" t="s">
        <v>31</v>
      </c>
      <c r="V294" s="9" t="s">
        <v>276</v>
      </c>
      <c r="W294" s="9" t="s">
        <v>293</v>
      </c>
      <c r="X294" s="1" t="s">
        <v>31</v>
      </c>
      <c r="Y294" s="1" t="s">
        <v>31</v>
      </c>
      <c r="Z294" s="3" t="s">
        <v>31</v>
      </c>
      <c r="AA294" s="11" t="s">
        <v>31</v>
      </c>
      <c r="AB294" s="11" t="s">
        <v>31</v>
      </c>
      <c r="AC294" s="10">
        <v>0</v>
      </c>
      <c r="AD294" s="9" t="s">
        <v>34</v>
      </c>
      <c r="AE294" s="9" t="s">
        <v>63</v>
      </c>
    </row>
    <row r="295" spans="1:31" x14ac:dyDescent="0.25">
      <c r="A295" s="9" t="s">
        <v>545</v>
      </c>
      <c r="B295" s="10" t="s">
        <v>494</v>
      </c>
      <c r="C295" s="1" t="s">
        <v>695</v>
      </c>
      <c r="D295" s="10">
        <v>2</v>
      </c>
      <c r="E295" s="10">
        <v>2010</v>
      </c>
      <c r="F295" s="9" t="s">
        <v>38</v>
      </c>
      <c r="G295" s="9" t="s">
        <v>29</v>
      </c>
      <c r="H295" s="1">
        <v>33.340000000000003</v>
      </c>
      <c r="I295" s="1">
        <v>12.6</v>
      </c>
      <c r="J295" s="9" t="s">
        <v>30</v>
      </c>
      <c r="K295" s="1">
        <v>0.42</v>
      </c>
      <c r="L295" s="10">
        <v>67</v>
      </c>
      <c r="M295" s="3">
        <v>0.23300000000000001</v>
      </c>
      <c r="N295" s="11">
        <v>1.355104993213636E-2</v>
      </c>
      <c r="O295" t="s">
        <v>63</v>
      </c>
      <c r="P295" s="11">
        <v>0.23735935089854401</v>
      </c>
      <c r="Q295" s="11">
        <v>1.5625E-2</v>
      </c>
      <c r="R295">
        <v>0.23475219197943969</v>
      </c>
      <c r="S295">
        <v>1.3527572327184051E-2</v>
      </c>
      <c r="T295" s="9" t="s">
        <v>40</v>
      </c>
      <c r="U295" s="9" t="s">
        <v>31</v>
      </c>
      <c r="V295" s="9" t="s">
        <v>276</v>
      </c>
      <c r="W295" s="9" t="s">
        <v>293</v>
      </c>
      <c r="X295" s="1" t="s">
        <v>31</v>
      </c>
      <c r="Y295" s="1" t="s">
        <v>31</v>
      </c>
      <c r="Z295" s="3" t="s">
        <v>31</v>
      </c>
      <c r="AA295" s="11" t="s">
        <v>31</v>
      </c>
      <c r="AB295" s="11" t="s">
        <v>31</v>
      </c>
      <c r="AC295" s="10">
        <v>0</v>
      </c>
      <c r="AD295" s="9" t="s">
        <v>34</v>
      </c>
      <c r="AE295" s="9" t="s">
        <v>63</v>
      </c>
    </row>
    <row r="296" spans="1:31" x14ac:dyDescent="0.25">
      <c r="A296" s="9" t="s">
        <v>231</v>
      </c>
      <c r="B296" s="10" t="s">
        <v>496</v>
      </c>
      <c r="C296" s="1" t="s">
        <v>696</v>
      </c>
      <c r="D296" s="10">
        <v>2</v>
      </c>
      <c r="E296" s="10">
        <v>2010</v>
      </c>
      <c r="F296" s="9" t="s">
        <v>38</v>
      </c>
      <c r="G296" s="9" t="s">
        <v>29</v>
      </c>
      <c r="H296" s="1">
        <v>68.69</v>
      </c>
      <c r="I296" s="1">
        <v>0.67</v>
      </c>
      <c r="J296" s="9" t="s">
        <v>30</v>
      </c>
      <c r="K296" s="1">
        <v>0.53</v>
      </c>
      <c r="L296" s="10">
        <v>235</v>
      </c>
      <c r="M296" s="3">
        <v>-2E-3</v>
      </c>
      <c r="N296" s="11">
        <v>4.2734700855384614E-3</v>
      </c>
      <c r="O296" t="s">
        <v>63</v>
      </c>
      <c r="P296" s="11">
        <v>-2.0000026666730638E-3</v>
      </c>
      <c r="Q296" s="11">
        <v>4.3103448275862068E-3</v>
      </c>
      <c r="R296">
        <v>-2.0043336617255208E-3</v>
      </c>
      <c r="S296">
        <v>4.2734699372191627E-3</v>
      </c>
      <c r="T296" s="9" t="s">
        <v>40</v>
      </c>
      <c r="U296" s="9" t="s">
        <v>46</v>
      </c>
      <c r="V296" s="9" t="s">
        <v>276</v>
      </c>
      <c r="W296" s="9" t="s">
        <v>288</v>
      </c>
      <c r="X296" s="1" t="s">
        <v>31</v>
      </c>
      <c r="Y296" s="1" t="s">
        <v>31</v>
      </c>
      <c r="Z296" s="3" t="s">
        <v>31</v>
      </c>
      <c r="AA296" s="11" t="s">
        <v>31</v>
      </c>
      <c r="AB296" s="11" t="s">
        <v>31</v>
      </c>
      <c r="AC296" s="10">
        <v>0</v>
      </c>
      <c r="AD296" s="9" t="s">
        <v>41</v>
      </c>
      <c r="AE296" s="9" t="s">
        <v>63</v>
      </c>
    </row>
    <row r="297" spans="1:31" x14ac:dyDescent="0.25">
      <c r="A297" s="9" t="s">
        <v>546</v>
      </c>
      <c r="B297" s="10" t="s">
        <v>497</v>
      </c>
      <c r="C297" s="1" t="s">
        <v>697</v>
      </c>
      <c r="D297" s="10">
        <v>2</v>
      </c>
      <c r="E297" s="10">
        <v>2010</v>
      </c>
      <c r="F297" s="9" t="s">
        <v>38</v>
      </c>
      <c r="G297" s="9" t="s">
        <v>54</v>
      </c>
      <c r="H297" s="1">
        <v>15.75</v>
      </c>
      <c r="I297" s="1">
        <v>1.1299999999999999</v>
      </c>
      <c r="J297" s="9" t="s">
        <v>39</v>
      </c>
      <c r="K297" s="1">
        <v>0</v>
      </c>
      <c r="L297" s="10">
        <v>24</v>
      </c>
      <c r="M297" s="3">
        <v>0</v>
      </c>
      <c r="N297" s="11">
        <v>4.3478260869565223E-2</v>
      </c>
      <c r="O297" t="s">
        <v>63</v>
      </c>
      <c r="P297" s="11">
        <v>0</v>
      </c>
      <c r="Q297" s="11">
        <v>4.7619047619047623E-2</v>
      </c>
      <c r="R297">
        <v>0</v>
      </c>
      <c r="S297">
        <v>4.3478260869565223E-2</v>
      </c>
      <c r="T297" s="9" t="s">
        <v>40</v>
      </c>
      <c r="U297" s="9" t="s">
        <v>50</v>
      </c>
      <c r="V297" s="9" t="s">
        <v>276</v>
      </c>
      <c r="W297" s="9" t="s">
        <v>376</v>
      </c>
      <c r="X297" s="1">
        <v>13.4</v>
      </c>
      <c r="Y297" s="1">
        <v>15</v>
      </c>
      <c r="Z297" s="3">
        <f t="shared" si="10"/>
        <v>0.89333333333333331</v>
      </c>
      <c r="AA297" s="11">
        <v>0</v>
      </c>
      <c r="AB297" s="11" t="s">
        <v>31</v>
      </c>
      <c r="AC297" s="10">
        <v>4</v>
      </c>
      <c r="AD297" s="9" t="s">
        <v>34</v>
      </c>
      <c r="AE297" s="9" t="s">
        <v>63</v>
      </c>
    </row>
    <row r="298" spans="1:31" x14ac:dyDescent="0.25">
      <c r="A298" s="9" t="s">
        <v>546</v>
      </c>
      <c r="B298" s="10" t="s">
        <v>981</v>
      </c>
      <c r="C298" s="1" t="s">
        <v>698</v>
      </c>
      <c r="D298" s="10">
        <v>2</v>
      </c>
      <c r="E298" s="10">
        <v>2010</v>
      </c>
      <c r="F298" s="9" t="s">
        <v>38</v>
      </c>
      <c r="G298" s="9" t="s">
        <v>54</v>
      </c>
      <c r="H298" s="1">
        <v>15.75</v>
      </c>
      <c r="I298" s="1">
        <v>1.1299999999999999</v>
      </c>
      <c r="J298" s="9" t="s">
        <v>43</v>
      </c>
      <c r="K298" s="1">
        <v>1</v>
      </c>
      <c r="L298" s="10">
        <v>26</v>
      </c>
      <c r="M298" s="3">
        <v>0.47899999999999998</v>
      </c>
      <c r="N298" s="11">
        <v>2.375044689924E-2</v>
      </c>
      <c r="O298">
        <v>360</v>
      </c>
      <c r="P298" s="11">
        <v>0.52168571047871648</v>
      </c>
      <c r="Q298" s="11">
        <v>4.3478260869565223E-2</v>
      </c>
      <c r="R298">
        <v>0.4872727122327658</v>
      </c>
      <c r="S298">
        <v>2.3260233709296821E-2</v>
      </c>
      <c r="T298" s="9" t="s">
        <v>40</v>
      </c>
      <c r="U298" s="9" t="s">
        <v>50</v>
      </c>
      <c r="V298" s="9" t="s">
        <v>276</v>
      </c>
      <c r="W298" s="9" t="s">
        <v>376</v>
      </c>
      <c r="X298" s="1">
        <v>12.4</v>
      </c>
      <c r="Y298" s="1">
        <v>15</v>
      </c>
      <c r="Z298" s="3">
        <f t="shared" si="10"/>
        <v>0.82666666666666666</v>
      </c>
      <c r="AA298" s="11">
        <v>0.55089363143727821</v>
      </c>
      <c r="AB298" s="11">
        <v>0.1862751385466177</v>
      </c>
      <c r="AC298" s="10">
        <v>4</v>
      </c>
      <c r="AD298" s="9" t="s">
        <v>34</v>
      </c>
      <c r="AE298" s="9" t="s">
        <v>35</v>
      </c>
    </row>
    <row r="299" spans="1:31" x14ac:dyDescent="0.25">
      <c r="A299" s="9" t="s">
        <v>548</v>
      </c>
      <c r="B299" s="10" t="s">
        <v>984</v>
      </c>
      <c r="C299" s="1" t="s">
        <v>699</v>
      </c>
      <c r="D299" s="10">
        <v>2</v>
      </c>
      <c r="E299" s="10">
        <v>2010</v>
      </c>
      <c r="F299" s="9" t="s">
        <v>38</v>
      </c>
      <c r="G299" s="9" t="s">
        <v>54</v>
      </c>
      <c r="H299" s="1">
        <v>11.8</v>
      </c>
      <c r="I299" s="1">
        <v>3.8</v>
      </c>
      <c r="J299" s="9" t="s">
        <v>30</v>
      </c>
      <c r="K299" s="1">
        <v>0.48</v>
      </c>
      <c r="L299" s="10">
        <v>649</v>
      </c>
      <c r="M299" s="3">
        <v>0.13</v>
      </c>
      <c r="N299" s="11">
        <v>1.4914901388888889E-3</v>
      </c>
      <c r="O299">
        <v>131</v>
      </c>
      <c r="P299" s="11">
        <v>0.13073985002887839</v>
      </c>
      <c r="Q299" s="11">
        <v>1.5479876160990711E-3</v>
      </c>
      <c r="R299">
        <v>0.13009910460206831</v>
      </c>
      <c r="S299">
        <v>1.491411925757951E-3</v>
      </c>
      <c r="T299" s="9" t="s">
        <v>40</v>
      </c>
      <c r="U299" s="9" t="s">
        <v>50</v>
      </c>
      <c r="V299" s="9" t="s">
        <v>276</v>
      </c>
      <c r="W299" s="9" t="s">
        <v>369</v>
      </c>
      <c r="X299" s="1" t="s">
        <v>31</v>
      </c>
      <c r="Y299" s="1" t="s">
        <v>31</v>
      </c>
      <c r="Z299" s="3" t="s">
        <v>31</v>
      </c>
      <c r="AA299" s="11" t="s">
        <v>31</v>
      </c>
      <c r="AB299" s="11" t="s">
        <v>31</v>
      </c>
      <c r="AC299" s="10">
        <v>0</v>
      </c>
      <c r="AD299" s="9" t="s">
        <v>41</v>
      </c>
      <c r="AE299" s="9" t="s">
        <v>35</v>
      </c>
    </row>
    <row r="300" spans="1:31" x14ac:dyDescent="0.25">
      <c r="A300" s="9" t="s">
        <v>244</v>
      </c>
      <c r="B300" s="10" t="s">
        <v>990</v>
      </c>
      <c r="C300" s="1" t="s">
        <v>700</v>
      </c>
      <c r="D300" s="10">
        <v>2</v>
      </c>
      <c r="E300" s="10">
        <v>2011</v>
      </c>
      <c r="F300" s="9" t="s">
        <v>38</v>
      </c>
      <c r="G300" s="9" t="s">
        <v>29</v>
      </c>
      <c r="H300" s="1">
        <v>21.1</v>
      </c>
      <c r="I300" s="1">
        <v>2.5499999999999998</v>
      </c>
      <c r="J300" s="9" t="s">
        <v>30</v>
      </c>
      <c r="K300" s="1">
        <v>0.36</v>
      </c>
      <c r="L300" s="10">
        <v>80</v>
      </c>
      <c r="M300" s="3">
        <v>0.23200000000000001</v>
      </c>
      <c r="N300" s="11">
        <v>1.1332266113620249E-2</v>
      </c>
      <c r="O300" t="s">
        <v>63</v>
      </c>
      <c r="P300" s="11">
        <v>0.2363022054728964</v>
      </c>
      <c r="Q300" s="11">
        <v>1.298701298701299E-2</v>
      </c>
      <c r="R300">
        <v>0.23344651601202221</v>
      </c>
      <c r="S300">
        <v>1.1316144321487051E-2</v>
      </c>
      <c r="T300" s="9" t="s">
        <v>40</v>
      </c>
      <c r="U300" s="9" t="s">
        <v>31</v>
      </c>
      <c r="V300" s="9" t="s">
        <v>276</v>
      </c>
      <c r="W300" s="9" t="s">
        <v>296</v>
      </c>
      <c r="X300" s="1" t="s">
        <v>31</v>
      </c>
      <c r="Y300" s="1" t="s">
        <v>31</v>
      </c>
      <c r="Z300" s="3" t="s">
        <v>31</v>
      </c>
      <c r="AA300" s="11" t="s">
        <v>31</v>
      </c>
      <c r="AB300" s="11" t="s">
        <v>31</v>
      </c>
      <c r="AC300" s="10">
        <v>0</v>
      </c>
      <c r="AD300" s="9" t="s">
        <v>34</v>
      </c>
      <c r="AE300" s="9" t="s">
        <v>63</v>
      </c>
    </row>
    <row r="301" spans="1:31" x14ac:dyDescent="0.25">
      <c r="A301" s="9" t="s">
        <v>255</v>
      </c>
      <c r="B301" s="10" t="s">
        <v>992</v>
      </c>
      <c r="C301" s="1" t="s">
        <v>701</v>
      </c>
      <c r="D301" s="10">
        <v>2</v>
      </c>
      <c r="E301" s="10">
        <v>2012</v>
      </c>
      <c r="F301" s="9" t="s">
        <v>38</v>
      </c>
      <c r="G301" s="9" t="s">
        <v>54</v>
      </c>
      <c r="H301" s="1">
        <v>15.1</v>
      </c>
      <c r="I301" s="1">
        <v>0.75</v>
      </c>
      <c r="J301" s="9" t="s">
        <v>43</v>
      </c>
      <c r="K301" s="1">
        <v>1</v>
      </c>
      <c r="L301" s="10">
        <v>30</v>
      </c>
      <c r="M301" s="3">
        <v>0.26</v>
      </c>
      <c r="N301" s="11">
        <v>2.9978267586206898E-2</v>
      </c>
      <c r="O301">
        <v>1060</v>
      </c>
      <c r="P301" s="11">
        <v>0.26610840687365411</v>
      </c>
      <c r="Q301" s="11">
        <v>3.7037037037037042E-2</v>
      </c>
      <c r="R301">
        <v>0.26467640258066222</v>
      </c>
      <c r="S301">
        <v>2.9820700359941329E-2</v>
      </c>
      <c r="T301" s="9" t="s">
        <v>40</v>
      </c>
      <c r="U301" s="9" t="s">
        <v>50</v>
      </c>
      <c r="V301" s="9" t="s">
        <v>276</v>
      </c>
      <c r="W301" s="9" t="s">
        <v>301</v>
      </c>
      <c r="X301" s="1">
        <v>8.26</v>
      </c>
      <c r="Y301" s="1">
        <v>15</v>
      </c>
      <c r="Z301" s="3">
        <f t="shared" si="10"/>
        <v>0.55066666666666664</v>
      </c>
      <c r="AA301" s="11">
        <v>0.43926993131072989</v>
      </c>
      <c r="AB301" s="11">
        <v>0.26685422172528511</v>
      </c>
      <c r="AC301" s="10">
        <v>0</v>
      </c>
      <c r="AD301" s="9" t="s">
        <v>34</v>
      </c>
      <c r="AE301" s="9" t="s">
        <v>35</v>
      </c>
    </row>
    <row r="302" spans="1:31" x14ac:dyDescent="0.25">
      <c r="A302" s="9" t="s">
        <v>259</v>
      </c>
      <c r="B302" s="10" t="s">
        <v>496</v>
      </c>
      <c r="C302" s="1" t="s">
        <v>702</v>
      </c>
      <c r="D302" s="10">
        <v>3</v>
      </c>
      <c r="E302" s="10">
        <v>2013</v>
      </c>
      <c r="F302" s="9" t="s">
        <v>38</v>
      </c>
      <c r="G302" s="9" t="s">
        <v>29</v>
      </c>
      <c r="H302" s="1">
        <v>72.47</v>
      </c>
      <c r="I302" s="1">
        <v>0.73</v>
      </c>
      <c r="J302" s="9" t="s">
        <v>39</v>
      </c>
      <c r="K302" s="1">
        <v>1</v>
      </c>
      <c r="L302" s="10">
        <v>293</v>
      </c>
      <c r="M302" s="3">
        <v>0.1</v>
      </c>
      <c r="N302" s="11">
        <v>3.3565068493150679E-3</v>
      </c>
      <c r="O302">
        <v>2729</v>
      </c>
      <c r="P302" s="11">
        <v>0.10033534773107559</v>
      </c>
      <c r="Q302" s="11">
        <v>3.4482758620689659E-3</v>
      </c>
      <c r="R302">
        <v>0.100171414744851</v>
      </c>
      <c r="S302">
        <v>3.356274187534267E-3</v>
      </c>
      <c r="T302" s="9" t="s">
        <v>40</v>
      </c>
      <c r="U302" s="9" t="s">
        <v>50</v>
      </c>
      <c r="V302" s="9" t="s">
        <v>276</v>
      </c>
      <c r="W302" s="9" t="s">
        <v>881</v>
      </c>
      <c r="X302" s="1" t="s">
        <v>31</v>
      </c>
      <c r="Y302" s="1" t="s">
        <v>31</v>
      </c>
      <c r="Z302" s="3" t="s">
        <v>31</v>
      </c>
      <c r="AA302" s="11" t="s">
        <v>31</v>
      </c>
      <c r="AB302" s="11" t="s">
        <v>31</v>
      </c>
      <c r="AC302" s="10">
        <v>0</v>
      </c>
      <c r="AD302" s="9" t="s">
        <v>41</v>
      </c>
      <c r="AE302" s="9" t="s">
        <v>35</v>
      </c>
    </row>
    <row r="303" spans="1:31" x14ac:dyDescent="0.25">
      <c r="A303" s="9" t="s">
        <v>259</v>
      </c>
      <c r="B303" s="10" t="s">
        <v>496</v>
      </c>
      <c r="C303" s="1" t="s">
        <v>703</v>
      </c>
      <c r="D303" s="10">
        <v>3</v>
      </c>
      <c r="E303" s="10">
        <v>2013</v>
      </c>
      <c r="F303" s="9" t="s">
        <v>38</v>
      </c>
      <c r="G303" s="9" t="s">
        <v>29</v>
      </c>
      <c r="H303" s="1">
        <v>72.599999999999994</v>
      </c>
      <c r="I303" s="1">
        <v>0.7</v>
      </c>
      <c r="J303" s="9" t="s">
        <v>43</v>
      </c>
      <c r="K303" s="1">
        <v>0</v>
      </c>
      <c r="L303" s="10">
        <v>327</v>
      </c>
      <c r="M303" s="3">
        <v>0.22</v>
      </c>
      <c r="N303" s="11">
        <v>2.7777379141104299E-3</v>
      </c>
      <c r="O303">
        <v>2729</v>
      </c>
      <c r="P303" s="11">
        <v>0.22365610902183239</v>
      </c>
      <c r="Q303" s="11">
        <v>3.08641975308642E-3</v>
      </c>
      <c r="R303">
        <v>0.2203242147590849</v>
      </c>
      <c r="S303">
        <v>2.7769045407731981E-3</v>
      </c>
      <c r="T303" s="9" t="s">
        <v>40</v>
      </c>
      <c r="U303" s="9" t="s">
        <v>50</v>
      </c>
      <c r="V303" s="9" t="s">
        <v>276</v>
      </c>
      <c r="W303" s="9" t="s">
        <v>881</v>
      </c>
      <c r="X303" s="1" t="s">
        <v>31</v>
      </c>
      <c r="Y303" s="1" t="s">
        <v>31</v>
      </c>
      <c r="Z303" s="3" t="s">
        <v>31</v>
      </c>
      <c r="AA303" s="11" t="s">
        <v>31</v>
      </c>
      <c r="AB303" s="11" t="s">
        <v>31</v>
      </c>
      <c r="AC303" s="10">
        <v>0</v>
      </c>
      <c r="AD303" s="9" t="s">
        <v>41</v>
      </c>
      <c r="AE303" s="9" t="s">
        <v>35</v>
      </c>
    </row>
    <row r="304" spans="1:31" x14ac:dyDescent="0.25">
      <c r="A304" s="9" t="s">
        <v>259</v>
      </c>
      <c r="B304" s="10" t="s">
        <v>496</v>
      </c>
      <c r="C304" s="1" t="s">
        <v>704</v>
      </c>
      <c r="D304" s="10">
        <v>3</v>
      </c>
      <c r="E304" s="10">
        <v>2013</v>
      </c>
      <c r="F304" s="9" t="s">
        <v>38</v>
      </c>
      <c r="G304" s="9" t="s">
        <v>29</v>
      </c>
      <c r="H304" s="1">
        <v>72.47</v>
      </c>
      <c r="I304" s="1">
        <v>0.73</v>
      </c>
      <c r="J304" s="9" t="s">
        <v>39</v>
      </c>
      <c r="K304" s="1">
        <v>1</v>
      </c>
      <c r="L304" s="10">
        <v>293</v>
      </c>
      <c r="M304" s="3">
        <v>0.11</v>
      </c>
      <c r="N304" s="11">
        <v>3.342282226027398E-3</v>
      </c>
      <c r="O304">
        <v>2729</v>
      </c>
      <c r="P304" s="11">
        <v>0.1104469157900972</v>
      </c>
      <c r="Q304" s="11">
        <v>3.4482758620689659E-3</v>
      </c>
      <c r="R304">
        <v>0.11018815315376861</v>
      </c>
      <c r="S304">
        <v>3.3420019044849412E-3</v>
      </c>
      <c r="T304" s="9" t="s">
        <v>40</v>
      </c>
      <c r="U304" s="9" t="s">
        <v>50</v>
      </c>
      <c r="V304" s="9" t="s">
        <v>276</v>
      </c>
      <c r="W304" s="9" t="s">
        <v>882</v>
      </c>
      <c r="X304" s="1" t="s">
        <v>31</v>
      </c>
      <c r="Y304" s="1" t="s">
        <v>31</v>
      </c>
      <c r="Z304" s="3" t="s">
        <v>31</v>
      </c>
      <c r="AA304" s="11" t="s">
        <v>31</v>
      </c>
      <c r="AB304" s="11" t="s">
        <v>31</v>
      </c>
      <c r="AC304" s="10">
        <v>0</v>
      </c>
      <c r="AD304" s="9" t="s">
        <v>41</v>
      </c>
      <c r="AE304" s="9" t="s">
        <v>35</v>
      </c>
    </row>
    <row r="305" spans="1:31" x14ac:dyDescent="0.25">
      <c r="A305" s="9" t="s">
        <v>259</v>
      </c>
      <c r="B305" s="10" t="s">
        <v>496</v>
      </c>
      <c r="C305" s="1" t="s">
        <v>705</v>
      </c>
      <c r="D305" s="10">
        <v>3</v>
      </c>
      <c r="E305" s="10">
        <v>2013</v>
      </c>
      <c r="F305" s="9" t="s">
        <v>38</v>
      </c>
      <c r="G305" s="9" t="s">
        <v>29</v>
      </c>
      <c r="H305" s="1">
        <v>72.599999999999994</v>
      </c>
      <c r="I305" s="1">
        <v>0.7</v>
      </c>
      <c r="J305" s="9" t="s">
        <v>43</v>
      </c>
      <c r="K305" s="1">
        <v>0</v>
      </c>
      <c r="L305" s="10">
        <v>327</v>
      </c>
      <c r="M305" s="3">
        <v>0.23</v>
      </c>
      <c r="N305" s="11">
        <v>2.7515288650306752E-3</v>
      </c>
      <c r="O305">
        <v>2729</v>
      </c>
      <c r="P305" s="11">
        <v>0.2341894667593668</v>
      </c>
      <c r="Q305" s="11">
        <v>3.08641975308642E-3</v>
      </c>
      <c r="R305">
        <v>0.23033733829905151</v>
      </c>
      <c r="S305">
        <v>2.7506266408143958E-3</v>
      </c>
      <c r="T305" s="9" t="s">
        <v>40</v>
      </c>
      <c r="U305" s="9" t="s">
        <v>50</v>
      </c>
      <c r="V305" s="9" t="s">
        <v>276</v>
      </c>
      <c r="W305" s="9" t="s">
        <v>882</v>
      </c>
      <c r="X305" s="1" t="s">
        <v>31</v>
      </c>
      <c r="Y305" s="1" t="s">
        <v>31</v>
      </c>
      <c r="Z305" s="3" t="s">
        <v>31</v>
      </c>
      <c r="AA305" s="11" t="s">
        <v>31</v>
      </c>
      <c r="AB305" s="11" t="s">
        <v>31</v>
      </c>
      <c r="AC305" s="10">
        <v>0</v>
      </c>
      <c r="AD305" s="9" t="s">
        <v>41</v>
      </c>
      <c r="AE305" s="9" t="s">
        <v>35</v>
      </c>
    </row>
    <row r="306" spans="1:31" x14ac:dyDescent="0.25">
      <c r="A306" s="9" t="s">
        <v>551</v>
      </c>
      <c r="B306" s="10" t="s">
        <v>995</v>
      </c>
      <c r="C306" s="1" t="s">
        <v>706</v>
      </c>
      <c r="D306" s="10">
        <v>3</v>
      </c>
      <c r="E306" s="10">
        <v>2013</v>
      </c>
      <c r="F306" s="9" t="s">
        <v>28</v>
      </c>
      <c r="G306" s="9" t="s">
        <v>54</v>
      </c>
      <c r="H306" s="1">
        <v>14.6</v>
      </c>
      <c r="I306" s="1">
        <v>4.2</v>
      </c>
      <c r="J306" s="9" t="s">
        <v>30</v>
      </c>
      <c r="K306" s="1">
        <v>0.49</v>
      </c>
      <c r="L306" s="10">
        <v>108</v>
      </c>
      <c r="M306" s="3">
        <v>0.23</v>
      </c>
      <c r="N306" s="11">
        <v>8.3831627102803757E-3</v>
      </c>
      <c r="O306">
        <v>696</v>
      </c>
      <c r="P306" s="11">
        <v>0.2341894667593668</v>
      </c>
      <c r="Q306" s="11">
        <v>9.5238095238095247E-3</v>
      </c>
      <c r="R306">
        <v>0.23104855606280961</v>
      </c>
      <c r="S306">
        <v>8.3746067349775924E-3</v>
      </c>
      <c r="T306" s="9" t="s">
        <v>40</v>
      </c>
      <c r="U306" s="9" t="s">
        <v>50</v>
      </c>
      <c r="V306" s="9" t="s">
        <v>276</v>
      </c>
      <c r="W306" s="9" t="s">
        <v>377</v>
      </c>
      <c r="X306" s="1">
        <v>17.600000000000001</v>
      </c>
      <c r="Y306" s="1">
        <v>15</v>
      </c>
      <c r="Z306" s="3">
        <f t="shared" si="10"/>
        <v>1.1733333333333333</v>
      </c>
      <c r="AA306" s="11">
        <v>0.19745704090574051</v>
      </c>
      <c r="AB306" s="11">
        <v>8.2342143516286492E-2</v>
      </c>
      <c r="AC306" s="10">
        <v>0</v>
      </c>
      <c r="AD306" s="9" t="s">
        <v>41</v>
      </c>
      <c r="AE306" s="9" t="s">
        <v>35</v>
      </c>
    </row>
    <row r="307" spans="1:31" x14ac:dyDescent="0.25">
      <c r="A307" s="9" t="s">
        <v>551</v>
      </c>
      <c r="B307" s="10" t="s">
        <v>994</v>
      </c>
      <c r="C307" s="1" t="s">
        <v>707</v>
      </c>
      <c r="D307" s="10">
        <v>3</v>
      </c>
      <c r="E307" s="10">
        <v>2013</v>
      </c>
      <c r="F307" s="9" t="s">
        <v>38</v>
      </c>
      <c r="G307" s="9" t="s">
        <v>54</v>
      </c>
      <c r="H307" s="1">
        <v>14.9</v>
      </c>
      <c r="I307" s="1">
        <v>3.2</v>
      </c>
      <c r="J307" s="9" t="s">
        <v>30</v>
      </c>
      <c r="K307" s="1">
        <v>0.53</v>
      </c>
      <c r="L307" s="10">
        <v>36</v>
      </c>
      <c r="M307" s="3">
        <v>0.04</v>
      </c>
      <c r="N307" s="11">
        <v>2.8480073142857141E-2</v>
      </c>
      <c r="O307">
        <v>696</v>
      </c>
      <c r="P307" s="11">
        <v>4.0021353836768282E-2</v>
      </c>
      <c r="Q307" s="11">
        <v>3.03030303030303E-2</v>
      </c>
      <c r="R307">
        <v>4.0628721814924058E-2</v>
      </c>
      <c r="S307">
        <v>2.8477181106139181E-2</v>
      </c>
      <c r="T307" s="9" t="s">
        <v>40</v>
      </c>
      <c r="U307" s="9" t="s">
        <v>50</v>
      </c>
      <c r="V307" s="9" t="s">
        <v>276</v>
      </c>
      <c r="W307" s="9" t="s">
        <v>377</v>
      </c>
      <c r="X307" s="1">
        <v>12.5</v>
      </c>
      <c r="Y307" s="1">
        <v>15</v>
      </c>
      <c r="Z307" s="3">
        <f t="shared" si="10"/>
        <v>0.83333333333333337</v>
      </c>
      <c r="AA307" s="11">
        <v>4.7983112915857509E-2</v>
      </c>
      <c r="AB307" s="11">
        <v>0.20541663947635641</v>
      </c>
      <c r="AC307" s="10">
        <v>0</v>
      </c>
      <c r="AD307" s="9" t="s">
        <v>41</v>
      </c>
      <c r="AE307" s="9" t="s">
        <v>35</v>
      </c>
    </row>
    <row r="308" spans="1:31" x14ac:dyDescent="0.25">
      <c r="A308" s="9" t="s">
        <v>551</v>
      </c>
      <c r="B308" s="10" t="s">
        <v>995</v>
      </c>
      <c r="C308" s="1" t="s">
        <v>708</v>
      </c>
      <c r="D308" s="10">
        <v>3</v>
      </c>
      <c r="E308" s="10">
        <v>2013</v>
      </c>
      <c r="F308" s="9" t="s">
        <v>28</v>
      </c>
      <c r="G308" s="9" t="s">
        <v>54</v>
      </c>
      <c r="H308" s="1">
        <v>14.6</v>
      </c>
      <c r="I308" s="1">
        <v>4.2</v>
      </c>
      <c r="J308" s="9" t="s">
        <v>30</v>
      </c>
      <c r="K308" s="1">
        <v>0.49</v>
      </c>
      <c r="L308" s="10">
        <v>108</v>
      </c>
      <c r="M308" s="3">
        <v>0.26</v>
      </c>
      <c r="N308" s="11">
        <v>8.1249510280373832E-3</v>
      </c>
      <c r="O308">
        <v>696</v>
      </c>
      <c r="P308" s="11">
        <v>0.26610840687365411</v>
      </c>
      <c r="Q308" s="11">
        <v>9.5238095238095247E-3</v>
      </c>
      <c r="R308">
        <v>0.26116654950657192</v>
      </c>
      <c r="S308">
        <v>8.114358818157013E-3</v>
      </c>
      <c r="T308" s="9" t="s">
        <v>40</v>
      </c>
      <c r="U308" s="9" t="s">
        <v>50</v>
      </c>
      <c r="V308" s="9" t="s">
        <v>276</v>
      </c>
      <c r="W308" s="9" t="s">
        <v>883</v>
      </c>
      <c r="X308" s="1">
        <v>17.2</v>
      </c>
      <c r="Y308" s="1">
        <v>15</v>
      </c>
      <c r="Z308" s="3">
        <f t="shared" si="10"/>
        <v>1.1466666666666667</v>
      </c>
      <c r="AA308" s="11">
        <v>0.22860193280159641</v>
      </c>
      <c r="AB308" s="11">
        <v>8.3818951814987733E-2</v>
      </c>
      <c r="AC308" s="10">
        <v>0</v>
      </c>
      <c r="AD308" s="9" t="s">
        <v>41</v>
      </c>
      <c r="AE308" s="9" t="s">
        <v>35</v>
      </c>
    </row>
    <row r="309" spans="1:31" x14ac:dyDescent="0.25">
      <c r="A309" s="9" t="s">
        <v>551</v>
      </c>
      <c r="B309" s="10" t="s">
        <v>994</v>
      </c>
      <c r="C309" s="1" t="s">
        <v>709</v>
      </c>
      <c r="D309" s="10">
        <v>3</v>
      </c>
      <c r="E309" s="10">
        <v>2013</v>
      </c>
      <c r="F309" s="9" t="s">
        <v>38</v>
      </c>
      <c r="G309" s="9" t="s">
        <v>54</v>
      </c>
      <c r="H309" s="1">
        <v>14.9</v>
      </c>
      <c r="I309" s="1">
        <v>3.2</v>
      </c>
      <c r="J309" s="9" t="s">
        <v>30</v>
      </c>
      <c r="K309" s="1">
        <v>0.53</v>
      </c>
      <c r="L309" s="10">
        <v>36</v>
      </c>
      <c r="M309" s="3">
        <v>0.33</v>
      </c>
      <c r="N309" s="11">
        <v>2.2687406E-2</v>
      </c>
      <c r="O309">
        <v>696</v>
      </c>
      <c r="P309" s="11">
        <v>0.34282825441539388</v>
      </c>
      <c r="Q309" s="11">
        <v>3.03030303030303E-2</v>
      </c>
      <c r="R309">
        <v>0.33459274528176769</v>
      </c>
      <c r="S309">
        <v>2.2532248807089639E-2</v>
      </c>
      <c r="T309" s="9" t="s">
        <v>40</v>
      </c>
      <c r="U309" s="9" t="s">
        <v>50</v>
      </c>
      <c r="V309" s="9" t="s">
        <v>276</v>
      </c>
      <c r="W309" s="9" t="s">
        <v>883</v>
      </c>
      <c r="X309" s="1">
        <v>13.6</v>
      </c>
      <c r="Y309" s="1">
        <v>15</v>
      </c>
      <c r="Z309" s="3">
        <f t="shared" si="10"/>
        <v>0.90666666666666662</v>
      </c>
      <c r="AA309" s="11">
        <v>0.35975475487237762</v>
      </c>
      <c r="AB309" s="11">
        <v>0.17242366432967099</v>
      </c>
      <c r="AC309" s="10">
        <v>0</v>
      </c>
      <c r="AD309" s="9" t="s">
        <v>41</v>
      </c>
      <c r="AE309" s="9" t="s">
        <v>35</v>
      </c>
    </row>
    <row r="310" spans="1:31" x14ac:dyDescent="0.25">
      <c r="A310" s="9" t="s">
        <v>552</v>
      </c>
      <c r="B310" s="10" t="s">
        <v>997</v>
      </c>
      <c r="C310" s="1" t="s">
        <v>710</v>
      </c>
      <c r="D310" s="10">
        <v>3</v>
      </c>
      <c r="E310" s="10">
        <v>2014</v>
      </c>
      <c r="F310" s="9" t="s">
        <v>28</v>
      </c>
      <c r="G310" s="9" t="s">
        <v>29</v>
      </c>
      <c r="H310" s="1">
        <v>20.3</v>
      </c>
      <c r="I310" s="1">
        <v>0.99</v>
      </c>
      <c r="J310" s="9" t="s">
        <v>30</v>
      </c>
      <c r="K310" s="1">
        <v>0.41</v>
      </c>
      <c r="L310" s="10">
        <v>42</v>
      </c>
      <c r="M310" s="3">
        <v>0.437</v>
      </c>
      <c r="N310" s="11">
        <v>1.5964174608804879E-2</v>
      </c>
      <c r="O310">
        <v>584</v>
      </c>
      <c r="P310" s="11">
        <v>0.46851662896966739</v>
      </c>
      <c r="Q310" s="11">
        <v>2.564102564102564E-2</v>
      </c>
      <c r="R310">
        <v>0.44162738436325999</v>
      </c>
      <c r="S310">
        <v>1.5804123393899441E-2</v>
      </c>
      <c r="T310" s="9" t="s">
        <v>40</v>
      </c>
      <c r="U310" s="9" t="s">
        <v>46</v>
      </c>
      <c r="V310" s="9" t="s">
        <v>276</v>
      </c>
      <c r="W310" s="9" t="s">
        <v>378</v>
      </c>
      <c r="X310" s="1">
        <v>9.6199999999999992</v>
      </c>
      <c r="Y310" s="1">
        <v>15</v>
      </c>
      <c r="Z310" s="3">
        <f t="shared" si="10"/>
        <v>0.64133333333333331</v>
      </c>
      <c r="AA310" s="11">
        <v>0.60384794712832679</v>
      </c>
      <c r="AB310" s="11">
        <v>0.15433295918808521</v>
      </c>
      <c r="AC310" s="10">
        <v>2</v>
      </c>
      <c r="AD310" s="9" t="s">
        <v>41</v>
      </c>
      <c r="AE310" s="9" t="s">
        <v>35</v>
      </c>
    </row>
    <row r="311" spans="1:31" x14ac:dyDescent="0.25">
      <c r="A311" s="9" t="s">
        <v>552</v>
      </c>
      <c r="B311" s="10" t="s">
        <v>997</v>
      </c>
      <c r="C311" s="1" t="s">
        <v>711</v>
      </c>
      <c r="D311" s="10">
        <v>3</v>
      </c>
      <c r="E311" s="10">
        <v>2014</v>
      </c>
      <c r="F311" s="9" t="s">
        <v>28</v>
      </c>
      <c r="G311" s="9" t="s">
        <v>29</v>
      </c>
      <c r="H311" s="1">
        <v>20.3</v>
      </c>
      <c r="I311" s="1">
        <v>0.99</v>
      </c>
      <c r="J311" s="9" t="s">
        <v>30</v>
      </c>
      <c r="K311" s="1">
        <v>0.41</v>
      </c>
      <c r="L311" s="10">
        <v>42</v>
      </c>
      <c r="M311" s="3">
        <v>0.54300000000000004</v>
      </c>
      <c r="N311" s="11">
        <v>1.212775445856098E-2</v>
      </c>
      <c r="O311">
        <v>584</v>
      </c>
      <c r="P311" s="11">
        <v>0.60840023073447813</v>
      </c>
      <c r="Q311" s="11">
        <v>2.564102564102564E-2</v>
      </c>
      <c r="R311">
        <v>0.54798038093286427</v>
      </c>
      <c r="S311">
        <v>1.1941575189336549E-2</v>
      </c>
      <c r="T311" s="9" t="s">
        <v>40</v>
      </c>
      <c r="U311" s="9" t="s">
        <v>46</v>
      </c>
      <c r="V311" s="9" t="s">
        <v>276</v>
      </c>
      <c r="W311" s="9" t="s">
        <v>975</v>
      </c>
      <c r="X311" s="1" t="s">
        <v>31</v>
      </c>
      <c r="Y311" s="1" t="s">
        <v>31</v>
      </c>
      <c r="Z311" s="3" t="s">
        <v>31</v>
      </c>
      <c r="AA311" s="11" t="s">
        <v>31</v>
      </c>
      <c r="AB311" s="11" t="s">
        <v>31</v>
      </c>
      <c r="AC311" s="10">
        <v>2</v>
      </c>
      <c r="AD311" s="9" t="s">
        <v>41</v>
      </c>
      <c r="AE311" s="9" t="s">
        <v>35</v>
      </c>
    </row>
    <row r="312" spans="1:31" x14ac:dyDescent="0.25">
      <c r="A312" s="9" t="s">
        <v>553</v>
      </c>
      <c r="B312" s="10" t="s">
        <v>998</v>
      </c>
      <c r="C312" s="1" t="s">
        <v>712</v>
      </c>
      <c r="D312" s="10">
        <v>3</v>
      </c>
      <c r="E312" s="10">
        <v>2014</v>
      </c>
      <c r="F312" s="9" t="s">
        <v>28</v>
      </c>
      <c r="G312" s="9" t="s">
        <v>54</v>
      </c>
      <c r="H312" s="1">
        <v>10.17</v>
      </c>
      <c r="I312" s="1">
        <v>0.8</v>
      </c>
      <c r="J312" s="9" t="s">
        <v>30</v>
      </c>
      <c r="K312" s="1">
        <v>0.34799999999999998</v>
      </c>
      <c r="L312" s="10">
        <v>21</v>
      </c>
      <c r="M312" s="3">
        <v>0</v>
      </c>
      <c r="N312" s="11">
        <v>0.05</v>
      </c>
      <c r="O312">
        <v>575</v>
      </c>
      <c r="P312" s="11">
        <v>0</v>
      </c>
      <c r="Q312" s="11">
        <v>5.5555555555555552E-2</v>
      </c>
      <c r="R312">
        <v>0</v>
      </c>
      <c r="S312">
        <v>0.05</v>
      </c>
      <c r="T312" s="9" t="s">
        <v>40</v>
      </c>
      <c r="U312" s="9" t="s">
        <v>50</v>
      </c>
      <c r="V312" s="9" t="s">
        <v>276</v>
      </c>
      <c r="W312" s="9" t="s">
        <v>379</v>
      </c>
      <c r="X312" s="1" t="s">
        <v>31</v>
      </c>
      <c r="Y312" s="1" t="s">
        <v>31</v>
      </c>
      <c r="Z312" s="3" t="s">
        <v>31</v>
      </c>
      <c r="AA312" s="11" t="s">
        <v>31</v>
      </c>
      <c r="AB312" s="11" t="s">
        <v>31</v>
      </c>
      <c r="AC312" s="10">
        <v>3</v>
      </c>
      <c r="AD312" s="9" t="s">
        <v>34</v>
      </c>
      <c r="AE312" s="9" t="s">
        <v>35</v>
      </c>
    </row>
    <row r="313" spans="1:31" x14ac:dyDescent="0.25">
      <c r="A313" s="9" t="s">
        <v>555</v>
      </c>
      <c r="B313" s="10" t="s">
        <v>498</v>
      </c>
      <c r="C313" s="1" t="s">
        <v>713</v>
      </c>
      <c r="D313" s="10">
        <v>3</v>
      </c>
      <c r="E313" s="10">
        <v>2014</v>
      </c>
      <c r="F313" s="9" t="s">
        <v>38</v>
      </c>
      <c r="G313" s="9" t="s">
        <v>54</v>
      </c>
      <c r="H313" s="1">
        <v>11.6</v>
      </c>
      <c r="I313" s="1">
        <v>3.6</v>
      </c>
      <c r="J313" s="9" t="s">
        <v>43</v>
      </c>
      <c r="K313" s="1">
        <v>1</v>
      </c>
      <c r="L313" s="10">
        <v>142</v>
      </c>
      <c r="M313" s="3">
        <v>0.127</v>
      </c>
      <c r="N313" s="11">
        <v>6.8652634371702131E-3</v>
      </c>
      <c r="O313">
        <v>57</v>
      </c>
      <c r="P313" s="11">
        <v>0.1276894791000871</v>
      </c>
      <c r="Q313" s="11">
        <v>7.1942446043165471E-3</v>
      </c>
      <c r="R313">
        <v>0.127453419380891</v>
      </c>
      <c r="S313">
        <v>6.8636534146561999E-3</v>
      </c>
      <c r="T313" s="9" t="s">
        <v>40</v>
      </c>
      <c r="U313" s="9" t="s">
        <v>50</v>
      </c>
      <c r="V313" s="9" t="s">
        <v>276</v>
      </c>
      <c r="W313" s="9" t="s">
        <v>369</v>
      </c>
      <c r="X313" s="1">
        <v>13.77</v>
      </c>
      <c r="Y313" s="1">
        <v>15</v>
      </c>
      <c r="Z313" s="3">
        <f t="shared" si="10"/>
        <v>0.91799999999999993</v>
      </c>
      <c r="AA313" s="11">
        <v>0.1381364787627809</v>
      </c>
      <c r="AB313" s="11">
        <v>9.0908481847873396E-2</v>
      </c>
      <c r="AC313" s="10">
        <v>0</v>
      </c>
      <c r="AD313" s="9" t="s">
        <v>34</v>
      </c>
      <c r="AE313" s="9" t="s">
        <v>35</v>
      </c>
    </row>
    <row r="314" spans="1:31" x14ac:dyDescent="0.25">
      <c r="A314" s="9" t="s">
        <v>555</v>
      </c>
      <c r="B314" s="10" t="s">
        <v>499</v>
      </c>
      <c r="C314" s="1" t="s">
        <v>714</v>
      </c>
      <c r="D314" s="10">
        <v>3</v>
      </c>
      <c r="E314" s="10">
        <v>2014</v>
      </c>
      <c r="F314" s="9" t="s">
        <v>38</v>
      </c>
      <c r="G314" s="9" t="s">
        <v>54</v>
      </c>
      <c r="H314" s="1">
        <v>11.3</v>
      </c>
      <c r="I314" s="1">
        <v>3.5</v>
      </c>
      <c r="J314" s="9" t="s">
        <v>39</v>
      </c>
      <c r="K314" s="1">
        <v>0</v>
      </c>
      <c r="L314" s="10">
        <v>161</v>
      </c>
      <c r="M314" s="3">
        <v>0.17599999999999999</v>
      </c>
      <c r="N314" s="11">
        <v>5.8687969536000001E-3</v>
      </c>
      <c r="O314">
        <v>57</v>
      </c>
      <c r="P314" s="11">
        <v>0.17785179927455019</v>
      </c>
      <c r="Q314" s="11">
        <v>6.3291139240506328E-3</v>
      </c>
      <c r="R314">
        <v>0.1765437647908224</v>
      </c>
      <c r="S314">
        <v>5.8664751487844816E-3</v>
      </c>
      <c r="T314" s="9" t="s">
        <v>40</v>
      </c>
      <c r="U314" s="9" t="s">
        <v>50</v>
      </c>
      <c r="V314" s="9" t="s">
        <v>276</v>
      </c>
      <c r="W314" s="9" t="s">
        <v>369</v>
      </c>
      <c r="X314" s="1">
        <v>12.98</v>
      </c>
      <c r="Y314" s="1">
        <v>15</v>
      </c>
      <c r="Z314" s="3">
        <f t="shared" si="10"/>
        <v>0.8653333333333334</v>
      </c>
      <c r="AA314" s="11">
        <v>0.20234124082551611</v>
      </c>
      <c r="AB314" s="11">
        <v>8.8828186282102733E-2</v>
      </c>
      <c r="AC314" s="10">
        <v>0</v>
      </c>
      <c r="AD314" s="9" t="s">
        <v>34</v>
      </c>
      <c r="AE314" s="9" t="s">
        <v>35</v>
      </c>
    </row>
    <row r="315" spans="1:31" x14ac:dyDescent="0.25">
      <c r="A315" s="9" t="s">
        <v>559</v>
      </c>
      <c r="B315" s="10" t="s">
        <v>731</v>
      </c>
      <c r="C315" s="1" t="s">
        <v>715</v>
      </c>
      <c r="D315" s="10">
        <v>3</v>
      </c>
      <c r="E315" s="10">
        <v>2015</v>
      </c>
      <c r="F315" s="9" t="s">
        <v>38</v>
      </c>
      <c r="G315" s="9" t="s">
        <v>29</v>
      </c>
      <c r="H315" s="1">
        <v>26.2</v>
      </c>
      <c r="I315" s="1">
        <v>5</v>
      </c>
      <c r="J315" s="9" t="s">
        <v>30</v>
      </c>
      <c r="K315" s="1">
        <v>0.51</v>
      </c>
      <c r="L315" s="10">
        <v>285</v>
      </c>
      <c r="M315" s="3">
        <v>0.18</v>
      </c>
      <c r="N315" s="11">
        <v>3.296654084507042E-3</v>
      </c>
      <c r="O315">
        <v>1415</v>
      </c>
      <c r="P315" s="11">
        <v>0.18198268860070571</v>
      </c>
      <c r="Q315" s="11">
        <v>3.5460992907801422E-3</v>
      </c>
      <c r="R315">
        <v>0.18031010166773381</v>
      </c>
      <c r="S315">
        <v>3.2958927719733229E-3</v>
      </c>
      <c r="T315" s="9" t="s">
        <v>40</v>
      </c>
      <c r="U315" s="9" t="s">
        <v>50</v>
      </c>
      <c r="V315" s="9" t="s">
        <v>276</v>
      </c>
      <c r="W315" s="9" t="s">
        <v>380</v>
      </c>
      <c r="X315" s="1">
        <v>17.079999999999998</v>
      </c>
      <c r="Y315" s="1">
        <v>15</v>
      </c>
      <c r="Z315" s="3">
        <f t="shared" si="10"/>
        <v>1.1386666666666665</v>
      </c>
      <c r="AA315" s="11">
        <v>0.15866865198368771</v>
      </c>
      <c r="AB315" s="11">
        <v>5.1928264423958863E-2</v>
      </c>
      <c r="AC315" s="10">
        <v>2</v>
      </c>
      <c r="AD315" s="9" t="s">
        <v>34</v>
      </c>
      <c r="AE315" s="9" t="s">
        <v>35</v>
      </c>
    </row>
    <row r="316" spans="1:31" x14ac:dyDescent="0.25">
      <c r="A316" s="9" t="s">
        <v>559</v>
      </c>
      <c r="B316" s="10" t="s">
        <v>733</v>
      </c>
      <c r="C316" s="1" t="s">
        <v>716</v>
      </c>
      <c r="D316" s="10">
        <v>3</v>
      </c>
      <c r="E316" s="10">
        <v>2015</v>
      </c>
      <c r="F316" s="9" t="s">
        <v>38</v>
      </c>
      <c r="G316" s="9" t="s">
        <v>29</v>
      </c>
      <c r="H316" s="1">
        <v>21.7</v>
      </c>
      <c r="I316" s="1">
        <v>2.9</v>
      </c>
      <c r="J316" s="9" t="s">
        <v>30</v>
      </c>
      <c r="K316" s="1">
        <v>0.54</v>
      </c>
      <c r="L316" s="10">
        <v>125</v>
      </c>
      <c r="M316" s="3">
        <v>0.04</v>
      </c>
      <c r="N316" s="11">
        <v>8.0387303225806436E-3</v>
      </c>
      <c r="O316">
        <v>1415</v>
      </c>
      <c r="P316" s="11">
        <v>4.0021353836768282E-2</v>
      </c>
      <c r="Q316" s="11">
        <v>8.1967213114754103E-3</v>
      </c>
      <c r="R316">
        <v>4.0165359331861453E-2</v>
      </c>
      <c r="S316">
        <v>8.0385168581830462E-3</v>
      </c>
      <c r="T316" s="9" t="s">
        <v>40</v>
      </c>
      <c r="U316" s="9" t="s">
        <v>50</v>
      </c>
      <c r="V316" s="9" t="s">
        <v>276</v>
      </c>
      <c r="W316" s="9" t="s">
        <v>369</v>
      </c>
      <c r="X316" s="1">
        <v>13.19</v>
      </c>
      <c r="Y316" s="1">
        <v>15</v>
      </c>
      <c r="Z316" s="3">
        <f t="shared" si="10"/>
        <v>0.8793333333333333</v>
      </c>
      <c r="AA316" s="11">
        <v>4.547833772570499E-2</v>
      </c>
      <c r="AB316" s="11">
        <v>0.10238600009819469</v>
      </c>
      <c r="AC316" s="10">
        <v>2</v>
      </c>
      <c r="AD316" s="9" t="s">
        <v>34</v>
      </c>
      <c r="AE316" s="9" t="s">
        <v>35</v>
      </c>
    </row>
    <row r="317" spans="1:31" x14ac:dyDescent="0.25">
      <c r="A317" s="9" t="s">
        <v>559</v>
      </c>
      <c r="B317" s="10" t="s">
        <v>732</v>
      </c>
      <c r="C317" s="1" t="s">
        <v>717</v>
      </c>
      <c r="D317" s="10">
        <v>3</v>
      </c>
      <c r="E317" s="10">
        <v>2015</v>
      </c>
      <c r="F317" s="9" t="s">
        <v>38</v>
      </c>
      <c r="G317" s="9" t="s">
        <v>29</v>
      </c>
      <c r="H317" s="1">
        <v>23.5</v>
      </c>
      <c r="I317" s="1">
        <v>5.0999999999999996</v>
      </c>
      <c r="J317" s="9" t="s">
        <v>43</v>
      </c>
      <c r="K317" s="1">
        <v>1</v>
      </c>
      <c r="L317" s="10">
        <v>107</v>
      </c>
      <c r="M317" s="3">
        <v>0.1</v>
      </c>
      <c r="N317" s="11">
        <v>9.2462264150943389E-3</v>
      </c>
      <c r="O317">
        <v>1415</v>
      </c>
      <c r="P317" s="11">
        <v>0.10033534773107559</v>
      </c>
      <c r="Q317" s="11">
        <v>9.6153846153846159E-3</v>
      </c>
      <c r="R317">
        <v>0.1004816359300066</v>
      </c>
      <c r="S317">
        <v>9.2444228508350365E-3</v>
      </c>
      <c r="T317" s="9" t="s">
        <v>40</v>
      </c>
      <c r="U317" s="9" t="s">
        <v>50</v>
      </c>
      <c r="V317" s="9" t="s">
        <v>276</v>
      </c>
      <c r="W317" s="9" t="s">
        <v>381</v>
      </c>
      <c r="X317" s="1">
        <v>12.05</v>
      </c>
      <c r="Y317" s="1">
        <v>15</v>
      </c>
      <c r="Z317" s="3">
        <f t="shared" si="10"/>
        <v>0.80333333333333334</v>
      </c>
      <c r="AA317" s="11">
        <v>0.1241406813493426</v>
      </c>
      <c r="AB317" s="11">
        <v>0.11988280544206641</v>
      </c>
      <c r="AC317" s="10">
        <v>2</v>
      </c>
      <c r="AD317" s="9" t="s">
        <v>34</v>
      </c>
      <c r="AE317" s="9" t="s">
        <v>35</v>
      </c>
    </row>
    <row r="318" spans="1:31" x14ac:dyDescent="0.25">
      <c r="A318" s="9" t="s">
        <v>560</v>
      </c>
      <c r="B318" s="10" t="s">
        <v>735</v>
      </c>
      <c r="C318" s="1" t="s">
        <v>718</v>
      </c>
      <c r="D318" s="10">
        <v>3</v>
      </c>
      <c r="E318" s="10">
        <v>2015</v>
      </c>
      <c r="F318" s="9" t="s">
        <v>28</v>
      </c>
      <c r="G318" s="9" t="s">
        <v>54</v>
      </c>
      <c r="H318" s="1">
        <v>16.600000000000001</v>
      </c>
      <c r="I318" s="1" t="s">
        <v>31</v>
      </c>
      <c r="J318" s="9" t="s">
        <v>30</v>
      </c>
      <c r="K318" s="1">
        <v>0.88</v>
      </c>
      <c r="L318" s="10">
        <v>241</v>
      </c>
      <c r="M318" s="3">
        <v>0.08</v>
      </c>
      <c r="N318" s="11">
        <v>4.1135040000000013E-3</v>
      </c>
      <c r="O318">
        <v>131</v>
      </c>
      <c r="P318" s="11">
        <v>8.0171325037589738E-2</v>
      </c>
      <c r="Q318" s="11">
        <v>4.2016806722689074E-3</v>
      </c>
      <c r="R318">
        <v>8.0167862433981649E-2</v>
      </c>
      <c r="S318">
        <v>4.1132813855472451E-3</v>
      </c>
      <c r="T318" s="9" t="s">
        <v>40</v>
      </c>
      <c r="U318" s="9" t="s">
        <v>50</v>
      </c>
      <c r="V318" s="9" t="s">
        <v>276</v>
      </c>
      <c r="W318" s="9" t="s">
        <v>289</v>
      </c>
      <c r="X318" s="1">
        <v>18</v>
      </c>
      <c r="Y318" s="1">
        <v>15</v>
      </c>
      <c r="Z318" s="3">
        <f t="shared" si="10"/>
        <v>1.2</v>
      </c>
      <c r="AA318" s="11">
        <v>6.6731947612857834E-2</v>
      </c>
      <c r="AB318" s="11">
        <v>5.3889080407424482E-2</v>
      </c>
      <c r="AC318" s="10">
        <v>0</v>
      </c>
      <c r="AD318" s="9" t="s">
        <v>41</v>
      </c>
      <c r="AE318" s="9" t="s">
        <v>35</v>
      </c>
    </row>
    <row r="319" spans="1:31" x14ac:dyDescent="0.25">
      <c r="A319" s="9" t="s">
        <v>560</v>
      </c>
      <c r="B319" s="10" t="s">
        <v>734</v>
      </c>
      <c r="C319" s="1" t="s">
        <v>719</v>
      </c>
      <c r="D319" s="10">
        <v>3</v>
      </c>
      <c r="E319" s="10">
        <v>2015</v>
      </c>
      <c r="F319" s="9" t="s">
        <v>38</v>
      </c>
      <c r="G319" s="9" t="s">
        <v>54</v>
      </c>
      <c r="H319" s="1">
        <v>17</v>
      </c>
      <c r="I319" s="1" t="s">
        <v>31</v>
      </c>
      <c r="J319" s="9" t="s">
        <v>30</v>
      </c>
      <c r="K319" s="1">
        <v>0.83</v>
      </c>
      <c r="L319" s="10">
        <v>297</v>
      </c>
      <c r="M319" s="3">
        <v>0.22</v>
      </c>
      <c r="N319" s="11">
        <v>3.0592654054054048E-3</v>
      </c>
      <c r="O319">
        <v>131</v>
      </c>
      <c r="P319" s="11">
        <v>0.22365610902183239</v>
      </c>
      <c r="Q319" s="11">
        <v>3.4013605442176869E-3</v>
      </c>
      <c r="R319">
        <v>0.22035742652394971</v>
      </c>
      <c r="S319">
        <v>3.058253479060379E-3</v>
      </c>
      <c r="T319" s="9" t="s">
        <v>40</v>
      </c>
      <c r="U319" s="9" t="s">
        <v>50</v>
      </c>
      <c r="V319" s="9" t="s">
        <v>276</v>
      </c>
      <c r="W319" s="9" t="s">
        <v>289</v>
      </c>
      <c r="X319" s="1">
        <v>13</v>
      </c>
      <c r="Y319" s="1">
        <v>15</v>
      </c>
      <c r="Z319" s="3">
        <f t="shared" si="10"/>
        <v>0.8666666666666667</v>
      </c>
      <c r="AA319" s="11">
        <v>0.25183474007671608</v>
      </c>
      <c r="AB319" s="11">
        <v>6.3988108493884005E-2</v>
      </c>
      <c r="AC319" s="10">
        <v>0</v>
      </c>
      <c r="AD319" s="9" t="s">
        <v>41</v>
      </c>
      <c r="AE319" s="9" t="s">
        <v>35</v>
      </c>
    </row>
    <row r="320" spans="1:31" x14ac:dyDescent="0.25">
      <c r="A320" s="9" t="s">
        <v>561</v>
      </c>
      <c r="B320" s="10" t="s">
        <v>847</v>
      </c>
      <c r="C320" s="1" t="s">
        <v>720</v>
      </c>
      <c r="D320" s="10">
        <v>3</v>
      </c>
      <c r="E320" s="10">
        <v>2015</v>
      </c>
      <c r="F320" s="9" t="s">
        <v>38</v>
      </c>
      <c r="G320" s="9" t="s">
        <v>29</v>
      </c>
      <c r="H320" s="1">
        <v>24.57</v>
      </c>
      <c r="I320" s="1" t="s">
        <v>31</v>
      </c>
      <c r="J320" s="9" t="s">
        <v>39</v>
      </c>
      <c r="K320" s="1">
        <v>0</v>
      </c>
      <c r="L320" s="10">
        <v>90</v>
      </c>
      <c r="M320" s="3">
        <v>0.251</v>
      </c>
      <c r="N320" s="11">
        <v>9.8647991685505629E-3</v>
      </c>
      <c r="O320">
        <v>208</v>
      </c>
      <c r="P320" s="11">
        <v>0.2564797634748458</v>
      </c>
      <c r="Q320" s="11">
        <v>1.149425287356322E-2</v>
      </c>
      <c r="R320">
        <v>0.25236900745226221</v>
      </c>
      <c r="S320">
        <v>9.8502943710262227E-3</v>
      </c>
      <c r="T320" s="9" t="s">
        <v>40</v>
      </c>
      <c r="U320" s="9" t="s">
        <v>50</v>
      </c>
      <c r="V320" s="9" t="s">
        <v>276</v>
      </c>
      <c r="W320" s="9" t="s">
        <v>302</v>
      </c>
      <c r="X320" s="1" t="s">
        <v>31</v>
      </c>
      <c r="Y320" s="1" t="s">
        <v>31</v>
      </c>
      <c r="Z320" s="3" t="s">
        <v>31</v>
      </c>
      <c r="AA320" s="11" t="s">
        <v>31</v>
      </c>
      <c r="AB320" s="11" t="s">
        <v>31</v>
      </c>
      <c r="AC320" s="10">
        <v>0</v>
      </c>
      <c r="AD320" s="9" t="s">
        <v>41</v>
      </c>
      <c r="AE320" s="9" t="s">
        <v>35</v>
      </c>
    </row>
    <row r="321" spans="1:31" x14ac:dyDescent="0.25">
      <c r="A321" s="9" t="s">
        <v>561</v>
      </c>
      <c r="B321" s="10" t="s">
        <v>848</v>
      </c>
      <c r="C321" s="1" t="s">
        <v>721</v>
      </c>
      <c r="D321" s="10">
        <v>3</v>
      </c>
      <c r="E321" s="10">
        <v>2015</v>
      </c>
      <c r="F321" s="9" t="s">
        <v>38</v>
      </c>
      <c r="G321" s="9" t="s">
        <v>29</v>
      </c>
      <c r="H321" s="1">
        <v>24.07</v>
      </c>
      <c r="I321" s="1" t="s">
        <v>31</v>
      </c>
      <c r="J321" s="9" t="s">
        <v>43</v>
      </c>
      <c r="K321" s="1">
        <v>1</v>
      </c>
      <c r="L321" s="10">
        <v>121</v>
      </c>
      <c r="M321" s="3">
        <v>0.17799999999999999</v>
      </c>
      <c r="N321" s="11">
        <v>7.8136322987999995E-3</v>
      </c>
      <c r="O321">
        <v>208</v>
      </c>
      <c r="P321" s="11">
        <v>0.17991648457767601</v>
      </c>
      <c r="Q321" s="11">
        <v>8.4745762711864406E-3</v>
      </c>
      <c r="R321">
        <v>0.178737692015179</v>
      </c>
      <c r="S321">
        <v>7.8093858008414403E-3</v>
      </c>
      <c r="T321" s="9" t="s">
        <v>40</v>
      </c>
      <c r="U321" s="9" t="s">
        <v>50</v>
      </c>
      <c r="V321" s="9" t="s">
        <v>276</v>
      </c>
      <c r="W321" s="9" t="s">
        <v>302</v>
      </c>
      <c r="X321" s="1" t="s">
        <v>31</v>
      </c>
      <c r="Y321" s="1" t="s">
        <v>31</v>
      </c>
      <c r="Z321" s="3" t="s">
        <v>31</v>
      </c>
      <c r="AA321" s="11" t="s">
        <v>31</v>
      </c>
      <c r="AB321" s="11" t="s">
        <v>31</v>
      </c>
      <c r="AC321" s="10">
        <v>0</v>
      </c>
      <c r="AD321" s="9" t="s">
        <v>41</v>
      </c>
      <c r="AE321" s="9" t="s">
        <v>35</v>
      </c>
    </row>
    <row r="322" spans="1:31" x14ac:dyDescent="0.25">
      <c r="A322" s="9" t="s">
        <v>563</v>
      </c>
      <c r="B322" s="10" t="s">
        <v>738</v>
      </c>
      <c r="C322" s="1" t="s">
        <v>722</v>
      </c>
      <c r="D322" s="10">
        <v>3</v>
      </c>
      <c r="E322" s="10">
        <v>2016</v>
      </c>
      <c r="F322" s="9" t="s">
        <v>28</v>
      </c>
      <c r="G322" s="9" t="s">
        <v>29</v>
      </c>
      <c r="H322" s="1">
        <v>25.1</v>
      </c>
      <c r="I322" s="1">
        <v>12.05</v>
      </c>
      <c r="J322" s="9" t="s">
        <v>62</v>
      </c>
      <c r="K322" s="1">
        <v>0.67</v>
      </c>
      <c r="L322" s="10">
        <v>30</v>
      </c>
      <c r="M322" s="3">
        <v>0.71099999999999997</v>
      </c>
      <c r="N322" s="11">
        <v>8.4313614290000005E-3</v>
      </c>
      <c r="O322">
        <v>90</v>
      </c>
      <c r="P322" s="11">
        <v>0.88920329288988054</v>
      </c>
      <c r="Q322" s="11">
        <v>3.7037037037037042E-2</v>
      </c>
      <c r="R322">
        <v>0.71752744483183806</v>
      </c>
      <c r="S322">
        <v>8.1163709918805477E-3</v>
      </c>
      <c r="T322" s="9" t="s">
        <v>40</v>
      </c>
      <c r="U322" s="9" t="s">
        <v>46</v>
      </c>
      <c r="V322" s="9" t="s">
        <v>276</v>
      </c>
      <c r="W322" s="9" t="s">
        <v>382</v>
      </c>
      <c r="X322" s="1">
        <v>19.34</v>
      </c>
      <c r="Y322" s="1">
        <v>15</v>
      </c>
      <c r="Z322" s="3">
        <f t="shared" si="10"/>
        <v>1.2893333333333332</v>
      </c>
      <c r="AA322" s="11">
        <v>0.61708771699631226</v>
      </c>
      <c r="AB322" s="11">
        <v>0.14442994156827191</v>
      </c>
      <c r="AC322" s="10">
        <v>2</v>
      </c>
      <c r="AD322" s="9" t="s">
        <v>41</v>
      </c>
      <c r="AE322" s="9" t="s">
        <v>35</v>
      </c>
    </row>
    <row r="323" spans="1:31" x14ac:dyDescent="0.25">
      <c r="A323" s="9" t="s">
        <v>564</v>
      </c>
      <c r="B323" s="10" t="s">
        <v>739</v>
      </c>
      <c r="C323" s="1" t="s">
        <v>723</v>
      </c>
      <c r="D323" s="10">
        <v>3</v>
      </c>
      <c r="E323" s="10">
        <v>2016</v>
      </c>
      <c r="F323" s="9" t="s">
        <v>38</v>
      </c>
      <c r="G323" s="9" t="s">
        <v>29</v>
      </c>
      <c r="H323" s="1">
        <v>32.700000000000003</v>
      </c>
      <c r="I323" s="1">
        <v>13.6</v>
      </c>
      <c r="J323" s="9" t="s">
        <v>30</v>
      </c>
      <c r="K323" s="1">
        <v>0.42</v>
      </c>
      <c r="L323" s="10">
        <v>164</v>
      </c>
      <c r="M323" s="3">
        <v>0.18</v>
      </c>
      <c r="N323" s="11">
        <v>5.7438635582822088E-3</v>
      </c>
      <c r="O323">
        <v>1049</v>
      </c>
      <c r="P323" s="11">
        <v>0.18198268860070571</v>
      </c>
      <c r="Q323" s="11">
        <v>6.2111801242236021E-3</v>
      </c>
      <c r="R323">
        <v>0.1805448713329158</v>
      </c>
      <c r="S323">
        <v>5.7415314568108802E-3</v>
      </c>
      <c r="T323" s="9" t="s">
        <v>40</v>
      </c>
      <c r="U323" s="9" t="s">
        <v>50</v>
      </c>
      <c r="V323" s="9" t="s">
        <v>276</v>
      </c>
      <c r="W323" s="9" t="s">
        <v>884</v>
      </c>
      <c r="X323" s="1">
        <v>14</v>
      </c>
      <c r="Y323" s="1">
        <v>15</v>
      </c>
      <c r="Z323" s="3">
        <f t="shared" si="10"/>
        <v>0.93333333333333335</v>
      </c>
      <c r="AA323" s="11">
        <v>0.1923965315190512</v>
      </c>
      <c r="AB323" s="11">
        <v>8.2212560741483531E-2</v>
      </c>
      <c r="AC323" s="10">
        <v>0</v>
      </c>
      <c r="AD323" s="9" t="s">
        <v>41</v>
      </c>
      <c r="AE323" s="9" t="s">
        <v>35</v>
      </c>
    </row>
    <row r="324" spans="1:31" x14ac:dyDescent="0.25">
      <c r="A324" s="9" t="s">
        <v>564</v>
      </c>
      <c r="B324" s="10" t="s">
        <v>739</v>
      </c>
      <c r="C324" s="1" t="s">
        <v>724</v>
      </c>
      <c r="D324" s="10">
        <v>3</v>
      </c>
      <c r="E324" s="10">
        <v>2016</v>
      </c>
      <c r="F324" s="9" t="s">
        <v>38</v>
      </c>
      <c r="G324" s="9" t="s">
        <v>29</v>
      </c>
      <c r="H324" s="1">
        <v>32.700000000000003</v>
      </c>
      <c r="I324" s="1">
        <v>13.6</v>
      </c>
      <c r="J324" s="9" t="s">
        <v>30</v>
      </c>
      <c r="K324" s="1">
        <v>0.42</v>
      </c>
      <c r="L324" s="10">
        <v>164</v>
      </c>
      <c r="M324" s="3">
        <v>0.26</v>
      </c>
      <c r="N324" s="11">
        <v>5.333556809815951E-3</v>
      </c>
      <c r="O324">
        <v>1049</v>
      </c>
      <c r="P324" s="11">
        <v>0.26610840687365411</v>
      </c>
      <c r="Q324" s="11">
        <v>6.2111801242236021E-3</v>
      </c>
      <c r="R324">
        <v>0.2607580255117562</v>
      </c>
      <c r="S324">
        <v>5.3290416564427054E-3</v>
      </c>
      <c r="T324" s="9" t="s">
        <v>40</v>
      </c>
      <c r="U324" s="9" t="s">
        <v>50</v>
      </c>
      <c r="V324" s="9" t="s">
        <v>276</v>
      </c>
      <c r="W324" s="9" t="s">
        <v>885</v>
      </c>
      <c r="X324" s="1">
        <v>14.5</v>
      </c>
      <c r="Y324" s="1">
        <v>15</v>
      </c>
      <c r="Z324" s="3">
        <f t="shared" si="10"/>
        <v>0.96666666666666667</v>
      </c>
      <c r="AA324" s="11">
        <v>0.26832999909800559</v>
      </c>
      <c r="AB324" s="11">
        <v>7.7926425437314845E-2</v>
      </c>
      <c r="AC324" s="10">
        <v>0</v>
      </c>
      <c r="AD324" s="9" t="s">
        <v>41</v>
      </c>
      <c r="AE324" s="9" t="s">
        <v>35</v>
      </c>
    </row>
    <row r="325" spans="1:31" x14ac:dyDescent="0.25">
      <c r="A325" s="9" t="s">
        <v>564</v>
      </c>
      <c r="B325" s="10" t="s">
        <v>739</v>
      </c>
      <c r="C325" s="1" t="s">
        <v>725</v>
      </c>
      <c r="D325" s="10">
        <v>3</v>
      </c>
      <c r="E325" s="10">
        <v>2016</v>
      </c>
      <c r="F325" s="9" t="s">
        <v>38</v>
      </c>
      <c r="G325" s="9" t="s">
        <v>29</v>
      </c>
      <c r="H325" s="1">
        <v>32.700000000000003</v>
      </c>
      <c r="I325" s="1">
        <v>13.6</v>
      </c>
      <c r="J325" s="9" t="s">
        <v>30</v>
      </c>
      <c r="K325" s="1">
        <v>0.42</v>
      </c>
      <c r="L325" s="10">
        <v>164</v>
      </c>
      <c r="M325" s="3">
        <v>0</v>
      </c>
      <c r="N325" s="11">
        <v>6.1349693251533744E-3</v>
      </c>
      <c r="O325">
        <v>1049</v>
      </c>
      <c r="P325" s="11">
        <v>0</v>
      </c>
      <c r="Q325" s="11">
        <v>6.2111801242236021E-3</v>
      </c>
      <c r="R325">
        <v>0</v>
      </c>
      <c r="S325">
        <v>6.1349693251533744E-3</v>
      </c>
      <c r="T325" s="9" t="s">
        <v>40</v>
      </c>
      <c r="U325" s="9" t="s">
        <v>50</v>
      </c>
      <c r="V325" s="9" t="s">
        <v>276</v>
      </c>
      <c r="W325" s="9" t="s">
        <v>877</v>
      </c>
      <c r="X325" s="1">
        <v>14.5</v>
      </c>
      <c r="Y325" s="1">
        <v>15</v>
      </c>
      <c r="Z325" s="3">
        <f t="shared" si="10"/>
        <v>0.96666666666666667</v>
      </c>
      <c r="AA325" s="11">
        <v>0</v>
      </c>
      <c r="AB325" s="11" t="s">
        <v>31</v>
      </c>
      <c r="AC325" s="10">
        <v>0</v>
      </c>
      <c r="AD325" s="9" t="s">
        <v>41</v>
      </c>
      <c r="AE325" s="9" t="s">
        <v>35</v>
      </c>
    </row>
    <row r="326" spans="1:31" x14ac:dyDescent="0.25">
      <c r="A326" s="9" t="s">
        <v>871</v>
      </c>
      <c r="B326" s="10" t="s">
        <v>1064</v>
      </c>
      <c r="C326" s="1" t="s">
        <v>726</v>
      </c>
      <c r="D326" s="10">
        <v>3</v>
      </c>
      <c r="E326" s="10">
        <v>2016</v>
      </c>
      <c r="F326" s="9" t="s">
        <v>38</v>
      </c>
      <c r="G326" s="9" t="s">
        <v>29</v>
      </c>
      <c r="H326" s="1">
        <v>45.1</v>
      </c>
      <c r="I326" s="1">
        <v>3.9</v>
      </c>
      <c r="J326" s="9" t="s">
        <v>30</v>
      </c>
      <c r="K326" s="1">
        <v>0.49</v>
      </c>
      <c r="L326" s="10">
        <v>73</v>
      </c>
      <c r="M326" s="3">
        <v>0.35499999999999998</v>
      </c>
      <c r="N326" s="11">
        <v>1.0608781953125E-2</v>
      </c>
      <c r="O326">
        <v>377</v>
      </c>
      <c r="P326" s="11">
        <v>0.37115320825901432</v>
      </c>
      <c r="Q326" s="11">
        <v>1.428571428571429E-2</v>
      </c>
      <c r="R326">
        <v>0.35724687089239893</v>
      </c>
      <c r="S326">
        <v>1.0569966257033211E-2</v>
      </c>
      <c r="T326" s="9" t="s">
        <v>40</v>
      </c>
      <c r="U326" s="9" t="s">
        <v>46</v>
      </c>
      <c r="V326" s="9" t="s">
        <v>276</v>
      </c>
      <c r="W326" s="9" t="s">
        <v>366</v>
      </c>
      <c r="X326" s="1" t="s">
        <v>31</v>
      </c>
      <c r="Y326" s="1" t="s">
        <v>31</v>
      </c>
      <c r="Z326" s="3" t="s">
        <v>31</v>
      </c>
      <c r="AA326" s="11" t="s">
        <v>31</v>
      </c>
      <c r="AB326" s="11" t="s">
        <v>31</v>
      </c>
      <c r="AC326" s="10">
        <v>0</v>
      </c>
      <c r="AD326" s="9" t="s">
        <v>34</v>
      </c>
      <c r="AE326" s="9" t="s">
        <v>35</v>
      </c>
    </row>
    <row r="327" spans="1:31" x14ac:dyDescent="0.25">
      <c r="A327" s="9" t="s">
        <v>871</v>
      </c>
      <c r="B327" s="10" t="s">
        <v>1064</v>
      </c>
      <c r="C327" s="1" t="s">
        <v>727</v>
      </c>
      <c r="D327" s="10">
        <v>3</v>
      </c>
      <c r="E327" s="10">
        <v>2016</v>
      </c>
      <c r="F327" s="9" t="s">
        <v>38</v>
      </c>
      <c r="G327" s="9" t="s">
        <v>29</v>
      </c>
      <c r="H327" s="1">
        <v>45.1</v>
      </c>
      <c r="I327" s="1">
        <v>3.9</v>
      </c>
      <c r="J327" s="9" t="s">
        <v>30</v>
      </c>
      <c r="K327" s="1">
        <v>0.49</v>
      </c>
      <c r="L327" s="10">
        <v>73</v>
      </c>
      <c r="M327" s="3">
        <v>0.503</v>
      </c>
      <c r="N327" s="11">
        <v>7.7499382511249998E-3</v>
      </c>
      <c r="O327">
        <v>377</v>
      </c>
      <c r="P327" s="11">
        <v>0.55331418182817294</v>
      </c>
      <c r="Q327" s="11">
        <v>1.428571428571429E-2</v>
      </c>
      <c r="R327">
        <v>0.50570964406550389</v>
      </c>
      <c r="S327">
        <v>7.6933278780003589E-3</v>
      </c>
      <c r="T327" s="9" t="s">
        <v>40</v>
      </c>
      <c r="U327" s="9" t="s">
        <v>46</v>
      </c>
      <c r="V327" s="9" t="s">
        <v>276</v>
      </c>
      <c r="W327" s="9" t="s">
        <v>884</v>
      </c>
      <c r="X327" s="1" t="s">
        <v>31</v>
      </c>
      <c r="Y327" s="1" t="s">
        <v>31</v>
      </c>
      <c r="Z327" s="3" t="s">
        <v>31</v>
      </c>
      <c r="AA327" s="11" t="s">
        <v>31</v>
      </c>
      <c r="AB327" s="11" t="s">
        <v>31</v>
      </c>
      <c r="AC327" s="10">
        <v>0</v>
      </c>
      <c r="AD327" s="9" t="s">
        <v>34</v>
      </c>
      <c r="AE327" s="9" t="s">
        <v>35</v>
      </c>
    </row>
    <row r="328" spans="1:31" x14ac:dyDescent="0.25">
      <c r="A328" s="9" t="s">
        <v>566</v>
      </c>
      <c r="B328" s="10" t="s">
        <v>741</v>
      </c>
      <c r="C328" s="1" t="s">
        <v>742</v>
      </c>
      <c r="D328" s="10">
        <v>3</v>
      </c>
      <c r="E328" s="10">
        <v>2016</v>
      </c>
      <c r="F328" s="9" t="s">
        <v>28</v>
      </c>
      <c r="G328" s="9" t="s">
        <v>54</v>
      </c>
      <c r="H328" s="1">
        <v>7.5</v>
      </c>
      <c r="I328" s="1">
        <v>0.2</v>
      </c>
      <c r="J328" s="9" t="s">
        <v>30</v>
      </c>
      <c r="K328" s="1">
        <v>0.5</v>
      </c>
      <c r="L328" s="10">
        <v>134</v>
      </c>
      <c r="M328" s="3">
        <v>0.11</v>
      </c>
      <c r="N328" s="11">
        <v>7.3379429323308272E-3</v>
      </c>
      <c r="O328" t="s">
        <v>267</v>
      </c>
      <c r="P328" s="11">
        <v>0.1104469157900972</v>
      </c>
      <c r="Q328" s="11">
        <v>7.6335877862595417E-3</v>
      </c>
      <c r="R328">
        <v>0.110418669261721</v>
      </c>
      <c r="S328">
        <v>7.3365720805265112E-3</v>
      </c>
      <c r="T328" s="9" t="s">
        <v>40</v>
      </c>
      <c r="U328" s="9" t="s">
        <v>46</v>
      </c>
      <c r="V328" s="9" t="s">
        <v>276</v>
      </c>
      <c r="W328" s="9" t="s">
        <v>369</v>
      </c>
      <c r="X328" s="1" t="s">
        <v>31</v>
      </c>
      <c r="Y328" s="1" t="s">
        <v>31</v>
      </c>
      <c r="Z328" s="3" t="s">
        <v>31</v>
      </c>
      <c r="AA328" s="11" t="s">
        <v>31</v>
      </c>
      <c r="AB328" s="11" t="s">
        <v>31</v>
      </c>
      <c r="AC328" s="10">
        <v>2</v>
      </c>
      <c r="AD328" s="9" t="s">
        <v>41</v>
      </c>
      <c r="AE328" s="9" t="s">
        <v>35</v>
      </c>
    </row>
    <row r="329" spans="1:31" x14ac:dyDescent="0.25">
      <c r="A329" s="9" t="s">
        <v>567</v>
      </c>
      <c r="B329" s="10" t="s">
        <v>736</v>
      </c>
      <c r="C329" s="1" t="s">
        <v>743</v>
      </c>
      <c r="D329" s="10">
        <v>3</v>
      </c>
      <c r="E329" s="10">
        <v>2016</v>
      </c>
      <c r="F329" s="9" t="s">
        <v>38</v>
      </c>
      <c r="G329" s="9" t="s">
        <v>29</v>
      </c>
      <c r="H329" s="1">
        <v>21.15</v>
      </c>
      <c r="I329" s="1">
        <v>2.57</v>
      </c>
      <c r="J329" s="9" t="s">
        <v>30</v>
      </c>
      <c r="K329" s="1">
        <v>0.34</v>
      </c>
      <c r="L329" s="10">
        <v>71</v>
      </c>
      <c r="M329" s="3">
        <v>0.13300000000000001</v>
      </c>
      <c r="N329" s="11">
        <v>1.3784784296014291E-2</v>
      </c>
      <c r="O329">
        <v>2612</v>
      </c>
      <c r="P329" s="11">
        <v>0.13379264212373229</v>
      </c>
      <c r="Q329" s="11">
        <v>1.470588235294118E-2</v>
      </c>
      <c r="R329">
        <v>0.1339779916669698</v>
      </c>
      <c r="S329">
        <v>1.3777457166694229E-2</v>
      </c>
      <c r="T329" s="9" t="s">
        <v>40</v>
      </c>
      <c r="U329" s="9" t="s">
        <v>46</v>
      </c>
      <c r="V329" s="9" t="s">
        <v>276</v>
      </c>
      <c r="W329" s="9" t="s">
        <v>303</v>
      </c>
      <c r="X329" s="1" t="s">
        <v>31</v>
      </c>
      <c r="Y329" s="1" t="s">
        <v>31</v>
      </c>
      <c r="Z329" s="3" t="s">
        <v>31</v>
      </c>
      <c r="AA329" s="11" t="s">
        <v>31</v>
      </c>
      <c r="AB329" s="11" t="s">
        <v>31</v>
      </c>
      <c r="AC329" s="10">
        <v>0</v>
      </c>
      <c r="AD329" s="9" t="s">
        <v>34</v>
      </c>
      <c r="AE329" s="9" t="s">
        <v>35</v>
      </c>
    </row>
    <row r="330" spans="1:31" x14ac:dyDescent="0.25">
      <c r="A330" s="9" t="s">
        <v>570</v>
      </c>
      <c r="B330" s="10" t="s">
        <v>1005</v>
      </c>
      <c r="C330" s="1" t="s">
        <v>744</v>
      </c>
      <c r="D330" s="10">
        <v>3</v>
      </c>
      <c r="E330" s="10">
        <v>2017</v>
      </c>
      <c r="F330" s="9" t="s">
        <v>38</v>
      </c>
      <c r="G330" s="9" t="s">
        <v>54</v>
      </c>
      <c r="H330" s="1">
        <v>9.1999999999999993</v>
      </c>
      <c r="I330" s="1">
        <v>0.5</v>
      </c>
      <c r="J330" s="9" t="s">
        <v>30</v>
      </c>
      <c r="K330" s="1">
        <v>0.46</v>
      </c>
      <c r="L330" s="10">
        <v>46</v>
      </c>
      <c r="M330" s="3">
        <v>0.71</v>
      </c>
      <c r="N330" s="11">
        <v>5.4648180000000006E-3</v>
      </c>
      <c r="O330">
        <v>1322</v>
      </c>
      <c r="P330" s="11">
        <v>0.88718386325809284</v>
      </c>
      <c r="Q330" s="11">
        <v>2.3255813953488368E-2</v>
      </c>
      <c r="R330">
        <v>0.71410251286220805</v>
      </c>
      <c r="S330">
        <v>5.3368100537620408E-3</v>
      </c>
      <c r="T330" s="9" t="s">
        <v>40</v>
      </c>
      <c r="U330" s="9" t="s">
        <v>50</v>
      </c>
      <c r="V330" s="9" t="s">
        <v>276</v>
      </c>
      <c r="W330" s="9" t="s">
        <v>886</v>
      </c>
      <c r="X330" s="1" t="s">
        <v>31</v>
      </c>
      <c r="Y330" s="1" t="s">
        <v>31</v>
      </c>
      <c r="Z330" s="3" t="s">
        <v>31</v>
      </c>
      <c r="AA330" s="11" t="s">
        <v>31</v>
      </c>
      <c r="AB330" s="11" t="s">
        <v>31</v>
      </c>
      <c r="AC330" s="10">
        <v>0</v>
      </c>
      <c r="AD330" s="9" t="s">
        <v>41</v>
      </c>
      <c r="AE330" s="9" t="s">
        <v>35</v>
      </c>
    </row>
    <row r="331" spans="1:31" x14ac:dyDescent="0.25">
      <c r="A331" s="9" t="s">
        <v>570</v>
      </c>
      <c r="B331" s="10" t="s">
        <v>1005</v>
      </c>
      <c r="C331" s="1" t="s">
        <v>745</v>
      </c>
      <c r="D331" s="10">
        <v>3</v>
      </c>
      <c r="E331" s="10">
        <v>2017</v>
      </c>
      <c r="F331" s="9" t="s">
        <v>38</v>
      </c>
      <c r="G331" s="9" t="s">
        <v>54</v>
      </c>
      <c r="H331" s="1">
        <v>9.1999999999999993</v>
      </c>
      <c r="I331" s="1">
        <v>0.5</v>
      </c>
      <c r="J331" s="9" t="s">
        <v>30</v>
      </c>
      <c r="K331" s="1">
        <v>0.46</v>
      </c>
      <c r="L331" s="10">
        <v>46</v>
      </c>
      <c r="M331" s="3">
        <v>0.54</v>
      </c>
      <c r="N331" s="11">
        <v>1.115179022222222E-2</v>
      </c>
      <c r="O331">
        <v>1322</v>
      </c>
      <c r="P331" s="11">
        <v>0.60415560296226711</v>
      </c>
      <c r="Q331" s="11">
        <v>2.3255813953488368E-2</v>
      </c>
      <c r="R331">
        <v>0.54450779222501677</v>
      </c>
      <c r="S331">
        <v>1.0998402197001321E-2</v>
      </c>
      <c r="T331" s="9" t="s">
        <v>40</v>
      </c>
      <c r="U331" s="9" t="s">
        <v>50</v>
      </c>
      <c r="V331" s="9" t="s">
        <v>276</v>
      </c>
      <c r="W331" s="9" t="s">
        <v>887</v>
      </c>
      <c r="X331" s="1" t="s">
        <v>31</v>
      </c>
      <c r="Y331" s="1" t="s">
        <v>31</v>
      </c>
      <c r="Z331" s="3" t="s">
        <v>31</v>
      </c>
      <c r="AA331" s="11" t="s">
        <v>31</v>
      </c>
      <c r="AB331" s="11" t="s">
        <v>31</v>
      </c>
      <c r="AC331" s="10">
        <v>0</v>
      </c>
      <c r="AD331" s="9" t="s">
        <v>41</v>
      </c>
      <c r="AE331" s="9" t="s">
        <v>35</v>
      </c>
    </row>
    <row r="332" spans="1:31" x14ac:dyDescent="0.25">
      <c r="A332" s="9" t="s">
        <v>570</v>
      </c>
      <c r="B332" s="10" t="s">
        <v>1005</v>
      </c>
      <c r="C332" s="1" t="s">
        <v>746</v>
      </c>
      <c r="D332" s="10">
        <v>3</v>
      </c>
      <c r="E332" s="10">
        <v>2017</v>
      </c>
      <c r="F332" s="9" t="s">
        <v>38</v>
      </c>
      <c r="G332" s="9" t="s">
        <v>54</v>
      </c>
      <c r="H332" s="1">
        <v>9.1999999999999993</v>
      </c>
      <c r="I332" s="1">
        <v>0.5</v>
      </c>
      <c r="J332" s="9" t="s">
        <v>30</v>
      </c>
      <c r="K332" s="1">
        <v>0.46</v>
      </c>
      <c r="L332" s="10">
        <v>46</v>
      </c>
      <c r="M332" s="3">
        <v>0.38</v>
      </c>
      <c r="N332" s="11">
        <v>1.6267808000000002E-2</v>
      </c>
      <c r="O332">
        <v>1322</v>
      </c>
      <c r="P332" s="11">
        <v>0.40005965005605648</v>
      </c>
      <c r="Q332" s="11">
        <v>2.3255813953488368E-2</v>
      </c>
      <c r="R332">
        <v>0.38386213637187339</v>
      </c>
      <c r="S332">
        <v>1.615581742669853E-2</v>
      </c>
      <c r="T332" s="9" t="s">
        <v>40</v>
      </c>
      <c r="U332" s="9" t="s">
        <v>50</v>
      </c>
      <c r="V332" s="9" t="s">
        <v>276</v>
      </c>
      <c r="W332" s="9" t="s">
        <v>888</v>
      </c>
      <c r="X332" s="1" t="s">
        <v>31</v>
      </c>
      <c r="Y332" s="1" t="s">
        <v>31</v>
      </c>
      <c r="Z332" s="3" t="s">
        <v>31</v>
      </c>
      <c r="AA332" s="11" t="s">
        <v>31</v>
      </c>
      <c r="AB332" s="11" t="s">
        <v>31</v>
      </c>
      <c r="AC332" s="10">
        <v>0</v>
      </c>
      <c r="AD332" s="9" t="s">
        <v>41</v>
      </c>
      <c r="AE332" s="9" t="s">
        <v>35</v>
      </c>
    </row>
    <row r="333" spans="1:31" x14ac:dyDescent="0.25">
      <c r="A333" s="9" t="s">
        <v>570</v>
      </c>
      <c r="B333" s="10" t="s">
        <v>741</v>
      </c>
      <c r="C333" s="1" t="s">
        <v>747</v>
      </c>
      <c r="D333" s="10">
        <v>3</v>
      </c>
      <c r="E333" s="10">
        <v>2017</v>
      </c>
      <c r="F333" s="9" t="s">
        <v>38</v>
      </c>
      <c r="G333" s="9" t="s">
        <v>54</v>
      </c>
      <c r="H333" s="1">
        <v>9.1999999999999993</v>
      </c>
      <c r="I333" s="1">
        <v>0.5</v>
      </c>
      <c r="J333" s="9" t="s">
        <v>30</v>
      </c>
      <c r="K333" s="1">
        <v>0.46</v>
      </c>
      <c r="L333" s="10">
        <v>46</v>
      </c>
      <c r="M333" s="3">
        <v>0.45</v>
      </c>
      <c r="N333" s="11">
        <v>1.4133472222222219E-2</v>
      </c>
      <c r="O333">
        <v>1322</v>
      </c>
      <c r="P333" s="11">
        <v>0.48470027859405168</v>
      </c>
      <c r="Q333" s="11">
        <v>2.3255813953488368E-2</v>
      </c>
      <c r="R333">
        <v>0.45424945152374419</v>
      </c>
      <c r="S333">
        <v>1.3997602786341269E-2</v>
      </c>
      <c r="T333" s="9" t="s">
        <v>40</v>
      </c>
      <c r="U333" s="9" t="s">
        <v>50</v>
      </c>
      <c r="V333" s="9" t="s">
        <v>276</v>
      </c>
      <c r="W333" s="9" t="s">
        <v>889</v>
      </c>
      <c r="X333" s="1" t="s">
        <v>31</v>
      </c>
      <c r="Y333" s="1" t="s">
        <v>31</v>
      </c>
      <c r="Z333" s="3" t="s">
        <v>31</v>
      </c>
      <c r="AA333" s="11" t="s">
        <v>31</v>
      </c>
      <c r="AB333" s="11" t="s">
        <v>31</v>
      </c>
      <c r="AC333" s="10">
        <v>0</v>
      </c>
      <c r="AD333" s="9" t="s">
        <v>41</v>
      </c>
      <c r="AE333" s="9" t="s">
        <v>35</v>
      </c>
    </row>
    <row r="334" spans="1:31" x14ac:dyDescent="0.25">
      <c r="A334" s="9" t="s">
        <v>570</v>
      </c>
      <c r="B334" s="10" t="s">
        <v>1005</v>
      </c>
      <c r="C334" s="1" t="s">
        <v>748</v>
      </c>
      <c r="D334" s="10">
        <v>3</v>
      </c>
      <c r="E334" s="10">
        <v>2017</v>
      </c>
      <c r="F334" s="9" t="s">
        <v>38</v>
      </c>
      <c r="G334" s="9" t="s">
        <v>54</v>
      </c>
      <c r="H334" s="1">
        <v>9.1999999999999993</v>
      </c>
      <c r="I334" s="1">
        <v>0.5</v>
      </c>
      <c r="J334" s="9" t="s">
        <v>30</v>
      </c>
      <c r="K334" s="1">
        <v>0.46</v>
      </c>
      <c r="L334" s="10">
        <v>46</v>
      </c>
      <c r="M334" s="3">
        <v>0.24</v>
      </c>
      <c r="N334" s="11">
        <v>1.9735950222222218E-2</v>
      </c>
      <c r="O334">
        <v>1322</v>
      </c>
      <c r="P334" s="11">
        <v>0.24477411265935289</v>
      </c>
      <c r="Q334" s="11">
        <v>2.3255813953488368E-2</v>
      </c>
      <c r="R334">
        <v>0.2426996675729505</v>
      </c>
      <c r="S334">
        <v>1.968140713963426E-2</v>
      </c>
      <c r="T334" s="9" t="s">
        <v>40</v>
      </c>
      <c r="U334" s="9" t="s">
        <v>50</v>
      </c>
      <c r="V334" s="9" t="s">
        <v>276</v>
      </c>
      <c r="W334" s="9" t="s">
        <v>905</v>
      </c>
      <c r="X334" s="1" t="s">
        <v>31</v>
      </c>
      <c r="Y334" s="1" t="s">
        <v>31</v>
      </c>
      <c r="Z334" s="3" t="s">
        <v>31</v>
      </c>
      <c r="AA334" s="11" t="s">
        <v>31</v>
      </c>
      <c r="AB334" s="11" t="s">
        <v>31</v>
      </c>
      <c r="AC334" s="10">
        <v>0</v>
      </c>
      <c r="AD334" s="9" t="s">
        <v>41</v>
      </c>
      <c r="AE334" s="9" t="s">
        <v>35</v>
      </c>
    </row>
    <row r="335" spans="1:31" x14ac:dyDescent="0.25">
      <c r="A335" s="9" t="s">
        <v>570</v>
      </c>
      <c r="B335" s="10" t="s">
        <v>1005</v>
      </c>
      <c r="C335" s="1" t="s">
        <v>749</v>
      </c>
      <c r="D335" s="10">
        <v>3</v>
      </c>
      <c r="E335" s="10">
        <v>2017</v>
      </c>
      <c r="F335" s="9" t="s">
        <v>38</v>
      </c>
      <c r="G335" s="9" t="s">
        <v>54</v>
      </c>
      <c r="H335" s="1">
        <v>9.1999999999999993</v>
      </c>
      <c r="I335" s="1">
        <v>0.5</v>
      </c>
      <c r="J335" s="9" t="s">
        <v>30</v>
      </c>
      <c r="K335" s="1">
        <v>0.46</v>
      </c>
      <c r="L335" s="10">
        <v>46</v>
      </c>
      <c r="M335" s="3">
        <v>0.31</v>
      </c>
      <c r="N335" s="11">
        <v>1.8156338000000001E-2</v>
      </c>
      <c r="O335">
        <v>1322</v>
      </c>
      <c r="P335" s="11">
        <v>0.32054540930194608</v>
      </c>
      <c r="Q335" s="11">
        <v>2.3255813953488368E-2</v>
      </c>
      <c r="R335">
        <v>0.31333745222775228</v>
      </c>
      <c r="S335">
        <v>1.8072859221112021E-2</v>
      </c>
      <c r="T335" s="9" t="s">
        <v>40</v>
      </c>
      <c r="U335" s="9" t="s">
        <v>50</v>
      </c>
      <c r="V335" s="9" t="s">
        <v>276</v>
      </c>
      <c r="W335" s="9" t="s">
        <v>890</v>
      </c>
      <c r="X335" s="1" t="s">
        <v>31</v>
      </c>
      <c r="Y335" s="1" t="s">
        <v>31</v>
      </c>
      <c r="Z335" s="3" t="s">
        <v>31</v>
      </c>
      <c r="AA335" s="11" t="s">
        <v>31</v>
      </c>
      <c r="AB335" s="11" t="s">
        <v>31</v>
      </c>
      <c r="AC335" s="10">
        <v>0</v>
      </c>
      <c r="AD335" s="9" t="s">
        <v>41</v>
      </c>
      <c r="AE335" s="9" t="s">
        <v>35</v>
      </c>
    </row>
    <row r="336" spans="1:31" x14ac:dyDescent="0.25">
      <c r="A336" s="9" t="s">
        <v>855</v>
      </c>
      <c r="B336" s="10" t="s">
        <v>1065</v>
      </c>
      <c r="C336" s="1" t="s">
        <v>750</v>
      </c>
      <c r="D336" s="10">
        <v>3</v>
      </c>
      <c r="E336" s="10">
        <v>2017</v>
      </c>
      <c r="F336" s="9" t="s">
        <v>38</v>
      </c>
      <c r="G336" s="9" t="s">
        <v>29</v>
      </c>
      <c r="H336" s="1">
        <v>19.600000000000001</v>
      </c>
      <c r="I336" s="1">
        <v>1.4</v>
      </c>
      <c r="J336" s="9" t="s">
        <v>39</v>
      </c>
      <c r="K336" s="1">
        <v>0</v>
      </c>
      <c r="L336" s="10">
        <v>40</v>
      </c>
      <c r="M336" s="3">
        <v>0.28100000000000003</v>
      </c>
      <c r="N336" s="11">
        <v>2.1751611269769228E-2</v>
      </c>
      <c r="O336">
        <v>239</v>
      </c>
      <c r="P336" s="11">
        <v>0.28876747208784392</v>
      </c>
      <c r="Q336" s="11">
        <v>2.7027027027027029E-2</v>
      </c>
      <c r="R336">
        <v>0.28460045734318212</v>
      </c>
      <c r="S336">
        <v>2.1655531832271532E-2</v>
      </c>
      <c r="T336" s="9" t="s">
        <v>40</v>
      </c>
      <c r="U336" s="9" t="s">
        <v>50</v>
      </c>
      <c r="V336" s="9" t="s">
        <v>276</v>
      </c>
      <c r="W336" s="9" t="s">
        <v>304</v>
      </c>
      <c r="X336" s="1" t="s">
        <v>31</v>
      </c>
      <c r="Y336" s="1" t="s">
        <v>31</v>
      </c>
      <c r="Z336" s="3" t="s">
        <v>31</v>
      </c>
      <c r="AA336" s="11" t="s">
        <v>31</v>
      </c>
      <c r="AB336" s="11" t="s">
        <v>31</v>
      </c>
      <c r="AC336" s="10">
        <v>0</v>
      </c>
      <c r="AD336" s="9" t="s">
        <v>41</v>
      </c>
      <c r="AE336" s="9" t="s">
        <v>35</v>
      </c>
    </row>
    <row r="337" spans="1:31" x14ac:dyDescent="0.25">
      <c r="A337" s="9" t="s">
        <v>855</v>
      </c>
      <c r="B337" s="10" t="s">
        <v>1066</v>
      </c>
      <c r="C337" s="1" t="s">
        <v>751</v>
      </c>
      <c r="D337" s="10">
        <v>3</v>
      </c>
      <c r="E337" s="10">
        <v>2017</v>
      </c>
      <c r="F337" s="9" t="s">
        <v>38</v>
      </c>
      <c r="G337" s="9" t="s">
        <v>29</v>
      </c>
      <c r="H337" s="1">
        <v>20.2</v>
      </c>
      <c r="I337" s="1">
        <v>2</v>
      </c>
      <c r="J337" s="9" t="s">
        <v>43</v>
      </c>
      <c r="K337" s="1">
        <v>1</v>
      </c>
      <c r="L337" s="10">
        <v>40</v>
      </c>
      <c r="M337" s="3">
        <v>-0.04</v>
      </c>
      <c r="N337" s="11">
        <v>2.5559040000000002E-2</v>
      </c>
      <c r="O337">
        <v>239</v>
      </c>
      <c r="P337" s="11">
        <v>-4.0021353836768248E-2</v>
      </c>
      <c r="Q337" s="11">
        <v>2.7027027027027029E-2</v>
      </c>
      <c r="R337">
        <v>-4.0558404896011598E-2</v>
      </c>
      <c r="S337">
        <v>2.5556736860451949E-2</v>
      </c>
      <c r="T337" s="9" t="s">
        <v>40</v>
      </c>
      <c r="U337" s="9" t="s">
        <v>50</v>
      </c>
      <c r="V337" s="9" t="s">
        <v>276</v>
      </c>
      <c r="W337" s="9" t="s">
        <v>304</v>
      </c>
      <c r="X337" s="1" t="s">
        <v>31</v>
      </c>
      <c r="Y337" s="1" t="s">
        <v>31</v>
      </c>
      <c r="Z337" s="3" t="s">
        <v>31</v>
      </c>
      <c r="AA337" s="11" t="s">
        <v>31</v>
      </c>
      <c r="AB337" s="11" t="s">
        <v>31</v>
      </c>
      <c r="AC337" s="10">
        <v>0</v>
      </c>
      <c r="AD337" s="9" t="s">
        <v>41</v>
      </c>
      <c r="AE337" s="9" t="s">
        <v>35</v>
      </c>
    </row>
    <row r="338" spans="1:31" x14ac:dyDescent="0.25">
      <c r="A338" s="9" t="s">
        <v>843</v>
      </c>
      <c r="B338" s="10" t="s">
        <v>1010</v>
      </c>
      <c r="C338" s="1" t="s">
        <v>752</v>
      </c>
      <c r="D338" s="10">
        <v>3</v>
      </c>
      <c r="E338" s="10">
        <v>2018</v>
      </c>
      <c r="F338" s="9" t="s">
        <v>38</v>
      </c>
      <c r="G338" s="9" t="s">
        <v>29</v>
      </c>
      <c r="H338" s="1">
        <v>24.91</v>
      </c>
      <c r="I338" s="1">
        <v>5.61</v>
      </c>
      <c r="J338" s="9" t="s">
        <v>30</v>
      </c>
      <c r="K338" s="1">
        <v>0.59</v>
      </c>
      <c r="L338" s="10">
        <v>56</v>
      </c>
      <c r="M338" s="3">
        <v>0.29599999999999999</v>
      </c>
      <c r="N338" s="11">
        <v>1.51353556992E-2</v>
      </c>
      <c r="O338" t="s">
        <v>63</v>
      </c>
      <c r="P338" s="11">
        <v>0.30512976037708878</v>
      </c>
      <c r="Q338" s="11">
        <v>1.886792452830189E-2</v>
      </c>
      <c r="R338">
        <v>0.29859892225861628</v>
      </c>
      <c r="S338">
        <v>1.508412922890057E-2</v>
      </c>
      <c r="T338" s="9" t="s">
        <v>40</v>
      </c>
      <c r="U338" s="9" t="s">
        <v>50</v>
      </c>
      <c r="V338" s="9" t="s">
        <v>276</v>
      </c>
      <c r="W338" s="9" t="s">
        <v>845</v>
      </c>
      <c r="X338" s="1" t="s">
        <v>31</v>
      </c>
      <c r="Y338" s="1" t="s">
        <v>31</v>
      </c>
      <c r="Z338" s="3" t="s">
        <v>31</v>
      </c>
      <c r="AA338" s="11" t="s">
        <v>31</v>
      </c>
      <c r="AB338" s="11" t="s">
        <v>31</v>
      </c>
      <c r="AC338" s="10">
        <v>0</v>
      </c>
      <c r="AD338" s="9" t="s">
        <v>34</v>
      </c>
      <c r="AE338" s="9" t="s">
        <v>63</v>
      </c>
    </row>
    <row r="339" spans="1:31" x14ac:dyDescent="0.25">
      <c r="A339" s="9" t="s">
        <v>843</v>
      </c>
      <c r="B339" s="10" t="s">
        <v>1011</v>
      </c>
      <c r="C339" s="1" t="s">
        <v>753</v>
      </c>
      <c r="D339" s="10">
        <v>3</v>
      </c>
      <c r="E339" s="10">
        <v>2018</v>
      </c>
      <c r="F339" s="9" t="s">
        <v>28</v>
      </c>
      <c r="G339" s="9" t="s">
        <v>29</v>
      </c>
      <c r="H339" s="1">
        <v>24.69</v>
      </c>
      <c r="I339" s="1">
        <v>5.93</v>
      </c>
      <c r="J339" s="9" t="s">
        <v>30</v>
      </c>
      <c r="K339" s="1">
        <v>0.57399999999999995</v>
      </c>
      <c r="L339" s="10">
        <v>54</v>
      </c>
      <c r="M339" s="3">
        <v>9.4E-2</v>
      </c>
      <c r="N339" s="11">
        <v>1.853596367728302E-2</v>
      </c>
      <c r="O339" t="s">
        <v>63</v>
      </c>
      <c r="P339" s="11">
        <v>9.4278338469473574E-2</v>
      </c>
      <c r="Q339" s="11">
        <v>1.9607843137254902E-2</v>
      </c>
      <c r="R339">
        <v>9.4935917349492471E-2</v>
      </c>
      <c r="S339">
        <v>1.8529350457921558E-2</v>
      </c>
      <c r="T339" s="9" t="s">
        <v>40</v>
      </c>
      <c r="U339" s="9" t="s">
        <v>50</v>
      </c>
      <c r="V339" s="9" t="s">
        <v>276</v>
      </c>
      <c r="W339" s="9" t="s">
        <v>845</v>
      </c>
      <c r="X339" s="1" t="s">
        <v>31</v>
      </c>
      <c r="Y339" s="1" t="s">
        <v>31</v>
      </c>
      <c r="Z339" s="3" t="s">
        <v>31</v>
      </c>
      <c r="AA339" s="11" t="s">
        <v>31</v>
      </c>
      <c r="AB339" s="11" t="s">
        <v>31</v>
      </c>
      <c r="AC339" s="10">
        <v>0</v>
      </c>
      <c r="AD339" s="9" t="s">
        <v>34</v>
      </c>
      <c r="AE339" s="9" t="s">
        <v>63</v>
      </c>
    </row>
    <row r="340" spans="1:31" x14ac:dyDescent="0.25">
      <c r="A340" s="9" t="s">
        <v>859</v>
      </c>
      <c r="B340" s="10" t="s">
        <v>1067</v>
      </c>
      <c r="C340" s="1" t="s">
        <v>754</v>
      </c>
      <c r="D340" s="10">
        <v>3</v>
      </c>
      <c r="E340" s="10">
        <v>2018</v>
      </c>
      <c r="F340" s="9" t="s">
        <v>28</v>
      </c>
      <c r="G340" s="9" t="s">
        <v>29</v>
      </c>
      <c r="H340" s="1">
        <v>62.3</v>
      </c>
      <c r="I340" s="1">
        <v>5.5</v>
      </c>
      <c r="J340" s="9" t="s">
        <v>30</v>
      </c>
      <c r="K340" s="1">
        <v>0.33</v>
      </c>
      <c r="L340" s="10">
        <v>93</v>
      </c>
      <c r="M340" s="3">
        <v>0.02</v>
      </c>
      <c r="N340" s="11">
        <v>1.0860871304347829E-2</v>
      </c>
      <c r="O340">
        <v>1667</v>
      </c>
      <c r="P340" s="11">
        <v>2.00026673068496E-2</v>
      </c>
      <c r="Q340" s="11">
        <v>1.111111111111111E-2</v>
      </c>
      <c r="R340">
        <v>2.0112627146480041E-2</v>
      </c>
      <c r="S340">
        <v>1.086077313144739E-2</v>
      </c>
      <c r="T340" s="9" t="s">
        <v>40</v>
      </c>
      <c r="U340" s="9" t="s">
        <v>50</v>
      </c>
      <c r="V340" s="9" t="s">
        <v>276</v>
      </c>
      <c r="W340" s="9" t="s">
        <v>891</v>
      </c>
      <c r="X340" s="1">
        <v>0.72</v>
      </c>
      <c r="Y340" s="1">
        <v>1</v>
      </c>
      <c r="Z340" s="3">
        <f t="shared" ref="Z340:Z343" si="11">X340/Y340</f>
        <v>0.72</v>
      </c>
      <c r="AA340" s="11">
        <v>2.777261803607416E-2</v>
      </c>
      <c r="AB340" s="11">
        <v>0.14548489238566939</v>
      </c>
      <c r="AC340" s="10">
        <v>0</v>
      </c>
      <c r="AD340" s="9" t="s">
        <v>41</v>
      </c>
      <c r="AE340" s="9" t="s">
        <v>35</v>
      </c>
    </row>
    <row r="341" spans="1:31" x14ac:dyDescent="0.25">
      <c r="A341" s="9" t="s">
        <v>578</v>
      </c>
      <c r="B341" s="10" t="s">
        <v>1017</v>
      </c>
      <c r="C341" s="1" t="s">
        <v>755</v>
      </c>
      <c r="D341" s="10">
        <v>3</v>
      </c>
      <c r="E341" s="10">
        <v>2019</v>
      </c>
      <c r="F341" s="9" t="s">
        <v>28</v>
      </c>
      <c r="G341" s="9" t="s">
        <v>29</v>
      </c>
      <c r="H341" s="1">
        <v>32.97</v>
      </c>
      <c r="I341" s="1">
        <v>11.12</v>
      </c>
      <c r="J341" s="9" t="s">
        <v>30</v>
      </c>
      <c r="K341" s="1">
        <v>0.42</v>
      </c>
      <c r="L341" s="10">
        <v>38</v>
      </c>
      <c r="M341" s="3">
        <v>0</v>
      </c>
      <c r="N341" s="11">
        <v>2.7027027027027029E-2</v>
      </c>
      <c r="O341">
        <v>3</v>
      </c>
      <c r="P341" s="11">
        <v>0</v>
      </c>
      <c r="Q341" s="11">
        <v>2.8571428571428571E-2</v>
      </c>
      <c r="R341">
        <v>0</v>
      </c>
      <c r="S341">
        <v>2.7027027027027029E-2</v>
      </c>
      <c r="T341" s="9" t="s">
        <v>40</v>
      </c>
      <c r="U341" s="9" t="s">
        <v>46</v>
      </c>
      <c r="V341" s="9" t="s">
        <v>276</v>
      </c>
      <c r="W341" s="9" t="s">
        <v>278</v>
      </c>
      <c r="X341" s="1">
        <v>12.88</v>
      </c>
      <c r="Y341" s="1">
        <v>15</v>
      </c>
      <c r="Z341" s="3">
        <f t="shared" si="11"/>
        <v>0.85866666666666669</v>
      </c>
      <c r="AA341" s="11">
        <v>0</v>
      </c>
      <c r="AB341" s="11" t="s">
        <v>31</v>
      </c>
      <c r="AC341" s="10">
        <v>0</v>
      </c>
      <c r="AD341" s="9" t="s">
        <v>34</v>
      </c>
      <c r="AE341" s="9" t="s">
        <v>35</v>
      </c>
    </row>
    <row r="342" spans="1:31" x14ac:dyDescent="0.25">
      <c r="A342" s="9" t="s">
        <v>935</v>
      </c>
      <c r="B342" s="10" t="s">
        <v>1028</v>
      </c>
      <c r="C342" s="1" t="s">
        <v>756</v>
      </c>
      <c r="D342" s="10">
        <v>3</v>
      </c>
      <c r="E342" s="10">
        <v>2020</v>
      </c>
      <c r="F342" s="9" t="s">
        <v>28</v>
      </c>
      <c r="G342" s="9" t="s">
        <v>54</v>
      </c>
      <c r="H342" s="1">
        <v>10</v>
      </c>
      <c r="I342" s="1">
        <v>10.1</v>
      </c>
      <c r="J342" s="9" t="s">
        <v>30</v>
      </c>
      <c r="K342" s="1">
        <v>0.6</v>
      </c>
      <c r="L342" s="10">
        <v>100</v>
      </c>
      <c r="M342" s="3">
        <v>6.4000000000000001E-2</v>
      </c>
      <c r="N342" s="11">
        <v>1.0018432093090911E-2</v>
      </c>
      <c r="O342">
        <v>2500</v>
      </c>
      <c r="P342" s="11">
        <v>6.4087596711998901E-2</v>
      </c>
      <c r="Q342" s="11">
        <v>1.030927835051546E-2</v>
      </c>
      <c r="R342">
        <v>6.4332795315221125E-2</v>
      </c>
      <c r="S342">
        <v>1.0017572846488351E-2</v>
      </c>
      <c r="T342" s="9" t="s">
        <v>40</v>
      </c>
      <c r="U342" s="9" t="s">
        <v>50</v>
      </c>
      <c r="V342" s="9" t="s">
        <v>276</v>
      </c>
      <c r="W342" s="9" t="s">
        <v>927</v>
      </c>
      <c r="X342" s="1" t="s">
        <v>31</v>
      </c>
      <c r="Y342" s="1" t="s">
        <v>31</v>
      </c>
      <c r="Z342" s="3" t="s">
        <v>31</v>
      </c>
      <c r="AA342" s="11" t="s">
        <v>31</v>
      </c>
      <c r="AB342" s="11" t="s">
        <v>31</v>
      </c>
      <c r="AC342" s="10">
        <v>4</v>
      </c>
      <c r="AD342" s="9" t="s">
        <v>41</v>
      </c>
      <c r="AE342" s="9" t="s">
        <v>35</v>
      </c>
    </row>
    <row r="343" spans="1:31" x14ac:dyDescent="0.25">
      <c r="A343" s="9" t="s">
        <v>917</v>
      </c>
      <c r="B343" s="10" t="s">
        <v>1068</v>
      </c>
      <c r="C343" s="1" t="s">
        <v>757</v>
      </c>
      <c r="D343" s="10">
        <v>3</v>
      </c>
      <c r="E343" s="10">
        <v>2020</v>
      </c>
      <c r="F343" s="9" t="s">
        <v>28</v>
      </c>
      <c r="G343" s="9" t="s">
        <v>29</v>
      </c>
      <c r="H343" s="1">
        <v>69.015000000000001</v>
      </c>
      <c r="I343" s="1">
        <v>4.24</v>
      </c>
      <c r="J343" s="9" t="s">
        <v>43</v>
      </c>
      <c r="K343" s="1">
        <v>1</v>
      </c>
      <c r="L343" s="10">
        <v>49</v>
      </c>
      <c r="M343" s="3">
        <v>0.35099999999999998</v>
      </c>
      <c r="N343" s="11">
        <v>1.6016176800020831E-2</v>
      </c>
      <c r="O343">
        <v>136</v>
      </c>
      <c r="P343" s="11">
        <v>0.36658381062805429</v>
      </c>
      <c r="Q343" s="11">
        <v>2.1739130434782612E-2</v>
      </c>
      <c r="R343">
        <v>0.35441636634844881</v>
      </c>
      <c r="S343">
        <v>1.5928253999701131E-2</v>
      </c>
      <c r="T343" s="9" t="s">
        <v>40</v>
      </c>
      <c r="U343" s="9" t="s">
        <v>46</v>
      </c>
      <c r="V343" s="9" t="s">
        <v>276</v>
      </c>
      <c r="W343" s="9" t="s">
        <v>918</v>
      </c>
      <c r="X343" s="1">
        <v>9.19</v>
      </c>
      <c r="Y343" s="1">
        <v>15</v>
      </c>
      <c r="Z343" s="3">
        <f t="shared" si="11"/>
        <v>0.61266666666666658</v>
      </c>
      <c r="AA343" s="11">
        <v>0.52189822911856987</v>
      </c>
      <c r="AB343" s="11">
        <v>0.16853329776387441</v>
      </c>
      <c r="AC343" s="10">
        <v>0</v>
      </c>
      <c r="AD343" s="9" t="s">
        <v>34</v>
      </c>
      <c r="AE343" s="9" t="s">
        <v>263</v>
      </c>
    </row>
    <row r="344" spans="1:31" x14ac:dyDescent="0.25">
      <c r="A344" s="9" t="s">
        <v>940</v>
      </c>
      <c r="B344" s="10" t="s">
        <v>496</v>
      </c>
      <c r="C344" s="1" t="s">
        <v>758</v>
      </c>
      <c r="D344" s="10">
        <v>3</v>
      </c>
      <c r="E344" s="10">
        <v>2020</v>
      </c>
      <c r="F344" s="9" t="s">
        <v>38</v>
      </c>
      <c r="G344" s="9" t="s">
        <v>29</v>
      </c>
      <c r="H344" s="1">
        <v>79.400000000000006</v>
      </c>
      <c r="I344" s="1">
        <v>0.6</v>
      </c>
      <c r="J344" s="9" t="s">
        <v>30</v>
      </c>
      <c r="K344" s="1">
        <v>0.53100000000000003</v>
      </c>
      <c r="L344" s="10">
        <v>358</v>
      </c>
      <c r="M344" s="3">
        <v>0.08</v>
      </c>
      <c r="N344" s="11">
        <v>2.7653808403361349E-3</v>
      </c>
      <c r="O344" t="s">
        <v>919</v>
      </c>
      <c r="P344" s="11">
        <v>8.0171325037589738E-2</v>
      </c>
      <c r="Q344" s="11">
        <v>2.8169014084507039E-3</v>
      </c>
      <c r="R344">
        <v>8.0112345764934381E-2</v>
      </c>
      <c r="S344">
        <v>2.7652807133930748E-3</v>
      </c>
      <c r="T344" s="9" t="s">
        <v>40</v>
      </c>
      <c r="U344" s="9" t="s">
        <v>50</v>
      </c>
      <c r="V344" s="9" t="s">
        <v>276</v>
      </c>
      <c r="W344" s="9" t="s">
        <v>920</v>
      </c>
      <c r="X344" s="1" t="s">
        <v>31</v>
      </c>
      <c r="Y344" s="1" t="s">
        <v>31</v>
      </c>
      <c r="Z344" s="3" t="s">
        <v>31</v>
      </c>
      <c r="AA344" s="11" t="s">
        <v>31</v>
      </c>
      <c r="AB344" s="11" t="s">
        <v>31</v>
      </c>
      <c r="AC344" s="10">
        <v>1</v>
      </c>
      <c r="AD344" s="9" t="s">
        <v>34</v>
      </c>
      <c r="AE344" s="9" t="s">
        <v>35</v>
      </c>
    </row>
    <row r="345" spans="1:31" x14ac:dyDescent="0.25">
      <c r="A345" s="9" t="s">
        <v>940</v>
      </c>
      <c r="B345" s="10" t="s">
        <v>496</v>
      </c>
      <c r="C345" s="1" t="s">
        <v>759</v>
      </c>
      <c r="D345" s="10">
        <v>3</v>
      </c>
      <c r="E345" s="10">
        <v>2020</v>
      </c>
      <c r="F345" s="9" t="s">
        <v>38</v>
      </c>
      <c r="G345" s="9" t="s">
        <v>29</v>
      </c>
      <c r="H345" s="1">
        <v>79.400000000000006</v>
      </c>
      <c r="I345" s="1">
        <v>0.6</v>
      </c>
      <c r="J345" s="9" t="s">
        <v>30</v>
      </c>
      <c r="K345" s="1">
        <v>0.53100000000000003</v>
      </c>
      <c r="L345" s="10">
        <v>358</v>
      </c>
      <c r="M345" s="3">
        <v>0.16200000000000001</v>
      </c>
      <c r="N345" s="11">
        <v>2.65602450290196E-3</v>
      </c>
      <c r="O345" t="s">
        <v>919</v>
      </c>
      <c r="P345" s="11">
        <v>0.16343991846488681</v>
      </c>
      <c r="Q345" s="11">
        <v>2.8169014084507039E-3</v>
      </c>
      <c r="R345">
        <v>0.1622229283040735</v>
      </c>
      <c r="S345">
        <v>2.655630222905559E-3</v>
      </c>
      <c r="T345" s="9" t="s">
        <v>40</v>
      </c>
      <c r="U345" s="9" t="s">
        <v>50</v>
      </c>
      <c r="V345" s="9" t="s">
        <v>276</v>
      </c>
      <c r="W345" s="9" t="s">
        <v>928</v>
      </c>
      <c r="X345" s="1" t="s">
        <v>31</v>
      </c>
      <c r="Y345" s="1" t="s">
        <v>31</v>
      </c>
      <c r="Z345" s="3" t="s">
        <v>31</v>
      </c>
      <c r="AA345" s="11" t="s">
        <v>31</v>
      </c>
      <c r="AB345" s="11" t="s">
        <v>31</v>
      </c>
      <c r="AC345" s="10">
        <v>1</v>
      </c>
      <c r="AD345" s="9" t="s">
        <v>34</v>
      </c>
      <c r="AE345" s="9" t="s">
        <v>35</v>
      </c>
    </row>
    <row r="346" spans="1:31" x14ac:dyDescent="0.25">
      <c r="A346" s="9" t="s">
        <v>502</v>
      </c>
      <c r="B346" s="1" t="s">
        <v>26</v>
      </c>
      <c r="C346" s="1" t="s">
        <v>760</v>
      </c>
      <c r="D346" s="10">
        <v>2</v>
      </c>
      <c r="E346" s="10">
        <v>1987</v>
      </c>
      <c r="F346" s="9" t="s">
        <v>28</v>
      </c>
      <c r="G346" s="9" t="s">
        <v>29</v>
      </c>
      <c r="H346" s="1">
        <v>38.4</v>
      </c>
      <c r="I346" s="1">
        <v>14.1</v>
      </c>
      <c r="J346" s="9" t="s">
        <v>30</v>
      </c>
      <c r="K346" s="1">
        <v>0.34</v>
      </c>
      <c r="L346" s="10">
        <v>41</v>
      </c>
      <c r="M346" s="3">
        <v>0.06</v>
      </c>
      <c r="N346" s="11">
        <v>2.4820324000000001E-2</v>
      </c>
      <c r="O346">
        <v>20</v>
      </c>
      <c r="P346" s="11">
        <v>6.0072155921031697E-2</v>
      </c>
      <c r="Q346" s="11">
        <v>2.6315789473684209E-2</v>
      </c>
      <c r="R346">
        <v>6.0813087133637311E-2</v>
      </c>
      <c r="S346">
        <v>2.4815430344581859E-2</v>
      </c>
      <c r="T346" s="9" t="s">
        <v>32</v>
      </c>
      <c r="U346" s="9" t="s">
        <v>31</v>
      </c>
      <c r="V346" s="9" t="s">
        <v>305</v>
      </c>
      <c r="W346" s="9" t="s">
        <v>306</v>
      </c>
      <c r="X346" s="1">
        <v>10.199999999999999</v>
      </c>
      <c r="Y346" s="1">
        <v>15</v>
      </c>
      <c r="Z346" s="3">
        <f>X346/Y346</f>
        <v>0.67999999999999994</v>
      </c>
      <c r="AA346" s="11">
        <v>8.8051218785933541E-2</v>
      </c>
      <c r="AB346" s="11">
        <v>0.23359026827285531</v>
      </c>
      <c r="AC346" s="10">
        <v>1</v>
      </c>
      <c r="AD346" s="9" t="s">
        <v>34</v>
      </c>
      <c r="AE346" s="9" t="s">
        <v>35</v>
      </c>
    </row>
    <row r="347" spans="1:31" x14ac:dyDescent="0.25">
      <c r="A347" s="9" t="s">
        <v>503</v>
      </c>
      <c r="B347" s="1" t="s">
        <v>48</v>
      </c>
      <c r="C347" s="1" t="s">
        <v>761</v>
      </c>
      <c r="D347" s="10">
        <v>2</v>
      </c>
      <c r="E347" s="10">
        <v>1993</v>
      </c>
      <c r="F347" s="9" t="s">
        <v>38</v>
      </c>
      <c r="G347" s="9" t="s">
        <v>29</v>
      </c>
      <c r="H347" s="1">
        <v>38</v>
      </c>
      <c r="I347" s="1">
        <v>16</v>
      </c>
      <c r="J347" s="9" t="s">
        <v>39</v>
      </c>
      <c r="K347" s="1">
        <v>0</v>
      </c>
      <c r="L347" s="10">
        <v>30</v>
      </c>
      <c r="M347" s="3">
        <v>0.3</v>
      </c>
      <c r="N347" s="11">
        <v>2.8555172413793101E-2</v>
      </c>
      <c r="O347">
        <v>132</v>
      </c>
      <c r="P347" s="11">
        <v>0.30951960420311181</v>
      </c>
      <c r="Q347" s="11">
        <v>3.7037037037037042E-2</v>
      </c>
      <c r="R347">
        <v>0.30525537673482073</v>
      </c>
      <c r="S347">
        <v>2.8355895856159819E-2</v>
      </c>
      <c r="T347" s="9" t="s">
        <v>40</v>
      </c>
      <c r="U347" s="9" t="s">
        <v>46</v>
      </c>
      <c r="V347" s="9" t="s">
        <v>305</v>
      </c>
      <c r="W347" s="9" t="s">
        <v>307</v>
      </c>
      <c r="X347" s="1">
        <v>13</v>
      </c>
      <c r="Y347" s="1">
        <v>15</v>
      </c>
      <c r="Z347" s="3">
        <f>X347/Y347</f>
        <v>0.8666666666666667</v>
      </c>
      <c r="AA347" s="11">
        <v>0.34110491440212443</v>
      </c>
      <c r="AB347" s="11">
        <v>0.199042598256191</v>
      </c>
      <c r="AC347" s="10">
        <v>1</v>
      </c>
      <c r="AD347" s="9" t="s">
        <v>41</v>
      </c>
      <c r="AE347" s="9" t="s">
        <v>35</v>
      </c>
    </row>
    <row r="348" spans="1:31" x14ac:dyDescent="0.25">
      <c r="A348" s="9" t="s">
        <v>503</v>
      </c>
      <c r="B348" s="1" t="s">
        <v>52</v>
      </c>
      <c r="C348" s="1" t="s">
        <v>762</v>
      </c>
      <c r="D348" s="10">
        <v>2</v>
      </c>
      <c r="E348" s="10">
        <v>1993</v>
      </c>
      <c r="F348" s="9" t="s">
        <v>38</v>
      </c>
      <c r="G348" s="9" t="s">
        <v>29</v>
      </c>
      <c r="H348" s="1">
        <v>38</v>
      </c>
      <c r="I348" s="1">
        <v>16</v>
      </c>
      <c r="J348" s="9" t="s">
        <v>43</v>
      </c>
      <c r="K348" s="1">
        <v>1</v>
      </c>
      <c r="L348" s="10">
        <v>37</v>
      </c>
      <c r="M348" s="3">
        <v>0.43</v>
      </c>
      <c r="N348" s="11">
        <v>1.84552225E-2</v>
      </c>
      <c r="O348">
        <v>132</v>
      </c>
      <c r="P348" s="11">
        <v>0.45989668121267852</v>
      </c>
      <c r="Q348" s="11">
        <v>2.9411764705882349E-2</v>
      </c>
      <c r="R348">
        <v>0.43527996903553479</v>
      </c>
      <c r="S348">
        <v>1.8248918527574862E-2</v>
      </c>
      <c r="T348" s="9" t="s">
        <v>40</v>
      </c>
      <c r="U348" s="9" t="s">
        <v>46</v>
      </c>
      <c r="V348" s="9" t="s">
        <v>305</v>
      </c>
      <c r="W348" s="9" t="s">
        <v>307</v>
      </c>
      <c r="X348" s="1">
        <v>13</v>
      </c>
      <c r="Y348" s="1">
        <v>15</v>
      </c>
      <c r="Z348" s="3">
        <f t="shared" ref="Z348:Z411" si="12">X348/Y348</f>
        <v>0.8666666666666667</v>
      </c>
      <c r="AA348" s="11">
        <v>0.48161909458492619</v>
      </c>
      <c r="AB348" s="11">
        <v>0.16105764143602161</v>
      </c>
      <c r="AC348" s="10">
        <v>1</v>
      </c>
      <c r="AD348" s="9" t="s">
        <v>41</v>
      </c>
      <c r="AE348" s="9" t="s">
        <v>35</v>
      </c>
    </row>
    <row r="349" spans="1:31" x14ac:dyDescent="0.25">
      <c r="A349" s="9" t="s">
        <v>55</v>
      </c>
      <c r="B349" s="1" t="s">
        <v>60</v>
      </c>
      <c r="C349" s="1" t="s">
        <v>763</v>
      </c>
      <c r="D349" s="10">
        <v>2</v>
      </c>
      <c r="E349" s="10">
        <v>1994</v>
      </c>
      <c r="F349" s="9" t="s">
        <v>38</v>
      </c>
      <c r="G349" s="9" t="s">
        <v>29</v>
      </c>
      <c r="H349" s="1">
        <v>25</v>
      </c>
      <c r="I349" s="1" t="s">
        <v>31</v>
      </c>
      <c r="J349" s="9" t="s">
        <v>39</v>
      </c>
      <c r="K349" s="1">
        <v>0</v>
      </c>
      <c r="L349" s="10">
        <v>40</v>
      </c>
      <c r="M349" s="3">
        <v>0.28000000000000003</v>
      </c>
      <c r="N349" s="11">
        <v>2.1778116923076921E-2</v>
      </c>
      <c r="O349">
        <v>834</v>
      </c>
      <c r="P349" s="11">
        <v>0.28768207245178101</v>
      </c>
      <c r="Q349" s="11">
        <v>2.7027027027027029E-2</v>
      </c>
      <c r="R349">
        <v>0.28358996112978607</v>
      </c>
      <c r="S349">
        <v>2.1682599220911279E-2</v>
      </c>
      <c r="T349" s="9" t="s">
        <v>40</v>
      </c>
      <c r="U349" s="9" t="s">
        <v>50</v>
      </c>
      <c r="V349" s="9" t="s">
        <v>305</v>
      </c>
      <c r="W349" s="9" t="s">
        <v>384</v>
      </c>
      <c r="X349" s="1" t="s">
        <v>31</v>
      </c>
      <c r="Y349" s="1" t="s">
        <v>31</v>
      </c>
      <c r="Z349" s="3" t="s">
        <v>31</v>
      </c>
      <c r="AA349" s="11" t="s">
        <v>31</v>
      </c>
      <c r="AB349" s="11" t="s">
        <v>31</v>
      </c>
      <c r="AC349" s="10">
        <v>0</v>
      </c>
      <c r="AD349" s="9" t="s">
        <v>41</v>
      </c>
      <c r="AE349" s="9" t="s">
        <v>35</v>
      </c>
    </row>
    <row r="350" spans="1:31" x14ac:dyDescent="0.25">
      <c r="A350" s="9" t="s">
        <v>58</v>
      </c>
      <c r="B350" s="1" t="s">
        <v>67</v>
      </c>
      <c r="C350" s="1" t="s">
        <v>764</v>
      </c>
      <c r="D350" s="10">
        <v>2</v>
      </c>
      <c r="E350" s="10">
        <v>1995</v>
      </c>
      <c r="F350" s="9" t="s">
        <v>38</v>
      </c>
      <c r="G350" s="9" t="s">
        <v>29</v>
      </c>
      <c r="H350" s="1">
        <v>22.5</v>
      </c>
      <c r="I350" s="1">
        <v>5</v>
      </c>
      <c r="J350" s="9" t="s">
        <v>43</v>
      </c>
      <c r="K350" s="1">
        <v>1</v>
      </c>
      <c r="L350" s="10">
        <v>40</v>
      </c>
      <c r="M350" s="3">
        <v>0.22</v>
      </c>
      <c r="N350" s="11">
        <v>2.321904E-2</v>
      </c>
      <c r="O350">
        <v>114</v>
      </c>
      <c r="P350" s="11">
        <v>0.22365610902183239</v>
      </c>
      <c r="Q350" s="11">
        <v>2.7027027027027029E-2</v>
      </c>
      <c r="R350">
        <v>0.22291823398102709</v>
      </c>
      <c r="S350">
        <v>2.315600693215188E-2</v>
      </c>
      <c r="T350" s="9" t="s">
        <v>40</v>
      </c>
      <c r="U350" s="9" t="s">
        <v>50</v>
      </c>
      <c r="V350" s="9" t="s">
        <v>305</v>
      </c>
      <c r="W350" s="9" t="s">
        <v>307</v>
      </c>
      <c r="X350" s="1">
        <v>10.5</v>
      </c>
      <c r="Y350" s="1">
        <v>15</v>
      </c>
      <c r="Z350" s="3">
        <f t="shared" si="12"/>
        <v>0.7</v>
      </c>
      <c r="AA350" s="11">
        <v>0.30665662178525738</v>
      </c>
      <c r="AB350" s="11">
        <v>0.21000058139873901</v>
      </c>
      <c r="AC350" s="10">
        <v>0</v>
      </c>
      <c r="AD350" s="9" t="s">
        <v>41</v>
      </c>
      <c r="AE350" s="9" t="s">
        <v>35</v>
      </c>
    </row>
    <row r="351" spans="1:31" x14ac:dyDescent="0.25">
      <c r="A351" s="9" t="s">
        <v>508</v>
      </c>
      <c r="B351" s="1" t="s">
        <v>1038</v>
      </c>
      <c r="C351" s="1" t="s">
        <v>765</v>
      </c>
      <c r="D351" s="10">
        <v>3</v>
      </c>
      <c r="E351" s="10">
        <v>1995</v>
      </c>
      <c r="F351" s="9" t="s">
        <v>28</v>
      </c>
      <c r="G351" s="9" t="s">
        <v>29</v>
      </c>
      <c r="H351" s="1">
        <v>29.75</v>
      </c>
      <c r="I351" s="1">
        <v>6.87</v>
      </c>
      <c r="J351" s="9" t="s">
        <v>30</v>
      </c>
      <c r="K351" s="1">
        <v>0.63</v>
      </c>
      <c r="L351" s="10">
        <v>68</v>
      </c>
      <c r="M351" s="3">
        <v>0.18</v>
      </c>
      <c r="N351" s="11">
        <v>1.3973877014925371E-2</v>
      </c>
      <c r="O351">
        <v>215</v>
      </c>
      <c r="P351" s="11">
        <v>0.18198268860070571</v>
      </c>
      <c r="Q351" s="11">
        <v>1.5384615384615391E-2</v>
      </c>
      <c r="R351">
        <v>0.18136435618201979</v>
      </c>
      <c r="S351">
        <v>1.395964017933983E-2</v>
      </c>
      <c r="T351" s="9" t="s">
        <v>40</v>
      </c>
      <c r="U351" s="9" t="s">
        <v>50</v>
      </c>
      <c r="V351" s="9" t="s">
        <v>305</v>
      </c>
      <c r="W351" s="9" t="s">
        <v>893</v>
      </c>
      <c r="X351" s="1" t="s">
        <v>31</v>
      </c>
      <c r="Y351" s="1" t="s">
        <v>31</v>
      </c>
      <c r="Z351" s="3" t="s">
        <v>31</v>
      </c>
      <c r="AA351" s="11" t="s">
        <v>31</v>
      </c>
      <c r="AB351" s="11" t="s">
        <v>31</v>
      </c>
      <c r="AC351" s="10">
        <v>0</v>
      </c>
      <c r="AD351" s="9" t="s">
        <v>41</v>
      </c>
      <c r="AE351" s="9" t="s">
        <v>35</v>
      </c>
    </row>
    <row r="352" spans="1:31" x14ac:dyDescent="0.25">
      <c r="A352" s="9" t="s">
        <v>508</v>
      </c>
      <c r="B352" s="1" t="s">
        <v>72</v>
      </c>
      <c r="C352" s="1" t="s">
        <v>766</v>
      </c>
      <c r="D352" s="10">
        <v>3</v>
      </c>
      <c r="E352" s="10">
        <v>1995</v>
      </c>
      <c r="F352" s="9" t="s">
        <v>38</v>
      </c>
      <c r="G352" s="9" t="s">
        <v>29</v>
      </c>
      <c r="H352" s="1">
        <v>27.66</v>
      </c>
      <c r="I352" s="1">
        <v>7.31</v>
      </c>
      <c r="J352" s="9" t="s">
        <v>30</v>
      </c>
      <c r="K352" s="1">
        <v>0.63</v>
      </c>
      <c r="L352" s="10">
        <v>68</v>
      </c>
      <c r="M352" s="3">
        <v>0.26</v>
      </c>
      <c r="N352" s="11">
        <v>1.297566805970149E-2</v>
      </c>
      <c r="O352">
        <v>215</v>
      </c>
      <c r="P352" s="11">
        <v>0.26610840687365411</v>
      </c>
      <c r="Q352" s="11">
        <v>1.5384615384615391E-2</v>
      </c>
      <c r="R352">
        <v>0.26189662880026687</v>
      </c>
      <c r="S352">
        <v>1.2948132512989969E-2</v>
      </c>
      <c r="T352" s="9" t="s">
        <v>40</v>
      </c>
      <c r="U352" s="9" t="s">
        <v>50</v>
      </c>
      <c r="V352" s="9" t="s">
        <v>305</v>
      </c>
      <c r="W352" s="9" t="s">
        <v>893</v>
      </c>
      <c r="X352" s="1" t="s">
        <v>31</v>
      </c>
      <c r="Y352" s="1" t="s">
        <v>31</v>
      </c>
      <c r="Z352" s="3" t="s">
        <v>31</v>
      </c>
      <c r="AA352" s="11" t="s">
        <v>31</v>
      </c>
      <c r="AB352" s="11" t="s">
        <v>31</v>
      </c>
      <c r="AC352" s="10">
        <v>0</v>
      </c>
      <c r="AD352" s="9" t="s">
        <v>41</v>
      </c>
      <c r="AE352" s="9" t="s">
        <v>35</v>
      </c>
    </row>
    <row r="353" spans="1:31" x14ac:dyDescent="0.25">
      <c r="A353" s="9" t="s">
        <v>856</v>
      </c>
      <c r="B353" s="1" t="s">
        <v>1039</v>
      </c>
      <c r="C353" s="1" t="s">
        <v>767</v>
      </c>
      <c r="D353" s="10">
        <v>2</v>
      </c>
      <c r="E353" s="10">
        <v>1997</v>
      </c>
      <c r="F353" s="9" t="s">
        <v>28</v>
      </c>
      <c r="G353" s="9" t="s">
        <v>29</v>
      </c>
      <c r="H353" s="1" t="s">
        <v>31</v>
      </c>
      <c r="I353" s="1" t="s">
        <v>31</v>
      </c>
      <c r="J353" s="9" t="s">
        <v>31</v>
      </c>
      <c r="K353" s="1" t="s">
        <v>31</v>
      </c>
      <c r="L353" s="10">
        <v>21</v>
      </c>
      <c r="M353" s="3">
        <v>0.46899999999999997</v>
      </c>
      <c r="N353" s="11">
        <v>3.042304207605E-2</v>
      </c>
      <c r="O353">
        <v>6</v>
      </c>
      <c r="P353" s="11">
        <v>0.50878757746596914</v>
      </c>
      <c r="Q353" s="11">
        <v>5.5555555555555552E-2</v>
      </c>
      <c r="R353">
        <v>0.47957446693727451</v>
      </c>
      <c r="S353">
        <v>2.9645641464430831E-2</v>
      </c>
      <c r="T353" s="9" t="s">
        <v>40</v>
      </c>
      <c r="U353" s="9" t="s">
        <v>50</v>
      </c>
      <c r="V353" s="9" t="s">
        <v>305</v>
      </c>
      <c r="W353" s="9" t="s">
        <v>307</v>
      </c>
      <c r="X353" s="1" t="s">
        <v>31</v>
      </c>
      <c r="Y353" s="1" t="s">
        <v>31</v>
      </c>
      <c r="Z353" s="3" t="s">
        <v>31</v>
      </c>
      <c r="AA353" s="11" t="s">
        <v>31</v>
      </c>
      <c r="AB353" s="11" t="s">
        <v>31</v>
      </c>
      <c r="AC353" s="10">
        <v>3</v>
      </c>
      <c r="AD353" s="9" t="s">
        <v>34</v>
      </c>
      <c r="AE353" s="9" t="s">
        <v>35</v>
      </c>
    </row>
    <row r="354" spans="1:31" x14ac:dyDescent="0.25">
      <c r="A354" s="9" t="s">
        <v>510</v>
      </c>
      <c r="B354" s="1" t="s">
        <v>88</v>
      </c>
      <c r="C354" s="1" t="s">
        <v>768</v>
      </c>
      <c r="D354" s="10">
        <v>2</v>
      </c>
      <c r="E354" s="10">
        <v>1997</v>
      </c>
      <c r="F354" s="9" t="s">
        <v>28</v>
      </c>
      <c r="G354" s="9" t="s">
        <v>29</v>
      </c>
      <c r="H354" s="1">
        <v>70.2</v>
      </c>
      <c r="I354" s="1">
        <v>7.1</v>
      </c>
      <c r="J354" s="9" t="s">
        <v>30</v>
      </c>
      <c r="K354" s="1">
        <v>0.38</v>
      </c>
      <c r="L354" s="10">
        <v>60</v>
      </c>
      <c r="M354" s="3">
        <v>0.36499999999999999</v>
      </c>
      <c r="N354" s="11">
        <v>1.273387967161017E-2</v>
      </c>
      <c r="O354">
        <v>21</v>
      </c>
      <c r="P354" s="11">
        <v>0.38264235436318422</v>
      </c>
      <c r="Q354" s="11">
        <v>1.754385964912281E-2</v>
      </c>
      <c r="R354">
        <v>0.36782164720622368</v>
      </c>
      <c r="S354">
        <v>1.2673196673310081E-2</v>
      </c>
      <c r="T354" s="9" t="s">
        <v>40</v>
      </c>
      <c r="U354" s="9" t="s">
        <v>50</v>
      </c>
      <c r="V354" s="9" t="s">
        <v>305</v>
      </c>
      <c r="W354" s="9" t="s">
        <v>307</v>
      </c>
      <c r="X354" s="1">
        <v>14</v>
      </c>
      <c r="Y354" s="1">
        <v>15</v>
      </c>
      <c r="Z354" s="3">
        <f t="shared" si="12"/>
        <v>0.93333333333333335</v>
      </c>
      <c r="AA354" s="11">
        <v>0.38727311799529562</v>
      </c>
      <c r="AB354" s="11">
        <v>0.12719973535724061</v>
      </c>
      <c r="AC354" s="10">
        <v>3</v>
      </c>
      <c r="AD354" s="9" t="s">
        <v>34</v>
      </c>
      <c r="AE354" s="9" t="s">
        <v>35</v>
      </c>
    </row>
    <row r="355" spans="1:31" x14ac:dyDescent="0.25">
      <c r="A355" s="9" t="s">
        <v>511</v>
      </c>
      <c r="B355" s="1" t="s">
        <v>91</v>
      </c>
      <c r="C355" s="1" t="s">
        <v>769</v>
      </c>
      <c r="D355" s="10">
        <v>2</v>
      </c>
      <c r="E355" s="10">
        <v>1997</v>
      </c>
      <c r="F355" s="9" t="s">
        <v>38</v>
      </c>
      <c r="G355" s="9" t="s">
        <v>29</v>
      </c>
      <c r="H355" s="1">
        <v>24.8</v>
      </c>
      <c r="I355" s="1">
        <v>4.5</v>
      </c>
      <c r="J355" s="9" t="s">
        <v>30</v>
      </c>
      <c r="K355" s="1">
        <v>0.53</v>
      </c>
      <c r="L355" s="10">
        <v>62</v>
      </c>
      <c r="M355" s="3">
        <v>0.32</v>
      </c>
      <c r="N355" s="11">
        <v>1.320796327868852E-2</v>
      </c>
      <c r="O355">
        <v>4</v>
      </c>
      <c r="P355" s="11">
        <v>0.33164710870513209</v>
      </c>
      <c r="Q355" s="11">
        <v>1.6949152542372881E-2</v>
      </c>
      <c r="R355">
        <v>0.32247655226589822</v>
      </c>
      <c r="S355">
        <v>1.316117870364727E-2</v>
      </c>
      <c r="T355" s="9" t="s">
        <v>40</v>
      </c>
      <c r="U355" s="9" t="s">
        <v>50</v>
      </c>
      <c r="V355" s="9" t="s">
        <v>305</v>
      </c>
      <c r="W355" s="9" t="s">
        <v>385</v>
      </c>
      <c r="X355" s="1">
        <v>12</v>
      </c>
      <c r="Y355" s="1">
        <v>15</v>
      </c>
      <c r="Z355" s="3">
        <f t="shared" si="12"/>
        <v>0.8</v>
      </c>
      <c r="AA355" s="11">
        <v>0.388954920792207</v>
      </c>
      <c r="AB355" s="11">
        <v>0.14057032423377211</v>
      </c>
      <c r="AC355" s="10">
        <v>0</v>
      </c>
      <c r="AD355" s="9" t="s">
        <v>41</v>
      </c>
      <c r="AE355" s="9" t="s">
        <v>35</v>
      </c>
    </row>
    <row r="356" spans="1:31" x14ac:dyDescent="0.25">
      <c r="A356" s="9" t="s">
        <v>512</v>
      </c>
      <c r="B356" s="1" t="s">
        <v>95</v>
      </c>
      <c r="C356" s="1" t="s">
        <v>770</v>
      </c>
      <c r="D356" s="10">
        <v>2</v>
      </c>
      <c r="E356" s="10">
        <v>1998</v>
      </c>
      <c r="F356" s="9" t="s">
        <v>38</v>
      </c>
      <c r="G356" s="9" t="s">
        <v>29</v>
      </c>
      <c r="H356" s="1">
        <v>27</v>
      </c>
      <c r="I356" s="1">
        <v>10</v>
      </c>
      <c r="J356" s="9" t="s">
        <v>30</v>
      </c>
      <c r="K356" s="1">
        <v>0.53</v>
      </c>
      <c r="L356" s="10">
        <v>90</v>
      </c>
      <c r="M356" s="3">
        <v>0.26</v>
      </c>
      <c r="N356" s="11">
        <v>9.7681995505617975E-3</v>
      </c>
      <c r="O356">
        <v>152</v>
      </c>
      <c r="P356" s="11">
        <v>0.26610840687365411</v>
      </c>
      <c r="Q356" s="11">
        <v>1.149425287356322E-2</v>
      </c>
      <c r="R356">
        <v>0.26141096189316471</v>
      </c>
      <c r="S356">
        <v>9.7527908389701407E-3</v>
      </c>
      <c r="T356" s="9" t="s">
        <v>40</v>
      </c>
      <c r="U356" s="9" t="s">
        <v>50</v>
      </c>
      <c r="V356" s="9" t="s">
        <v>305</v>
      </c>
      <c r="W356" s="9" t="s">
        <v>307</v>
      </c>
      <c r="X356" s="1">
        <v>12</v>
      </c>
      <c r="Y356" s="1">
        <v>15</v>
      </c>
      <c r="Z356" s="3">
        <f t="shared" si="12"/>
        <v>0.8</v>
      </c>
      <c r="AA356" s="11">
        <v>0.31899175233892602</v>
      </c>
      <c r="AB356" s="11">
        <v>0.12166287904573481</v>
      </c>
      <c r="AC356" s="10">
        <v>1</v>
      </c>
      <c r="AD356" s="9" t="s">
        <v>41</v>
      </c>
      <c r="AE356" s="9" t="s">
        <v>35</v>
      </c>
    </row>
    <row r="357" spans="1:31" x14ac:dyDescent="0.25">
      <c r="A357" s="9" t="s">
        <v>513</v>
      </c>
      <c r="B357" s="1" t="s">
        <v>97</v>
      </c>
      <c r="C357" s="1" t="s">
        <v>771</v>
      </c>
      <c r="D357" s="10">
        <v>3</v>
      </c>
      <c r="E357" s="10">
        <v>1999</v>
      </c>
      <c r="F357" s="9" t="s">
        <v>38</v>
      </c>
      <c r="G357" s="9" t="s">
        <v>29</v>
      </c>
      <c r="H357" s="1">
        <v>25</v>
      </c>
      <c r="I357" s="1">
        <v>5.3</v>
      </c>
      <c r="J357" s="9" t="s">
        <v>39</v>
      </c>
      <c r="K357" s="1">
        <v>0</v>
      </c>
      <c r="L357" s="10">
        <v>40</v>
      </c>
      <c r="M357" s="3">
        <v>0.56999999999999995</v>
      </c>
      <c r="N357" s="11">
        <v>1.16861541025641E-2</v>
      </c>
      <c r="O357">
        <v>4069</v>
      </c>
      <c r="P357" s="11">
        <v>0.64752284482737277</v>
      </c>
      <c r="Q357" s="11">
        <v>2.7027027027027029E-2</v>
      </c>
      <c r="R357">
        <v>0.57526977966652715</v>
      </c>
      <c r="S357">
        <v>1.147814222640065E-2</v>
      </c>
      <c r="T357" s="9" t="s">
        <v>40</v>
      </c>
      <c r="U357" s="9" t="s">
        <v>46</v>
      </c>
      <c r="V357" s="9" t="s">
        <v>305</v>
      </c>
      <c r="W357" s="9" t="s">
        <v>976</v>
      </c>
      <c r="X357" s="1" t="s">
        <v>31</v>
      </c>
      <c r="Y357" s="1" t="s">
        <v>31</v>
      </c>
      <c r="Z357" s="3" t="s">
        <v>31</v>
      </c>
      <c r="AA357" s="11" t="s">
        <v>31</v>
      </c>
      <c r="AB357" s="11" t="s">
        <v>31</v>
      </c>
      <c r="AC357" s="10">
        <v>0</v>
      </c>
      <c r="AD357" s="9" t="s">
        <v>41</v>
      </c>
      <c r="AE357" s="9" t="s">
        <v>35</v>
      </c>
    </row>
    <row r="358" spans="1:31" x14ac:dyDescent="0.25">
      <c r="A358" s="9" t="s">
        <v>513</v>
      </c>
      <c r="B358" s="1" t="s">
        <v>100</v>
      </c>
      <c r="C358" s="1" t="s">
        <v>772</v>
      </c>
      <c r="D358" s="10">
        <v>3</v>
      </c>
      <c r="E358" s="10">
        <v>1999</v>
      </c>
      <c r="F358" s="9" t="s">
        <v>38</v>
      </c>
      <c r="G358" s="9" t="s">
        <v>29</v>
      </c>
      <c r="H358" s="1">
        <v>27</v>
      </c>
      <c r="I358" s="1">
        <v>5.7</v>
      </c>
      <c r="J358" s="9" t="s">
        <v>43</v>
      </c>
      <c r="K358" s="1">
        <v>1</v>
      </c>
      <c r="L358" s="10">
        <v>40</v>
      </c>
      <c r="M358" s="3">
        <v>0.35</v>
      </c>
      <c r="N358" s="11">
        <v>1.9743750000000001E-2</v>
      </c>
      <c r="O358">
        <v>4069</v>
      </c>
      <c r="P358" s="11">
        <v>0.36544375427139619</v>
      </c>
      <c r="Q358" s="11">
        <v>2.7027027027027029E-2</v>
      </c>
      <c r="R358">
        <v>0.35426047602040212</v>
      </c>
      <c r="S358">
        <v>1.960895902467313E-2</v>
      </c>
      <c r="T358" s="9" t="s">
        <v>40</v>
      </c>
      <c r="U358" s="9" t="s">
        <v>46</v>
      </c>
      <c r="V358" s="9" t="s">
        <v>305</v>
      </c>
      <c r="W358" s="9" t="s">
        <v>976</v>
      </c>
      <c r="X358" s="1" t="s">
        <v>31</v>
      </c>
      <c r="Y358" s="1" t="s">
        <v>31</v>
      </c>
      <c r="Z358" s="3" t="s">
        <v>31</v>
      </c>
      <c r="AA358" s="11" t="s">
        <v>31</v>
      </c>
      <c r="AB358" s="11" t="s">
        <v>31</v>
      </c>
      <c r="AC358" s="10">
        <v>0</v>
      </c>
      <c r="AD358" s="9" t="s">
        <v>41</v>
      </c>
      <c r="AE358" s="9" t="s">
        <v>35</v>
      </c>
    </row>
    <row r="359" spans="1:31" x14ac:dyDescent="0.25">
      <c r="A359" s="9" t="s">
        <v>850</v>
      </c>
      <c r="B359" s="1" t="s">
        <v>1040</v>
      </c>
      <c r="C359" s="1" t="s">
        <v>892</v>
      </c>
      <c r="D359" s="10">
        <v>2</v>
      </c>
      <c r="E359" s="10">
        <v>1999</v>
      </c>
      <c r="F359" s="9" t="s">
        <v>28</v>
      </c>
      <c r="G359" s="9" t="s">
        <v>29</v>
      </c>
      <c r="H359" s="1">
        <v>43</v>
      </c>
      <c r="I359" s="1">
        <v>10</v>
      </c>
      <c r="J359" s="9" t="s">
        <v>43</v>
      </c>
      <c r="K359" s="1">
        <v>1</v>
      </c>
      <c r="L359" s="10">
        <v>37</v>
      </c>
      <c r="M359" s="3">
        <v>0</v>
      </c>
      <c r="N359" s="11">
        <v>2.777777777777778E-2</v>
      </c>
      <c r="O359" t="s">
        <v>63</v>
      </c>
      <c r="P359" s="11">
        <v>0</v>
      </c>
      <c r="Q359" s="11">
        <v>2.9411764705882349E-2</v>
      </c>
      <c r="R359">
        <v>0</v>
      </c>
      <c r="S359">
        <v>2.777777777777778E-2</v>
      </c>
      <c r="T359" s="9" t="s">
        <v>40</v>
      </c>
      <c r="U359" s="9" t="s">
        <v>50</v>
      </c>
      <c r="V359" s="9" t="s">
        <v>305</v>
      </c>
      <c r="W359" s="9" t="s">
        <v>307</v>
      </c>
      <c r="X359" s="1">
        <v>11</v>
      </c>
      <c r="Y359" s="1">
        <v>15</v>
      </c>
      <c r="Z359" s="3">
        <f t="shared" si="12"/>
        <v>0.73333333333333328</v>
      </c>
      <c r="AA359" s="11">
        <v>0</v>
      </c>
      <c r="AB359" s="11" t="s">
        <v>31</v>
      </c>
      <c r="AC359" s="10">
        <v>0</v>
      </c>
      <c r="AD359" s="9" t="s">
        <v>34</v>
      </c>
      <c r="AE359" s="9" t="s">
        <v>63</v>
      </c>
    </row>
    <row r="360" spans="1:31" x14ac:dyDescent="0.25">
      <c r="A360" s="9" t="s">
        <v>850</v>
      </c>
      <c r="B360" s="1" t="s">
        <v>1041</v>
      </c>
      <c r="C360" s="1" t="s">
        <v>773</v>
      </c>
      <c r="D360" s="10">
        <v>2</v>
      </c>
      <c r="E360" s="10">
        <v>1999</v>
      </c>
      <c r="F360" s="9" t="s">
        <v>38</v>
      </c>
      <c r="G360" s="9" t="s">
        <v>29</v>
      </c>
      <c r="H360" s="1">
        <v>42</v>
      </c>
      <c r="I360" s="1">
        <v>10</v>
      </c>
      <c r="J360" s="9" t="s">
        <v>43</v>
      </c>
      <c r="K360" s="1">
        <v>1</v>
      </c>
      <c r="L360" s="10">
        <v>33</v>
      </c>
      <c r="M360" s="3">
        <v>0</v>
      </c>
      <c r="N360" s="11">
        <v>3.125E-2</v>
      </c>
      <c r="O360" t="s">
        <v>63</v>
      </c>
      <c r="P360" s="11">
        <v>0</v>
      </c>
      <c r="Q360" s="11">
        <v>3.3333333333333333E-2</v>
      </c>
      <c r="R360">
        <v>0</v>
      </c>
      <c r="S360">
        <v>3.125E-2</v>
      </c>
      <c r="T360" s="9" t="s">
        <v>40</v>
      </c>
      <c r="U360" s="9" t="s">
        <v>50</v>
      </c>
      <c r="V360" s="9" t="s">
        <v>305</v>
      </c>
      <c r="W360" s="9" t="s">
        <v>307</v>
      </c>
      <c r="X360" s="1">
        <v>12</v>
      </c>
      <c r="Y360" s="1">
        <v>15</v>
      </c>
      <c r="Z360" s="3">
        <f t="shared" si="12"/>
        <v>0.8</v>
      </c>
      <c r="AA360" s="11">
        <v>0</v>
      </c>
      <c r="AB360" s="11" t="s">
        <v>31</v>
      </c>
      <c r="AC360" s="10">
        <v>0</v>
      </c>
      <c r="AD360" s="9" t="s">
        <v>34</v>
      </c>
      <c r="AE360" s="9" t="s">
        <v>63</v>
      </c>
    </row>
    <row r="361" spans="1:31" x14ac:dyDescent="0.25">
      <c r="A361" s="9" t="s">
        <v>943</v>
      </c>
      <c r="B361" s="1" t="s">
        <v>113</v>
      </c>
      <c r="C361" s="1" t="s">
        <v>774</v>
      </c>
      <c r="D361" s="10">
        <v>2</v>
      </c>
      <c r="E361" s="10">
        <v>2000</v>
      </c>
      <c r="F361" s="9" t="s">
        <v>38</v>
      </c>
      <c r="G361" s="9" t="s">
        <v>54</v>
      </c>
      <c r="H361" s="1">
        <v>7.75</v>
      </c>
      <c r="I361" s="1" t="s">
        <v>31</v>
      </c>
      <c r="J361" s="9" t="s">
        <v>30</v>
      </c>
      <c r="K361" s="1">
        <v>0.73</v>
      </c>
      <c r="L361" s="10">
        <v>11</v>
      </c>
      <c r="M361" s="3">
        <v>-0.17799999999999999</v>
      </c>
      <c r="N361" s="11">
        <v>9.3763587585599995E-2</v>
      </c>
      <c r="O361" t="s">
        <v>63</v>
      </c>
      <c r="P361" s="11">
        <v>-0.17991648457767601</v>
      </c>
      <c r="Q361" s="11">
        <v>0.125</v>
      </c>
      <c r="R361">
        <v>-0.19054163561652329</v>
      </c>
      <c r="S361">
        <v>9.287059041725404E-2</v>
      </c>
      <c r="T361" s="9" t="s">
        <v>40</v>
      </c>
      <c r="U361" s="9" t="s">
        <v>31</v>
      </c>
      <c r="V361" s="9" t="s">
        <v>305</v>
      </c>
      <c r="W361" s="9" t="s">
        <v>308</v>
      </c>
      <c r="X361" s="1" t="s">
        <v>31</v>
      </c>
      <c r="Y361" s="1" t="s">
        <v>31</v>
      </c>
      <c r="Z361" s="3" t="s">
        <v>31</v>
      </c>
      <c r="AA361" s="11" t="s">
        <v>31</v>
      </c>
      <c r="AB361" s="11" t="s">
        <v>31</v>
      </c>
      <c r="AC361" s="10">
        <v>0</v>
      </c>
      <c r="AD361" s="9" t="s">
        <v>34</v>
      </c>
      <c r="AE361" s="9" t="s">
        <v>63</v>
      </c>
    </row>
    <row r="362" spans="1:31" x14ac:dyDescent="0.25">
      <c r="A362" s="9" t="s">
        <v>943</v>
      </c>
      <c r="B362" s="1" t="s">
        <v>116</v>
      </c>
      <c r="C362" s="1" t="s">
        <v>775</v>
      </c>
      <c r="D362" s="10">
        <v>2</v>
      </c>
      <c r="E362" s="10">
        <v>2000</v>
      </c>
      <c r="F362" s="9" t="s">
        <v>38</v>
      </c>
      <c r="G362" s="9" t="s">
        <v>54</v>
      </c>
      <c r="H362" s="1">
        <v>7.75</v>
      </c>
      <c r="I362" s="1" t="s">
        <v>31</v>
      </c>
      <c r="J362" s="9" t="s">
        <v>30</v>
      </c>
      <c r="K362" s="1">
        <v>0.38</v>
      </c>
      <c r="L362" s="10">
        <v>8</v>
      </c>
      <c r="M362" s="3">
        <v>0.34699999999999998</v>
      </c>
      <c r="N362" s="11">
        <v>0.1105257610401429</v>
      </c>
      <c r="O362" t="s">
        <v>63</v>
      </c>
      <c r="P362" s="11">
        <v>0.36202902356696642</v>
      </c>
      <c r="Q362" s="11">
        <v>0.2</v>
      </c>
      <c r="R362">
        <v>0.38338895482073021</v>
      </c>
      <c r="S362">
        <v>0.1039472890670107</v>
      </c>
      <c r="T362" s="9" t="s">
        <v>40</v>
      </c>
      <c r="U362" s="9" t="s">
        <v>31</v>
      </c>
      <c r="V362" s="9" t="s">
        <v>305</v>
      </c>
      <c r="W362" s="9" t="s">
        <v>308</v>
      </c>
      <c r="X362" s="1" t="s">
        <v>31</v>
      </c>
      <c r="Y362" s="1" t="s">
        <v>31</v>
      </c>
      <c r="Z362" s="3" t="s">
        <v>31</v>
      </c>
      <c r="AA362" s="11" t="s">
        <v>31</v>
      </c>
      <c r="AB362" s="11" t="s">
        <v>31</v>
      </c>
      <c r="AC362" s="10">
        <v>0</v>
      </c>
      <c r="AD362" s="9" t="s">
        <v>34</v>
      </c>
      <c r="AE362" s="9" t="s">
        <v>63</v>
      </c>
    </row>
    <row r="363" spans="1:31" x14ac:dyDescent="0.25">
      <c r="A363" s="9" t="s">
        <v>94</v>
      </c>
      <c r="B363" s="1" t="s">
        <v>140</v>
      </c>
      <c r="C363" s="1" t="s">
        <v>776</v>
      </c>
      <c r="D363" s="10">
        <v>2</v>
      </c>
      <c r="E363" s="10">
        <v>2000</v>
      </c>
      <c r="F363" s="9" t="s">
        <v>38</v>
      </c>
      <c r="G363" s="9" t="s">
        <v>29</v>
      </c>
      <c r="H363" s="1">
        <v>24.97</v>
      </c>
      <c r="I363" s="1">
        <v>4.47</v>
      </c>
      <c r="J363" s="9" t="s">
        <v>43</v>
      </c>
      <c r="K363" s="1">
        <v>1</v>
      </c>
      <c r="L363" s="10">
        <v>68</v>
      </c>
      <c r="M363" s="3">
        <v>0.311</v>
      </c>
      <c r="N363" s="11">
        <v>1.217780525135821E-2</v>
      </c>
      <c r="O363">
        <v>1106</v>
      </c>
      <c r="P363" s="11">
        <v>0.32165210637502062</v>
      </c>
      <c r="Q363" s="11">
        <v>1.5384615384615391E-2</v>
      </c>
      <c r="R363">
        <v>0.31319549925132101</v>
      </c>
      <c r="S363">
        <v>1.2140881870484141E-2</v>
      </c>
      <c r="T363" s="9" t="s">
        <v>40</v>
      </c>
      <c r="U363" s="9" t="s">
        <v>50</v>
      </c>
      <c r="V363" s="9" t="s">
        <v>305</v>
      </c>
      <c r="W363" s="9" t="s">
        <v>384</v>
      </c>
      <c r="X363" s="1">
        <v>11.06</v>
      </c>
      <c r="Y363" s="1">
        <v>15</v>
      </c>
      <c r="Z363" s="3">
        <f t="shared" si="12"/>
        <v>0.7373333333333334</v>
      </c>
      <c r="AA363" s="11">
        <v>0.4056451743559959</v>
      </c>
      <c r="AB363" s="11">
        <v>0.14113167613659089</v>
      </c>
      <c r="AC363" s="10">
        <v>0</v>
      </c>
      <c r="AD363" s="9" t="s">
        <v>41</v>
      </c>
      <c r="AE363" s="9" t="s">
        <v>35</v>
      </c>
    </row>
    <row r="364" spans="1:31" x14ac:dyDescent="0.25">
      <c r="A364" s="9" t="s">
        <v>851</v>
      </c>
      <c r="B364" s="1" t="s">
        <v>1055</v>
      </c>
      <c r="C364" s="1" t="s">
        <v>777</v>
      </c>
      <c r="D364" s="10">
        <v>2</v>
      </c>
      <c r="E364" s="10">
        <v>2001</v>
      </c>
      <c r="F364" s="9" t="s">
        <v>38</v>
      </c>
      <c r="G364" s="9" t="s">
        <v>29</v>
      </c>
      <c r="H364" s="1">
        <v>74.849999999999994</v>
      </c>
      <c r="I364" s="1">
        <v>4.95</v>
      </c>
      <c r="J364" s="9" t="s">
        <v>30</v>
      </c>
      <c r="K364" s="1">
        <v>0.38</v>
      </c>
      <c r="L364" s="10">
        <v>318</v>
      </c>
      <c r="M364" s="3">
        <v>5.8000000000000003E-2</v>
      </c>
      <c r="N364" s="11">
        <v>3.1333858564542589E-3</v>
      </c>
      <c r="O364">
        <v>482</v>
      </c>
      <c r="P364" s="11">
        <v>5.80651689209409E-2</v>
      </c>
      <c r="Q364" s="11">
        <v>3.174603174603175E-3</v>
      </c>
      <c r="R364">
        <v>5.8092116932837792E-2</v>
      </c>
      <c r="S364">
        <v>3.133318613439913E-3</v>
      </c>
      <c r="T364" s="9" t="s">
        <v>40</v>
      </c>
      <c r="U364" s="9" t="s">
        <v>50</v>
      </c>
      <c r="V364" s="9" t="s">
        <v>305</v>
      </c>
      <c r="W364" s="9" t="s">
        <v>385</v>
      </c>
      <c r="X364" s="1">
        <v>9</v>
      </c>
      <c r="Y364" s="1" t="s">
        <v>31</v>
      </c>
      <c r="Z364" s="3" t="s">
        <v>31</v>
      </c>
      <c r="AA364" s="11" t="s">
        <v>31</v>
      </c>
      <c r="AB364" s="11" t="s">
        <v>31</v>
      </c>
      <c r="AC364" s="10">
        <v>5</v>
      </c>
      <c r="AD364" s="9" t="s">
        <v>34</v>
      </c>
      <c r="AE364" s="9" t="s">
        <v>35</v>
      </c>
    </row>
    <row r="365" spans="1:31" x14ac:dyDescent="0.25">
      <c r="A365" s="9" t="s">
        <v>518</v>
      </c>
      <c r="B365" s="1" t="s">
        <v>154</v>
      </c>
      <c r="C365" s="1" t="s">
        <v>778</v>
      </c>
      <c r="D365" s="10">
        <v>2</v>
      </c>
      <c r="E365" s="10">
        <v>2002</v>
      </c>
      <c r="F365" s="9" t="s">
        <v>28</v>
      </c>
      <c r="G365" s="9" t="s">
        <v>29</v>
      </c>
      <c r="H365" s="1">
        <v>18.8</v>
      </c>
      <c r="I365" s="1">
        <v>10</v>
      </c>
      <c r="J365" s="9" t="s">
        <v>30</v>
      </c>
      <c r="K365" s="1">
        <v>0.87</v>
      </c>
      <c r="L365" s="10">
        <v>67</v>
      </c>
      <c r="M365" s="3">
        <v>0.1</v>
      </c>
      <c r="N365" s="11">
        <v>1.485E-2</v>
      </c>
      <c r="O365">
        <v>179</v>
      </c>
      <c r="P365" s="11">
        <v>0.10033534773107559</v>
      </c>
      <c r="Q365" s="11">
        <v>1.5625E-2</v>
      </c>
      <c r="R365">
        <v>0.100788516085159</v>
      </c>
      <c r="S365">
        <v>1.4845250630560511E-2</v>
      </c>
      <c r="T365" s="9" t="s">
        <v>40</v>
      </c>
      <c r="U365" s="9" t="s">
        <v>50</v>
      </c>
      <c r="V365" s="9" t="s">
        <v>305</v>
      </c>
      <c r="W365" s="9" t="s">
        <v>309</v>
      </c>
      <c r="X365" s="1">
        <v>15.3</v>
      </c>
      <c r="Y365" s="1" t="s">
        <v>31</v>
      </c>
      <c r="Z365" s="3" t="s">
        <v>31</v>
      </c>
      <c r="AA365" s="11" t="s">
        <v>31</v>
      </c>
      <c r="AB365" s="11" t="s">
        <v>31</v>
      </c>
      <c r="AC365" s="10">
        <v>0</v>
      </c>
      <c r="AD365" s="9" t="s">
        <v>34</v>
      </c>
      <c r="AE365" s="9" t="s">
        <v>35</v>
      </c>
    </row>
    <row r="366" spans="1:31" x14ac:dyDescent="0.25">
      <c r="A366" s="9" t="s">
        <v>518</v>
      </c>
      <c r="B366" s="1" t="s">
        <v>146</v>
      </c>
      <c r="C366" s="1" t="s">
        <v>779</v>
      </c>
      <c r="D366" s="10">
        <v>2</v>
      </c>
      <c r="E366" s="10">
        <v>2002</v>
      </c>
      <c r="F366" s="9" t="s">
        <v>38</v>
      </c>
      <c r="G366" s="9" t="s">
        <v>29</v>
      </c>
      <c r="H366" s="1">
        <v>18.899999999999999</v>
      </c>
      <c r="I366" s="1">
        <v>10</v>
      </c>
      <c r="J366" s="9" t="s">
        <v>30</v>
      </c>
      <c r="K366" s="1">
        <v>0.92</v>
      </c>
      <c r="L366" s="10">
        <v>83</v>
      </c>
      <c r="M366" s="3">
        <v>0.09</v>
      </c>
      <c r="N366" s="11">
        <v>1.1998361097560979E-2</v>
      </c>
      <c r="O366">
        <v>179</v>
      </c>
      <c r="P366" s="11">
        <v>9.024418785614681E-2</v>
      </c>
      <c r="Q366" s="11">
        <v>1.2500000000000001E-2</v>
      </c>
      <c r="R366">
        <v>9.0566648688541432E-2</v>
      </c>
      <c r="S366">
        <v>1.199588588181514E-2</v>
      </c>
      <c r="T366" s="9" t="s">
        <v>40</v>
      </c>
      <c r="U366" s="9" t="s">
        <v>50</v>
      </c>
      <c r="V366" s="9" t="s">
        <v>305</v>
      </c>
      <c r="W366" s="9" t="s">
        <v>309</v>
      </c>
      <c r="X366" s="1">
        <v>12.5</v>
      </c>
      <c r="Y366" s="1" t="s">
        <v>31</v>
      </c>
      <c r="Z366" s="3" t="s">
        <v>31</v>
      </c>
      <c r="AA366" s="11" t="s">
        <v>31</v>
      </c>
      <c r="AB366" s="11" t="s">
        <v>31</v>
      </c>
      <c r="AC366" s="10">
        <v>0</v>
      </c>
      <c r="AD366" s="9" t="s">
        <v>34</v>
      </c>
      <c r="AE366" s="9" t="s">
        <v>35</v>
      </c>
    </row>
    <row r="367" spans="1:31" x14ac:dyDescent="0.25">
      <c r="A367" s="9" t="s">
        <v>136</v>
      </c>
      <c r="B367" s="1" t="s">
        <v>170</v>
      </c>
      <c r="C367" s="1" t="s">
        <v>780</v>
      </c>
      <c r="D367" s="10">
        <v>2</v>
      </c>
      <c r="E367" s="10">
        <v>2003</v>
      </c>
      <c r="F367" s="9" t="s">
        <v>28</v>
      </c>
      <c r="G367" s="9" t="s">
        <v>54</v>
      </c>
      <c r="H367" s="1">
        <v>16.8</v>
      </c>
      <c r="I367" s="1">
        <v>1.4</v>
      </c>
      <c r="J367" s="9" t="s">
        <v>30</v>
      </c>
      <c r="K367" s="1">
        <v>0.67</v>
      </c>
      <c r="L367" s="10">
        <v>32</v>
      </c>
      <c r="M367" s="3">
        <v>-0.192</v>
      </c>
      <c r="N367" s="11">
        <v>2.992357917729032E-2</v>
      </c>
      <c r="O367" t="s">
        <v>63</v>
      </c>
      <c r="P367" s="11">
        <v>-0.19441289455209981</v>
      </c>
      <c r="Q367" s="11">
        <v>3.4482758620689662E-2</v>
      </c>
      <c r="R367">
        <v>-0.19532053628736759</v>
      </c>
      <c r="S367">
        <v>2.9843716362789541E-2</v>
      </c>
      <c r="T367" s="9" t="s">
        <v>40</v>
      </c>
      <c r="U367" s="9" t="s">
        <v>50</v>
      </c>
      <c r="V367" s="9" t="s">
        <v>305</v>
      </c>
      <c r="W367" s="9" t="s">
        <v>386</v>
      </c>
      <c r="X367" s="1" t="s">
        <v>31</v>
      </c>
      <c r="Y367" s="1" t="s">
        <v>31</v>
      </c>
      <c r="Z367" s="3" t="s">
        <v>31</v>
      </c>
      <c r="AA367" s="11" t="s">
        <v>31</v>
      </c>
      <c r="AB367" s="11" t="s">
        <v>31</v>
      </c>
      <c r="AC367" s="10">
        <v>0</v>
      </c>
      <c r="AD367" s="9" t="s">
        <v>34</v>
      </c>
      <c r="AE367" s="9" t="s">
        <v>63</v>
      </c>
    </row>
    <row r="368" spans="1:31" x14ac:dyDescent="0.25">
      <c r="A368" s="9" t="s">
        <v>136</v>
      </c>
      <c r="B368" s="1" t="s">
        <v>166</v>
      </c>
      <c r="C368" s="1" t="s">
        <v>781</v>
      </c>
      <c r="D368" s="10">
        <v>2</v>
      </c>
      <c r="E368" s="10">
        <v>2003</v>
      </c>
      <c r="F368" s="9" t="s">
        <v>38</v>
      </c>
      <c r="G368" s="9" t="s">
        <v>54</v>
      </c>
      <c r="H368" s="1">
        <v>16.399999999999999</v>
      </c>
      <c r="I368" s="1">
        <v>1.7</v>
      </c>
      <c r="J368" s="9" t="s">
        <v>30</v>
      </c>
      <c r="K368" s="1">
        <v>0.6</v>
      </c>
      <c r="L368" s="10">
        <v>22</v>
      </c>
      <c r="M368" s="3">
        <v>-0.17100000000000001</v>
      </c>
      <c r="N368" s="11">
        <v>4.4874906480047633E-2</v>
      </c>
      <c r="O368" t="s">
        <v>63</v>
      </c>
      <c r="P368" s="11">
        <v>-0.1726966042312113</v>
      </c>
      <c r="Q368" s="11">
        <v>5.2631578947368418E-2</v>
      </c>
      <c r="R368">
        <v>-0.1756541761853774</v>
      </c>
      <c r="S368">
        <v>4.47258673397887E-2</v>
      </c>
      <c r="T368" s="9" t="s">
        <v>40</v>
      </c>
      <c r="U368" s="9" t="s">
        <v>50</v>
      </c>
      <c r="V368" s="9" t="s">
        <v>305</v>
      </c>
      <c r="W368" s="9" t="s">
        <v>386</v>
      </c>
      <c r="X368" s="1" t="s">
        <v>31</v>
      </c>
      <c r="Y368" s="1" t="s">
        <v>31</v>
      </c>
      <c r="Z368" s="3" t="s">
        <v>31</v>
      </c>
      <c r="AA368" s="11" t="s">
        <v>31</v>
      </c>
      <c r="AB368" s="11" t="s">
        <v>31</v>
      </c>
      <c r="AC368" s="10">
        <v>0</v>
      </c>
      <c r="AD368" s="9" t="s">
        <v>34</v>
      </c>
      <c r="AE368" s="9" t="s">
        <v>63</v>
      </c>
    </row>
    <row r="369" spans="1:31" x14ac:dyDescent="0.25">
      <c r="A369" s="9" t="s">
        <v>522</v>
      </c>
      <c r="B369" s="1" t="s">
        <v>193</v>
      </c>
      <c r="C369" s="1" t="s">
        <v>782</v>
      </c>
      <c r="D369" s="10">
        <v>3</v>
      </c>
      <c r="E369" s="10">
        <v>2003</v>
      </c>
      <c r="F369" s="9" t="s">
        <v>38</v>
      </c>
      <c r="G369" s="9" t="s">
        <v>54</v>
      </c>
      <c r="H369" s="1">
        <v>14.6</v>
      </c>
      <c r="I369" s="1">
        <v>1.5</v>
      </c>
      <c r="J369" s="9" t="s">
        <v>39</v>
      </c>
      <c r="K369" s="1">
        <v>0</v>
      </c>
      <c r="L369" s="10">
        <v>24</v>
      </c>
      <c r="M369" s="3">
        <v>7.0000000000000007E-2</v>
      </c>
      <c r="N369" s="11">
        <v>4.3053217826086947E-2</v>
      </c>
      <c r="O369">
        <v>10</v>
      </c>
      <c r="P369" s="11">
        <v>7.0114670654325154E-2</v>
      </c>
      <c r="Q369" s="11">
        <v>4.7619047619047623E-2</v>
      </c>
      <c r="R369">
        <v>7.1761550889471115E-2</v>
      </c>
      <c r="S369">
        <v>4.3031612141124803E-2</v>
      </c>
      <c r="T369" s="9" t="s">
        <v>40</v>
      </c>
      <c r="U369" s="9" t="s">
        <v>50</v>
      </c>
      <c r="V369" s="9" t="s">
        <v>305</v>
      </c>
      <c r="W369" s="9" t="s">
        <v>876</v>
      </c>
      <c r="X369" s="1" t="s">
        <v>31</v>
      </c>
      <c r="Y369" s="1" t="s">
        <v>31</v>
      </c>
      <c r="Z369" s="3" t="s">
        <v>31</v>
      </c>
      <c r="AA369" s="11" t="s">
        <v>31</v>
      </c>
      <c r="AB369" s="11" t="s">
        <v>31</v>
      </c>
      <c r="AC369" s="10">
        <v>0</v>
      </c>
      <c r="AD369" s="9" t="s">
        <v>41</v>
      </c>
      <c r="AE369" s="9" t="s">
        <v>35</v>
      </c>
    </row>
    <row r="370" spans="1:31" x14ac:dyDescent="0.25">
      <c r="A370" s="9" t="s">
        <v>522</v>
      </c>
      <c r="B370" s="1" t="s">
        <v>198</v>
      </c>
      <c r="C370" s="1" t="s">
        <v>783</v>
      </c>
      <c r="D370" s="10">
        <v>3</v>
      </c>
      <c r="E370" s="10">
        <v>2003</v>
      </c>
      <c r="F370" s="9" t="s">
        <v>38</v>
      </c>
      <c r="G370" s="9" t="s">
        <v>54</v>
      </c>
      <c r="H370" s="1">
        <v>14.5</v>
      </c>
      <c r="I370" s="1">
        <v>1.6</v>
      </c>
      <c r="J370" s="9" t="s">
        <v>43</v>
      </c>
      <c r="K370" s="1">
        <v>1</v>
      </c>
      <c r="L370" s="10">
        <v>13</v>
      </c>
      <c r="M370" s="3">
        <v>0.48</v>
      </c>
      <c r="N370" s="11">
        <v>4.9357013333333338E-2</v>
      </c>
      <c r="O370">
        <v>10</v>
      </c>
      <c r="P370" s="11">
        <v>0.5229842775913438</v>
      </c>
      <c r="Q370" s="11">
        <v>0.1</v>
      </c>
      <c r="R370">
        <v>0.49971001229361811</v>
      </c>
      <c r="S370">
        <v>4.6911244955364452E-2</v>
      </c>
      <c r="T370" s="9" t="s">
        <v>40</v>
      </c>
      <c r="U370" s="9" t="s">
        <v>50</v>
      </c>
      <c r="V370" s="9" t="s">
        <v>305</v>
      </c>
      <c r="W370" s="9" t="s">
        <v>876</v>
      </c>
      <c r="X370" s="1" t="s">
        <v>31</v>
      </c>
      <c r="Y370" s="1" t="s">
        <v>31</v>
      </c>
      <c r="Z370" s="3" t="s">
        <v>31</v>
      </c>
      <c r="AA370" s="11" t="s">
        <v>31</v>
      </c>
      <c r="AB370" s="11" t="s">
        <v>31</v>
      </c>
      <c r="AC370" s="10">
        <v>0</v>
      </c>
      <c r="AD370" s="9" t="s">
        <v>41</v>
      </c>
      <c r="AE370" s="9" t="s">
        <v>35</v>
      </c>
    </row>
    <row r="371" spans="1:31" x14ac:dyDescent="0.25">
      <c r="A371" s="9" t="s">
        <v>148</v>
      </c>
      <c r="B371" s="1" t="s">
        <v>204</v>
      </c>
      <c r="C371" s="1" t="s">
        <v>784</v>
      </c>
      <c r="D371" s="10">
        <v>2</v>
      </c>
      <c r="E371" s="10">
        <v>2004</v>
      </c>
      <c r="F371" s="9" t="s">
        <v>38</v>
      </c>
      <c r="G371" s="9" t="s">
        <v>54</v>
      </c>
      <c r="H371" s="1">
        <v>15.9</v>
      </c>
      <c r="I371" s="1" t="s">
        <v>31</v>
      </c>
      <c r="J371" s="9" t="s">
        <v>39</v>
      </c>
      <c r="K371" s="1">
        <v>0</v>
      </c>
      <c r="L371" s="10">
        <v>38</v>
      </c>
      <c r="M371" s="3">
        <v>0.21199999999999999</v>
      </c>
      <c r="N371" s="11">
        <v>2.4652215219891891E-2</v>
      </c>
      <c r="O371" t="s">
        <v>63</v>
      </c>
      <c r="P371" s="11">
        <v>0.21526453838569029</v>
      </c>
      <c r="Q371" s="11">
        <v>2.8571428571428571E-2</v>
      </c>
      <c r="R371">
        <v>0.2149896517189003</v>
      </c>
      <c r="S371">
        <v>2.4586357799510239E-2</v>
      </c>
      <c r="T371" s="9" t="s">
        <v>40</v>
      </c>
      <c r="U371" s="9" t="s">
        <v>31</v>
      </c>
      <c r="V371" s="9" t="s">
        <v>305</v>
      </c>
      <c r="W371" s="9" t="s">
        <v>310</v>
      </c>
      <c r="X371" s="1" t="s">
        <v>31</v>
      </c>
      <c r="Y371" s="1" t="s">
        <v>31</v>
      </c>
      <c r="Z371" s="3" t="s">
        <v>31</v>
      </c>
      <c r="AA371" s="11" t="s">
        <v>31</v>
      </c>
      <c r="AB371" s="11" t="s">
        <v>31</v>
      </c>
      <c r="AC371" s="10">
        <v>0</v>
      </c>
      <c r="AD371" s="9" t="s">
        <v>34</v>
      </c>
      <c r="AE371" s="9" t="s">
        <v>63</v>
      </c>
    </row>
    <row r="372" spans="1:31" x14ac:dyDescent="0.25">
      <c r="A372" s="9" t="s">
        <v>148</v>
      </c>
      <c r="B372" s="1" t="s">
        <v>207</v>
      </c>
      <c r="C372" s="1" t="s">
        <v>785</v>
      </c>
      <c r="D372" s="10">
        <v>2</v>
      </c>
      <c r="E372" s="10">
        <v>2004</v>
      </c>
      <c r="F372" s="9" t="s">
        <v>38</v>
      </c>
      <c r="G372" s="9" t="s">
        <v>54</v>
      </c>
      <c r="H372" s="1">
        <v>15.9</v>
      </c>
      <c r="I372" s="1" t="s">
        <v>31</v>
      </c>
      <c r="J372" s="9" t="s">
        <v>43</v>
      </c>
      <c r="K372" s="1">
        <v>1</v>
      </c>
      <c r="L372" s="10">
        <v>38</v>
      </c>
      <c r="M372" s="3">
        <v>0.14799999999999999</v>
      </c>
      <c r="N372" s="11">
        <v>2.5855994195027029E-2</v>
      </c>
      <c r="O372" t="s">
        <v>63</v>
      </c>
      <c r="P372" s="11">
        <v>0.149095025025098</v>
      </c>
      <c r="Q372" s="11">
        <v>2.8571428571428571E-2</v>
      </c>
      <c r="R372">
        <v>0.1501409155532028</v>
      </c>
      <c r="S372">
        <v>2.582225854043407E-2</v>
      </c>
      <c r="T372" s="9" t="s">
        <v>40</v>
      </c>
      <c r="U372" s="9" t="s">
        <v>31</v>
      </c>
      <c r="V372" s="9" t="s">
        <v>305</v>
      </c>
      <c r="W372" s="9" t="s">
        <v>310</v>
      </c>
      <c r="X372" s="1" t="s">
        <v>31</v>
      </c>
      <c r="Y372" s="1" t="s">
        <v>31</v>
      </c>
      <c r="Z372" s="3" t="s">
        <v>31</v>
      </c>
      <c r="AA372" s="11" t="s">
        <v>31</v>
      </c>
      <c r="AB372" s="11" t="s">
        <v>31</v>
      </c>
      <c r="AC372" s="10">
        <v>0</v>
      </c>
      <c r="AD372" s="9" t="s">
        <v>34</v>
      </c>
      <c r="AE372" s="9" t="s">
        <v>63</v>
      </c>
    </row>
    <row r="373" spans="1:31" x14ac:dyDescent="0.25">
      <c r="A373" s="9" t="s">
        <v>142</v>
      </c>
      <c r="B373" s="1" t="s">
        <v>214</v>
      </c>
      <c r="C373" s="1" t="s">
        <v>786</v>
      </c>
      <c r="D373" s="10">
        <v>2</v>
      </c>
      <c r="E373" s="10">
        <v>2004</v>
      </c>
      <c r="F373" s="9" t="s">
        <v>38</v>
      </c>
      <c r="G373" s="9" t="s">
        <v>54</v>
      </c>
      <c r="H373" s="1">
        <v>18</v>
      </c>
      <c r="I373" s="1">
        <v>0.9</v>
      </c>
      <c r="J373" s="9" t="s">
        <v>39</v>
      </c>
      <c r="K373" s="1">
        <v>0</v>
      </c>
      <c r="L373" s="10">
        <v>49</v>
      </c>
      <c r="M373" s="3">
        <v>0.38300000000000001</v>
      </c>
      <c r="N373" s="11">
        <v>1.5169576306687501E-2</v>
      </c>
      <c r="O373">
        <v>471</v>
      </c>
      <c r="P373" s="11">
        <v>0.40357065387968521</v>
      </c>
      <c r="Q373" s="11">
        <v>2.1739130434782612E-2</v>
      </c>
      <c r="R373">
        <v>0.38662359137631142</v>
      </c>
      <c r="S373">
        <v>1.5070583547844791E-2</v>
      </c>
      <c r="T373" s="9" t="s">
        <v>40</v>
      </c>
      <c r="U373" s="9" t="s">
        <v>50</v>
      </c>
      <c r="V373" s="9" t="s">
        <v>305</v>
      </c>
      <c r="W373" s="9" t="s">
        <v>307</v>
      </c>
      <c r="X373" s="1">
        <v>16.7</v>
      </c>
      <c r="Y373" s="1">
        <v>15</v>
      </c>
      <c r="Z373" s="3">
        <f t="shared" si="12"/>
        <v>1.1133333333333333</v>
      </c>
      <c r="AA373" s="11">
        <v>0.34899360052566841</v>
      </c>
      <c r="AB373" s="11">
        <v>0.12636047086753549</v>
      </c>
      <c r="AC373" s="10">
        <v>0</v>
      </c>
      <c r="AD373" s="9" t="s">
        <v>41</v>
      </c>
      <c r="AE373" s="9" t="s">
        <v>35</v>
      </c>
    </row>
    <row r="374" spans="1:31" x14ac:dyDescent="0.25">
      <c r="A374" s="9" t="s">
        <v>142</v>
      </c>
      <c r="B374" s="1" t="s">
        <v>216</v>
      </c>
      <c r="C374" s="1" t="s">
        <v>787</v>
      </c>
      <c r="D374" s="10">
        <v>2</v>
      </c>
      <c r="E374" s="10">
        <v>2004</v>
      </c>
      <c r="F374" s="9" t="s">
        <v>38</v>
      </c>
      <c r="G374" s="9" t="s">
        <v>54</v>
      </c>
      <c r="H374" s="1">
        <v>18</v>
      </c>
      <c r="I374" s="1">
        <v>0.9</v>
      </c>
      <c r="J374" s="9" t="s">
        <v>43</v>
      </c>
      <c r="K374" s="1">
        <v>1</v>
      </c>
      <c r="L374" s="10">
        <v>47</v>
      </c>
      <c r="M374" s="3">
        <v>0.51500000000000001</v>
      </c>
      <c r="N374" s="11">
        <v>1.173683262228261E-2</v>
      </c>
      <c r="O374">
        <v>471</v>
      </c>
      <c r="P374" s="11">
        <v>0.56951091350299321</v>
      </c>
      <c r="Q374" s="11">
        <v>2.2727272727272731E-2</v>
      </c>
      <c r="R374">
        <v>0.51936260480842067</v>
      </c>
      <c r="S374">
        <v>1.159311514345838E-2</v>
      </c>
      <c r="T374" s="9" t="s">
        <v>40</v>
      </c>
      <c r="U374" s="9" t="s">
        <v>50</v>
      </c>
      <c r="V374" s="9" t="s">
        <v>305</v>
      </c>
      <c r="W374" s="9" t="s">
        <v>307</v>
      </c>
      <c r="X374" s="1">
        <v>16.3</v>
      </c>
      <c r="Y374" s="1">
        <v>15</v>
      </c>
      <c r="Z374" s="3">
        <f t="shared" si="12"/>
        <v>1.0866666666666667</v>
      </c>
      <c r="AA374" s="11">
        <v>0.48385505053427907</v>
      </c>
      <c r="AB374" s="11">
        <v>0.1251375846838835</v>
      </c>
      <c r="AC374" s="10">
        <v>0</v>
      </c>
      <c r="AD374" s="9" t="s">
        <v>41</v>
      </c>
      <c r="AE374" s="9" t="s">
        <v>35</v>
      </c>
    </row>
    <row r="375" spans="1:31" x14ac:dyDescent="0.25">
      <c r="A375" s="9" t="s">
        <v>157</v>
      </c>
      <c r="B375" s="1" t="s">
        <v>221</v>
      </c>
      <c r="C375" s="1" t="s">
        <v>788</v>
      </c>
      <c r="D375" s="10">
        <v>2</v>
      </c>
      <c r="E375" s="10">
        <v>2004</v>
      </c>
      <c r="F375" s="9" t="s">
        <v>28</v>
      </c>
      <c r="G375" s="9" t="s">
        <v>29</v>
      </c>
      <c r="H375" s="1">
        <v>30.3</v>
      </c>
      <c r="I375" s="1">
        <v>9.1</v>
      </c>
      <c r="J375" s="9" t="s">
        <v>30</v>
      </c>
      <c r="K375" s="1">
        <v>0.87</v>
      </c>
      <c r="L375" s="10">
        <v>15</v>
      </c>
      <c r="M375" s="3">
        <v>0.15</v>
      </c>
      <c r="N375" s="11">
        <v>6.8250446428571435E-2</v>
      </c>
      <c r="O375" t="s">
        <v>63</v>
      </c>
      <c r="P375" s="11">
        <v>0.15114043593646681</v>
      </c>
      <c r="Q375" s="11">
        <v>8.3333333333333329E-2</v>
      </c>
      <c r="R375">
        <v>0.15677096879841729</v>
      </c>
      <c r="S375">
        <v>6.7960697309308357E-2</v>
      </c>
      <c r="T375" s="9" t="s">
        <v>40</v>
      </c>
      <c r="U375" s="9" t="s">
        <v>50</v>
      </c>
      <c r="V375" s="9" t="s">
        <v>305</v>
      </c>
      <c r="W375" s="9" t="s">
        <v>387</v>
      </c>
      <c r="X375" s="1" t="s">
        <v>31</v>
      </c>
      <c r="Y375" s="1" t="s">
        <v>31</v>
      </c>
      <c r="Z375" s="3" t="s">
        <v>31</v>
      </c>
      <c r="AA375" s="11" t="s">
        <v>31</v>
      </c>
      <c r="AB375" s="11" t="s">
        <v>31</v>
      </c>
      <c r="AC375" s="10">
        <v>0</v>
      </c>
      <c r="AD375" s="9" t="s">
        <v>34</v>
      </c>
      <c r="AE375" s="9" t="s">
        <v>63</v>
      </c>
    </row>
    <row r="376" spans="1:31" x14ac:dyDescent="0.25">
      <c r="A376" s="9" t="s">
        <v>157</v>
      </c>
      <c r="B376" s="1" t="s">
        <v>218</v>
      </c>
      <c r="C376" s="1" t="s">
        <v>789</v>
      </c>
      <c r="D376" s="10">
        <v>2</v>
      </c>
      <c r="E376" s="10">
        <v>2004</v>
      </c>
      <c r="F376" s="9" t="s">
        <v>38</v>
      </c>
      <c r="G376" s="9" t="s">
        <v>29</v>
      </c>
      <c r="H376" s="1">
        <v>43.62</v>
      </c>
      <c r="I376" s="1">
        <v>4.3099999999999996</v>
      </c>
      <c r="J376" s="9" t="s">
        <v>30</v>
      </c>
      <c r="K376" s="1">
        <v>0.47</v>
      </c>
      <c r="L376" s="10">
        <v>17</v>
      </c>
      <c r="M376" s="3">
        <v>0.27</v>
      </c>
      <c r="N376" s="11">
        <v>5.3719650624999997E-2</v>
      </c>
      <c r="O376" t="s">
        <v>63</v>
      </c>
      <c r="P376" s="11">
        <v>0.27686382265510012</v>
      </c>
      <c r="Q376" s="11">
        <v>7.1428571428571425E-2</v>
      </c>
      <c r="R376">
        <v>0.2796628737069386</v>
      </c>
      <c r="S376">
        <v>5.3105897823401138E-2</v>
      </c>
      <c r="T376" s="9" t="s">
        <v>40</v>
      </c>
      <c r="U376" s="9" t="s">
        <v>50</v>
      </c>
      <c r="V376" s="9" t="s">
        <v>305</v>
      </c>
      <c r="W376" s="9" t="s">
        <v>387</v>
      </c>
      <c r="X376" s="1" t="s">
        <v>31</v>
      </c>
      <c r="Y376" s="1" t="s">
        <v>31</v>
      </c>
      <c r="Z376" s="3" t="s">
        <v>31</v>
      </c>
      <c r="AA376" s="11" t="s">
        <v>31</v>
      </c>
      <c r="AB376" s="11" t="s">
        <v>31</v>
      </c>
      <c r="AC376" s="10">
        <v>0</v>
      </c>
      <c r="AD376" s="9" t="s">
        <v>34</v>
      </c>
      <c r="AE376" s="9" t="s">
        <v>63</v>
      </c>
    </row>
    <row r="377" spans="1:31" x14ac:dyDescent="0.25">
      <c r="A377" s="9" t="s">
        <v>525</v>
      </c>
      <c r="B377" s="1" t="s">
        <v>232</v>
      </c>
      <c r="C377" s="1" t="s">
        <v>790</v>
      </c>
      <c r="D377" s="10">
        <v>2</v>
      </c>
      <c r="E377" s="10">
        <v>2004</v>
      </c>
      <c r="F377" s="9" t="s">
        <v>28</v>
      </c>
      <c r="G377" s="9" t="s">
        <v>54</v>
      </c>
      <c r="H377" s="1">
        <v>15.4</v>
      </c>
      <c r="I377" s="1">
        <v>2.2400000000000002</v>
      </c>
      <c r="J377" s="9" t="s">
        <v>43</v>
      </c>
      <c r="K377" s="1">
        <v>1</v>
      </c>
      <c r="L377" s="10">
        <v>16</v>
      </c>
      <c r="M377" s="3">
        <v>9.9000000000000005E-2</v>
      </c>
      <c r="N377" s="11">
        <v>6.536627064006667E-2</v>
      </c>
      <c r="O377" t="s">
        <v>63</v>
      </c>
      <c r="P377" s="11">
        <v>9.9325348397641677E-2</v>
      </c>
      <c r="Q377" s="11">
        <v>7.6923076923076927E-2</v>
      </c>
      <c r="R377">
        <v>0.10315676872038081</v>
      </c>
      <c r="S377">
        <v>6.5255373320197999E-2</v>
      </c>
      <c r="T377" s="9" t="s">
        <v>40</v>
      </c>
      <c r="U377" s="9" t="s">
        <v>50</v>
      </c>
      <c r="V377" s="9" t="s">
        <v>305</v>
      </c>
      <c r="W377" s="9" t="s">
        <v>388</v>
      </c>
      <c r="X377" s="1">
        <v>19</v>
      </c>
      <c r="Y377" s="1">
        <v>15</v>
      </c>
      <c r="Z377" s="3">
        <f t="shared" si="12"/>
        <v>1.2666666666666666</v>
      </c>
      <c r="AA377" s="11">
        <v>7.8302588451457142E-2</v>
      </c>
      <c r="AB377" s="11">
        <v>0.21112743925341981</v>
      </c>
      <c r="AC377" s="10">
        <v>0</v>
      </c>
      <c r="AD377" s="9" t="s">
        <v>34</v>
      </c>
      <c r="AE377" s="9" t="s">
        <v>63</v>
      </c>
    </row>
    <row r="378" spans="1:31" x14ac:dyDescent="0.25">
      <c r="A378" s="9" t="s">
        <v>525</v>
      </c>
      <c r="B378" s="1" t="s">
        <v>228</v>
      </c>
      <c r="C378" s="1" t="s">
        <v>791</v>
      </c>
      <c r="D378" s="10">
        <v>2</v>
      </c>
      <c r="E378" s="10">
        <v>2004</v>
      </c>
      <c r="F378" s="9" t="s">
        <v>38</v>
      </c>
      <c r="G378" s="9" t="s">
        <v>54</v>
      </c>
      <c r="H378" s="1">
        <v>15.5</v>
      </c>
      <c r="I378" s="1">
        <v>1.6</v>
      </c>
      <c r="J378" s="9" t="s">
        <v>43</v>
      </c>
      <c r="K378" s="1">
        <v>1</v>
      </c>
      <c r="L378" s="10">
        <v>16</v>
      </c>
      <c r="M378" s="3">
        <v>0.23400000000000001</v>
      </c>
      <c r="N378" s="11">
        <v>5.9565747969066662E-2</v>
      </c>
      <c r="O378" t="s">
        <v>63</v>
      </c>
      <c r="P378" s="11">
        <v>0.23841701736237089</v>
      </c>
      <c r="Q378" s="11">
        <v>7.6923076923076927E-2</v>
      </c>
      <c r="R378">
        <v>0.24328635875124369</v>
      </c>
      <c r="S378">
        <v>5.9008449633859671E-2</v>
      </c>
      <c r="T378" s="9" t="s">
        <v>40</v>
      </c>
      <c r="U378" s="9" t="s">
        <v>50</v>
      </c>
      <c r="V378" s="9" t="s">
        <v>305</v>
      </c>
      <c r="W378" s="9" t="s">
        <v>388</v>
      </c>
      <c r="X378" s="1">
        <v>13.9</v>
      </c>
      <c r="Y378" s="1">
        <v>15</v>
      </c>
      <c r="Z378" s="3">
        <f t="shared" si="12"/>
        <v>0.92666666666666664</v>
      </c>
      <c r="AA378" s="11">
        <v>0.25138810518941002</v>
      </c>
      <c r="AB378" s="11">
        <v>0.27665697919573939</v>
      </c>
      <c r="AC378" s="10">
        <v>0</v>
      </c>
      <c r="AD378" s="9" t="s">
        <v>34</v>
      </c>
      <c r="AE378" s="9" t="s">
        <v>63</v>
      </c>
    </row>
    <row r="379" spans="1:31" x14ac:dyDescent="0.25">
      <c r="A379" s="9" t="s">
        <v>176</v>
      </c>
      <c r="B379" s="1" t="s">
        <v>256</v>
      </c>
      <c r="C379" s="1" t="s">
        <v>792</v>
      </c>
      <c r="D379" s="10">
        <v>2</v>
      </c>
      <c r="E379" s="10">
        <v>2006</v>
      </c>
      <c r="F379" s="9" t="s">
        <v>28</v>
      </c>
      <c r="G379" s="9" t="s">
        <v>29</v>
      </c>
      <c r="H379" s="1">
        <v>20.79</v>
      </c>
      <c r="I379" s="1">
        <v>10.58</v>
      </c>
      <c r="J379" s="9" t="s">
        <v>43</v>
      </c>
      <c r="K379" s="1">
        <v>1</v>
      </c>
      <c r="L379" s="10">
        <v>24</v>
      </c>
      <c r="M379" s="3">
        <v>0.31</v>
      </c>
      <c r="N379" s="11">
        <v>3.5523270000000003E-2</v>
      </c>
      <c r="O379" t="s">
        <v>63</v>
      </c>
      <c r="P379" s="11">
        <v>0.32054540930194608</v>
      </c>
      <c r="Q379" s="11">
        <v>4.7619047619047623E-2</v>
      </c>
      <c r="R379">
        <v>0.31700707165663861</v>
      </c>
      <c r="S379">
        <v>3.5178781446146723E-2</v>
      </c>
      <c r="T379" s="9" t="s">
        <v>40</v>
      </c>
      <c r="U379" s="9" t="s">
        <v>31</v>
      </c>
      <c r="V379" s="9" t="s">
        <v>305</v>
      </c>
      <c r="W379" s="9" t="s">
        <v>389</v>
      </c>
      <c r="X379" s="1">
        <v>18.84</v>
      </c>
      <c r="Y379" s="1">
        <v>15</v>
      </c>
      <c r="Z379" s="3">
        <f t="shared" si="12"/>
        <v>1.256</v>
      </c>
      <c r="AA379" s="11">
        <v>0.2512750708110949</v>
      </c>
      <c r="AB379" s="11">
        <v>0.1702908299927238</v>
      </c>
      <c r="AC379" s="10">
        <v>0</v>
      </c>
      <c r="AD379" s="9" t="s">
        <v>41</v>
      </c>
      <c r="AE379" s="9" t="s">
        <v>63</v>
      </c>
    </row>
    <row r="380" spans="1:31" x14ac:dyDescent="0.25">
      <c r="A380" s="9" t="s">
        <v>176</v>
      </c>
      <c r="B380" s="1" t="s">
        <v>252</v>
      </c>
      <c r="C380" s="1" t="s">
        <v>793</v>
      </c>
      <c r="D380" s="10">
        <v>2</v>
      </c>
      <c r="E380" s="10">
        <v>2006</v>
      </c>
      <c r="F380" s="9" t="s">
        <v>38</v>
      </c>
      <c r="G380" s="9" t="s">
        <v>29</v>
      </c>
      <c r="H380" s="1">
        <v>21.41</v>
      </c>
      <c r="I380" s="1">
        <v>10.91</v>
      </c>
      <c r="J380" s="9" t="s">
        <v>43</v>
      </c>
      <c r="K380" s="1">
        <v>1</v>
      </c>
      <c r="L380" s="10">
        <v>23</v>
      </c>
      <c r="M380" s="3">
        <v>0.09</v>
      </c>
      <c r="N380" s="11">
        <v>4.4721164090909087E-2</v>
      </c>
      <c r="O380" t="s">
        <v>63</v>
      </c>
      <c r="P380" s="11">
        <v>9.024418785614681E-2</v>
      </c>
      <c r="Q380" s="11">
        <v>0.05</v>
      </c>
      <c r="R380">
        <v>9.2376754790629928E-2</v>
      </c>
      <c r="S380">
        <v>4.4682085925937913E-2</v>
      </c>
      <c r="T380" s="9" t="s">
        <v>40</v>
      </c>
      <c r="U380" s="9" t="s">
        <v>31</v>
      </c>
      <c r="V380" s="9" t="s">
        <v>305</v>
      </c>
      <c r="W380" s="9" t="s">
        <v>389</v>
      </c>
      <c r="X380" s="1">
        <v>9.57</v>
      </c>
      <c r="Y380" s="1">
        <v>15</v>
      </c>
      <c r="Z380" s="3">
        <f t="shared" si="12"/>
        <v>0.63800000000000001</v>
      </c>
      <c r="AA380" s="11">
        <v>0.1402408662795627</v>
      </c>
      <c r="AB380" s="11">
        <v>0.33470475651229442</v>
      </c>
      <c r="AC380" s="10">
        <v>0</v>
      </c>
      <c r="AD380" s="9" t="s">
        <v>41</v>
      </c>
      <c r="AE380" s="9" t="s">
        <v>63</v>
      </c>
    </row>
    <row r="381" spans="1:31" x14ac:dyDescent="0.25">
      <c r="A381" s="9" t="s">
        <v>857</v>
      </c>
      <c r="B381" s="1" t="s">
        <v>282</v>
      </c>
      <c r="C381" s="1" t="s">
        <v>794</v>
      </c>
      <c r="D381" s="10">
        <v>2</v>
      </c>
      <c r="E381" s="10">
        <v>2006</v>
      </c>
      <c r="F381" s="9" t="s">
        <v>28</v>
      </c>
      <c r="G381" s="9" t="s">
        <v>54</v>
      </c>
      <c r="H381" s="1">
        <v>10.16</v>
      </c>
      <c r="I381" s="1">
        <v>1.92</v>
      </c>
      <c r="J381" s="9" t="s">
        <v>43</v>
      </c>
      <c r="K381" s="1">
        <v>1</v>
      </c>
      <c r="L381" s="10">
        <v>38</v>
      </c>
      <c r="M381" s="3">
        <v>-1.7999999999999999E-2</v>
      </c>
      <c r="N381" s="11">
        <v>2.70095163507027E-2</v>
      </c>
      <c r="O381" t="s">
        <v>63</v>
      </c>
      <c r="P381" s="11">
        <v>-1.8001944378001091E-2</v>
      </c>
      <c r="Q381" s="11">
        <v>2.8571428571428571E-2</v>
      </c>
      <c r="R381">
        <v>-1.8266530663498471E-2</v>
      </c>
      <c r="S381">
        <v>2.7008994028327939E-2</v>
      </c>
      <c r="T381" s="9" t="s">
        <v>40</v>
      </c>
      <c r="U381" s="9" t="s">
        <v>46</v>
      </c>
      <c r="V381" s="9" t="s">
        <v>305</v>
      </c>
      <c r="W381" s="9" t="s">
        <v>308</v>
      </c>
      <c r="X381" s="1">
        <v>16.850000000000001</v>
      </c>
      <c r="Y381" s="1">
        <v>15</v>
      </c>
      <c r="Z381" s="3">
        <f t="shared" si="12"/>
        <v>1.1233333333333335</v>
      </c>
      <c r="AA381" s="11">
        <v>-1.602427761601128E-2</v>
      </c>
      <c r="AB381" s="11">
        <v>0.14835887814549351</v>
      </c>
      <c r="AC381" s="10">
        <v>0</v>
      </c>
      <c r="AD381" s="9" t="s">
        <v>41</v>
      </c>
      <c r="AE381" s="9" t="s">
        <v>63</v>
      </c>
    </row>
    <row r="382" spans="1:31" x14ac:dyDescent="0.25">
      <c r="A382" s="9" t="s">
        <v>529</v>
      </c>
      <c r="B382" s="1" t="s">
        <v>281</v>
      </c>
      <c r="C382" s="1" t="s">
        <v>795</v>
      </c>
      <c r="D382" s="10">
        <v>2</v>
      </c>
      <c r="E382" s="10">
        <v>2006</v>
      </c>
      <c r="F382" s="9" t="s">
        <v>38</v>
      </c>
      <c r="G382" s="9" t="s">
        <v>54</v>
      </c>
      <c r="H382" s="1">
        <v>10.77</v>
      </c>
      <c r="I382" s="1">
        <v>1.31</v>
      </c>
      <c r="J382" s="9" t="s">
        <v>43</v>
      </c>
      <c r="K382" s="1">
        <v>1</v>
      </c>
      <c r="L382" s="10">
        <v>13</v>
      </c>
      <c r="M382" s="3">
        <v>6.3E-2</v>
      </c>
      <c r="N382" s="11">
        <v>8.2673146080083332E-2</v>
      </c>
      <c r="O382" t="s">
        <v>63</v>
      </c>
      <c r="P382" s="11">
        <v>6.3083548051762806E-2</v>
      </c>
      <c r="Q382" s="11">
        <v>0.1</v>
      </c>
      <c r="R382">
        <v>6.6572698942447314E-2</v>
      </c>
      <c r="S382">
        <v>8.2596316121962124E-2</v>
      </c>
      <c r="T382" s="9" t="s">
        <v>40</v>
      </c>
      <c r="U382" s="9" t="s">
        <v>46</v>
      </c>
      <c r="V382" s="9" t="s">
        <v>305</v>
      </c>
      <c r="W382" s="9" t="s">
        <v>308</v>
      </c>
      <c r="X382" s="1">
        <v>14.43</v>
      </c>
      <c r="Y382" s="1">
        <v>15</v>
      </c>
      <c r="Z382" s="3">
        <f t="shared" si="12"/>
        <v>0.96199999999999997</v>
      </c>
      <c r="AA382" s="11">
        <v>6.547809794200031E-2</v>
      </c>
      <c r="AB382" s="11">
        <v>0.31264878583992128</v>
      </c>
      <c r="AC382" s="10">
        <v>0</v>
      </c>
      <c r="AD382" s="9" t="s">
        <v>41</v>
      </c>
      <c r="AE382" s="9" t="s">
        <v>63</v>
      </c>
    </row>
    <row r="383" spans="1:31" x14ac:dyDescent="0.25">
      <c r="A383" s="9" t="s">
        <v>529</v>
      </c>
      <c r="B383" s="1" t="s">
        <v>283</v>
      </c>
      <c r="C383" s="1" t="s">
        <v>796</v>
      </c>
      <c r="D383" s="10">
        <v>2</v>
      </c>
      <c r="E383" s="10">
        <v>2006</v>
      </c>
      <c r="F383" s="9" t="s">
        <v>28</v>
      </c>
      <c r="G383" s="9" t="s">
        <v>54</v>
      </c>
      <c r="H383" s="1">
        <v>10.08</v>
      </c>
      <c r="I383" s="1">
        <v>1.48</v>
      </c>
      <c r="J383" s="9" t="s">
        <v>43</v>
      </c>
      <c r="K383" s="1">
        <v>1</v>
      </c>
      <c r="L383" s="10">
        <v>12</v>
      </c>
      <c r="M383" s="3">
        <v>-0.47799999999999998</v>
      </c>
      <c r="N383" s="11">
        <v>5.4112448932363638E-2</v>
      </c>
      <c r="O383" t="s">
        <v>63</v>
      </c>
      <c r="P383" s="11">
        <v>-0.52038875681275409</v>
      </c>
      <c r="Q383" s="11">
        <v>0.1111111111111111</v>
      </c>
      <c r="R383">
        <v>-0.50000686134405758</v>
      </c>
      <c r="S383">
        <v>5.1135427996397739E-2</v>
      </c>
      <c r="T383" s="9" t="s">
        <v>40</v>
      </c>
      <c r="U383" s="9" t="s">
        <v>46</v>
      </c>
      <c r="V383" s="9" t="s">
        <v>305</v>
      </c>
      <c r="W383" s="9" t="s">
        <v>308</v>
      </c>
      <c r="X383" s="1">
        <v>9.5399999999999991</v>
      </c>
      <c r="Y383" s="1">
        <v>15</v>
      </c>
      <c r="Z383" s="3">
        <f t="shared" si="12"/>
        <v>0.6359999999999999</v>
      </c>
      <c r="AA383" s="11">
        <v>-0.6501391075394567</v>
      </c>
      <c r="AB383" s="11">
        <v>0.28269744426653409</v>
      </c>
      <c r="AC383" s="10">
        <v>0</v>
      </c>
      <c r="AD383" s="9" t="s">
        <v>41</v>
      </c>
      <c r="AE383" s="9" t="s">
        <v>63</v>
      </c>
    </row>
    <row r="384" spans="1:31" x14ac:dyDescent="0.25">
      <c r="A384" s="9" t="s">
        <v>852</v>
      </c>
      <c r="B384" s="1" t="s">
        <v>1058</v>
      </c>
      <c r="C384" s="1" t="s">
        <v>797</v>
      </c>
      <c r="D384" s="10">
        <v>2</v>
      </c>
      <c r="E384" s="10">
        <v>2007</v>
      </c>
      <c r="F384" s="9" t="s">
        <v>28</v>
      </c>
      <c r="G384" s="9" t="s">
        <v>29</v>
      </c>
      <c r="H384" s="1">
        <v>29.2</v>
      </c>
      <c r="I384" s="1">
        <v>9.1999999999999993</v>
      </c>
      <c r="J384" s="9" t="s">
        <v>30</v>
      </c>
      <c r="K384" s="1">
        <v>0.45</v>
      </c>
      <c r="L384" s="10">
        <v>39</v>
      </c>
      <c r="M384" s="3">
        <v>9.6243579778564403E-2</v>
      </c>
      <c r="N384" s="11">
        <v>2.5830530175271999E-2</v>
      </c>
      <c r="O384" s="4">
        <v>1100</v>
      </c>
      <c r="P384" s="11">
        <v>9.6542404855828726E-2</v>
      </c>
      <c r="Q384" s="11">
        <v>2.777777777777778E-2</v>
      </c>
      <c r="R384">
        <v>9.7614473690075976E-2</v>
      </c>
      <c r="S384">
        <v>2.581667428930395E-2</v>
      </c>
      <c r="T384" s="9" t="s">
        <v>40</v>
      </c>
      <c r="U384" s="9" t="s">
        <v>31</v>
      </c>
      <c r="V384" s="9" t="s">
        <v>305</v>
      </c>
      <c r="W384" s="9" t="s">
        <v>306</v>
      </c>
      <c r="X384" s="1">
        <v>8.6</v>
      </c>
      <c r="Y384" s="1">
        <v>15</v>
      </c>
      <c r="Z384" s="3">
        <f t="shared" si="12"/>
        <v>0.57333333333333336</v>
      </c>
      <c r="AA384" s="11">
        <v>0.16630116768803621</v>
      </c>
      <c r="AB384" s="11">
        <v>0.27750022708037969</v>
      </c>
      <c r="AC384" s="10">
        <v>0</v>
      </c>
      <c r="AD384" s="9" t="s">
        <v>34</v>
      </c>
      <c r="AE384" s="9" t="s">
        <v>35</v>
      </c>
    </row>
    <row r="385" spans="1:31" x14ac:dyDescent="0.25">
      <c r="A385" s="9" t="s">
        <v>852</v>
      </c>
      <c r="B385" s="1" t="s">
        <v>1051</v>
      </c>
      <c r="C385" s="1" t="s">
        <v>798</v>
      </c>
      <c r="D385" s="10">
        <v>2</v>
      </c>
      <c r="E385" s="10">
        <v>2007</v>
      </c>
      <c r="F385" s="9" t="s">
        <v>38</v>
      </c>
      <c r="G385" s="9" t="s">
        <v>29</v>
      </c>
      <c r="H385" s="1" t="s">
        <v>31</v>
      </c>
      <c r="I385" s="1" t="s">
        <v>31</v>
      </c>
      <c r="J385" s="9" t="s">
        <v>31</v>
      </c>
      <c r="K385" s="1" t="s">
        <v>31</v>
      </c>
      <c r="L385" s="10">
        <v>16</v>
      </c>
      <c r="M385" s="3">
        <v>0.41494877839518601</v>
      </c>
      <c r="N385" s="11">
        <v>4.5685455468582561E-2</v>
      </c>
      <c r="O385">
        <v>1100</v>
      </c>
      <c r="P385" s="11">
        <v>0.44157460435522761</v>
      </c>
      <c r="Q385" s="11">
        <v>7.6923076923076927E-2</v>
      </c>
      <c r="R385">
        <v>0.42902139351673818</v>
      </c>
      <c r="S385">
        <v>4.4383942291735617E-2</v>
      </c>
      <c r="T385" s="9" t="s">
        <v>40</v>
      </c>
      <c r="U385" s="9" t="s">
        <v>31</v>
      </c>
      <c r="V385" s="9" t="s">
        <v>305</v>
      </c>
      <c r="W385" s="9" t="s">
        <v>306</v>
      </c>
      <c r="X385" s="1">
        <v>12.7</v>
      </c>
      <c r="Y385" s="1">
        <v>15</v>
      </c>
      <c r="Z385" s="3">
        <f t="shared" si="12"/>
        <v>0.84666666666666657</v>
      </c>
      <c r="AA385" s="11">
        <v>0.47423526712856001</v>
      </c>
      <c r="AB385" s="11">
        <v>0.26021137797353228</v>
      </c>
      <c r="AC385" s="10">
        <v>0</v>
      </c>
      <c r="AD385" s="9" t="s">
        <v>34</v>
      </c>
      <c r="AE385" s="9" t="s">
        <v>35</v>
      </c>
    </row>
    <row r="386" spans="1:31" x14ac:dyDescent="0.25">
      <c r="A386" s="9" t="s">
        <v>531</v>
      </c>
      <c r="B386" s="1" t="s">
        <v>294</v>
      </c>
      <c r="C386" s="1" t="s">
        <v>799</v>
      </c>
      <c r="D386" s="10">
        <v>2</v>
      </c>
      <c r="E386" s="10">
        <v>2007</v>
      </c>
      <c r="F386" s="9" t="s">
        <v>28</v>
      </c>
      <c r="G386" s="9" t="s">
        <v>54</v>
      </c>
      <c r="H386" s="1">
        <v>10.75</v>
      </c>
      <c r="I386" s="1">
        <v>2.33</v>
      </c>
      <c r="J386" s="9" t="s">
        <v>31</v>
      </c>
      <c r="K386" s="1" t="s">
        <v>31</v>
      </c>
      <c r="L386" s="10">
        <v>21</v>
      </c>
      <c r="M386" s="3">
        <v>0.38</v>
      </c>
      <c r="N386" s="11">
        <v>3.6602568000000002E-2</v>
      </c>
      <c r="O386" t="s">
        <v>63</v>
      </c>
      <c r="P386" s="11">
        <v>0.40005965005605648</v>
      </c>
      <c r="Q386" s="11">
        <v>5.5555555555555552E-2</v>
      </c>
      <c r="R386">
        <v>0.3894969339782669</v>
      </c>
      <c r="S386">
        <v>3.5979977605388583E-2</v>
      </c>
      <c r="T386" s="9" t="s">
        <v>40</v>
      </c>
      <c r="U386" s="9" t="s">
        <v>31</v>
      </c>
      <c r="V386" s="9" t="s">
        <v>305</v>
      </c>
      <c r="W386" s="9" t="s">
        <v>977</v>
      </c>
      <c r="X386" s="1">
        <v>13</v>
      </c>
      <c r="Y386" s="1">
        <v>15</v>
      </c>
      <c r="Z386" s="3">
        <f t="shared" si="12"/>
        <v>0.8666666666666667</v>
      </c>
      <c r="AA386" s="11">
        <v>0.42833370625232509</v>
      </c>
      <c r="AB386" s="11">
        <v>0.22827520280722741</v>
      </c>
      <c r="AC386" s="10">
        <v>0</v>
      </c>
      <c r="AD386" s="9" t="s">
        <v>34</v>
      </c>
      <c r="AE386" s="9" t="s">
        <v>63</v>
      </c>
    </row>
    <row r="387" spans="1:31" x14ac:dyDescent="0.25">
      <c r="A387" s="9" t="s">
        <v>531</v>
      </c>
      <c r="B387" s="1" t="s">
        <v>290</v>
      </c>
      <c r="C387" s="1" t="s">
        <v>800</v>
      </c>
      <c r="D387" s="10">
        <v>2</v>
      </c>
      <c r="E387" s="10">
        <v>2007</v>
      </c>
      <c r="F387" s="9" t="s">
        <v>38</v>
      </c>
      <c r="G387" s="9" t="s">
        <v>54</v>
      </c>
      <c r="H387" s="1">
        <v>10.5</v>
      </c>
      <c r="I387" s="1">
        <v>1.92</v>
      </c>
      <c r="J387" s="9" t="s">
        <v>31</v>
      </c>
      <c r="K387" s="1" t="s">
        <v>31</v>
      </c>
      <c r="L387" s="10">
        <v>20</v>
      </c>
      <c r="M387" s="3">
        <v>-0.22</v>
      </c>
      <c r="N387" s="11">
        <v>4.7660134736842108E-2</v>
      </c>
      <c r="O387" t="s">
        <v>63</v>
      </c>
      <c r="P387" s="11">
        <v>-0.22365610902183239</v>
      </c>
      <c r="Q387" s="11">
        <v>5.8823529411764712E-2</v>
      </c>
      <c r="R387">
        <v>-0.2265900950363213</v>
      </c>
      <c r="S387">
        <v>4.7365787822099083E-2</v>
      </c>
      <c r="T387" s="9" t="s">
        <v>40</v>
      </c>
      <c r="U387" s="9" t="s">
        <v>31</v>
      </c>
      <c r="V387" s="9" t="s">
        <v>305</v>
      </c>
      <c r="W387" s="9" t="s">
        <v>977</v>
      </c>
      <c r="X387" s="1">
        <v>11</v>
      </c>
      <c r="Y387" s="1">
        <v>15</v>
      </c>
      <c r="Z387" s="3">
        <f t="shared" si="12"/>
        <v>0.73333333333333328</v>
      </c>
      <c r="AA387" s="11">
        <v>-0.2939481756261077</v>
      </c>
      <c r="AB387" s="11">
        <v>0.2949429917479649</v>
      </c>
      <c r="AC387" s="10">
        <v>0</v>
      </c>
      <c r="AD387" s="9" t="s">
        <v>34</v>
      </c>
      <c r="AE387" s="9" t="s">
        <v>63</v>
      </c>
    </row>
    <row r="388" spans="1:31" x14ac:dyDescent="0.25">
      <c r="A388" s="9" t="s">
        <v>534</v>
      </c>
      <c r="B388" s="1" t="s">
        <v>475</v>
      </c>
      <c r="C388" s="1" t="s">
        <v>801</v>
      </c>
      <c r="D388" s="10">
        <v>2</v>
      </c>
      <c r="E388" s="10">
        <v>2007</v>
      </c>
      <c r="F388" s="9" t="s">
        <v>28</v>
      </c>
      <c r="G388" s="9" t="s">
        <v>29</v>
      </c>
      <c r="H388" s="1">
        <v>40.6</v>
      </c>
      <c r="I388" s="1">
        <v>10.4</v>
      </c>
      <c r="J388" s="9" t="s">
        <v>30</v>
      </c>
      <c r="K388" s="1">
        <v>0.9</v>
      </c>
      <c r="L388" s="10">
        <v>44</v>
      </c>
      <c r="M388" s="3">
        <v>0.33800000000000002</v>
      </c>
      <c r="N388" s="11">
        <v>1.8245667245023259E-2</v>
      </c>
      <c r="O388" t="s">
        <v>63</v>
      </c>
      <c r="P388" s="11">
        <v>0.35183284237558282</v>
      </c>
      <c r="Q388" s="11">
        <v>2.4390243902439029E-2</v>
      </c>
      <c r="R388">
        <v>0.34174021904538682</v>
      </c>
      <c r="S388">
        <v>1.8141076820920018E-2</v>
      </c>
      <c r="T388" s="9" t="s">
        <v>40</v>
      </c>
      <c r="U388" s="9" t="s">
        <v>46</v>
      </c>
      <c r="V388" s="9" t="s">
        <v>305</v>
      </c>
      <c r="W388" s="9" t="s">
        <v>311</v>
      </c>
      <c r="X388" s="1">
        <v>11.5</v>
      </c>
      <c r="Y388" s="1">
        <v>15</v>
      </c>
      <c r="Z388" s="3">
        <f t="shared" si="12"/>
        <v>0.76666666666666672</v>
      </c>
      <c r="AA388" s="11">
        <v>0.42420298318713062</v>
      </c>
      <c r="AB388" s="11">
        <v>0.1687394476035799</v>
      </c>
      <c r="AC388" s="10">
        <v>0</v>
      </c>
      <c r="AD388" s="9" t="s">
        <v>34</v>
      </c>
      <c r="AE388" s="9" t="s">
        <v>63</v>
      </c>
    </row>
    <row r="389" spans="1:31" x14ac:dyDescent="0.25">
      <c r="A389" s="9" t="s">
        <v>534</v>
      </c>
      <c r="B389" s="1" t="s">
        <v>473</v>
      </c>
      <c r="C389" s="1" t="s">
        <v>802</v>
      </c>
      <c r="D389" s="10">
        <v>2</v>
      </c>
      <c r="E389" s="10">
        <v>2007</v>
      </c>
      <c r="F389" s="9" t="s">
        <v>38</v>
      </c>
      <c r="G389" s="9" t="s">
        <v>29</v>
      </c>
      <c r="H389" s="1">
        <v>40.799999999999997</v>
      </c>
      <c r="I389" s="1">
        <v>9.4</v>
      </c>
      <c r="J389" s="9" t="s">
        <v>30</v>
      </c>
      <c r="K389" s="1">
        <v>0.9</v>
      </c>
      <c r="L389" s="10">
        <v>43</v>
      </c>
      <c r="M389" s="3">
        <v>0.28499999999999998</v>
      </c>
      <c r="N389" s="11">
        <v>2.0098750014880949E-2</v>
      </c>
      <c r="O389" t="s">
        <v>63</v>
      </c>
      <c r="P389" s="11">
        <v>0.29311572731765623</v>
      </c>
      <c r="Q389" s="11">
        <v>2.5000000000000001E-2</v>
      </c>
      <c r="R389">
        <v>0.2883617392855054</v>
      </c>
      <c r="S389">
        <v>2.001450837314284E-2</v>
      </c>
      <c r="T389" s="9" t="s">
        <v>40</v>
      </c>
      <c r="U389" s="9" t="s">
        <v>46</v>
      </c>
      <c r="V389" s="9" t="s">
        <v>305</v>
      </c>
      <c r="W389" s="9" t="s">
        <v>311</v>
      </c>
      <c r="X389" s="1">
        <v>17.399999999999999</v>
      </c>
      <c r="Y389" s="1">
        <v>15</v>
      </c>
      <c r="Z389" s="3">
        <f t="shared" si="12"/>
        <v>1.1599999999999999</v>
      </c>
      <c r="AA389" s="11">
        <v>0.24829320116377859</v>
      </c>
      <c r="AB389" s="11">
        <v>0.13319518887404899</v>
      </c>
      <c r="AC389" s="10">
        <v>0</v>
      </c>
      <c r="AD389" s="9" t="s">
        <v>34</v>
      </c>
      <c r="AE389" s="9" t="s">
        <v>63</v>
      </c>
    </row>
    <row r="390" spans="1:31" x14ac:dyDescent="0.25">
      <c r="A390" s="9" t="s">
        <v>536</v>
      </c>
      <c r="B390" s="1" t="s">
        <v>207</v>
      </c>
      <c r="C390" s="1" t="s">
        <v>803</v>
      </c>
      <c r="D390" s="10">
        <v>2</v>
      </c>
      <c r="E390" s="10">
        <v>2007</v>
      </c>
      <c r="F390" s="9" t="s">
        <v>28</v>
      </c>
      <c r="G390" s="9" t="s">
        <v>29</v>
      </c>
      <c r="H390" s="1">
        <v>40.9</v>
      </c>
      <c r="I390" s="1" t="s">
        <v>31</v>
      </c>
      <c r="J390" s="9" t="s">
        <v>39</v>
      </c>
      <c r="K390" s="1">
        <v>0</v>
      </c>
      <c r="L390" s="10">
        <v>68</v>
      </c>
      <c r="M390" s="3">
        <v>0.29099999999999998</v>
      </c>
      <c r="N390" s="11">
        <v>1.2504610026283581E-2</v>
      </c>
      <c r="O390" t="s">
        <v>63</v>
      </c>
      <c r="P390" s="11">
        <v>0.2996584321572574</v>
      </c>
      <c r="Q390" s="11">
        <v>1.5384615384615391E-2</v>
      </c>
      <c r="R390">
        <v>0.29308259450516111</v>
      </c>
      <c r="S390">
        <v>1.247139627104853E-2</v>
      </c>
      <c r="T390" s="9" t="s">
        <v>40</v>
      </c>
      <c r="U390" s="9" t="s">
        <v>46</v>
      </c>
      <c r="V390" s="9" t="s">
        <v>305</v>
      </c>
      <c r="W390" s="9" t="s">
        <v>385</v>
      </c>
      <c r="X390" s="1" t="s">
        <v>31</v>
      </c>
      <c r="Y390" s="1" t="s">
        <v>31</v>
      </c>
      <c r="Z390" s="3" t="s">
        <v>31</v>
      </c>
      <c r="AA390" s="11" t="s">
        <v>31</v>
      </c>
      <c r="AB390" s="11" t="s">
        <v>31</v>
      </c>
      <c r="AC390" s="10">
        <v>0</v>
      </c>
      <c r="AD390" s="9" t="s">
        <v>34</v>
      </c>
      <c r="AE390" s="9" t="s">
        <v>63</v>
      </c>
    </row>
    <row r="391" spans="1:31" x14ac:dyDescent="0.25">
      <c r="A391" s="9" t="s">
        <v>536</v>
      </c>
      <c r="B391" s="1" t="s">
        <v>478</v>
      </c>
      <c r="C391" s="1" t="s">
        <v>804</v>
      </c>
      <c r="D391" s="10">
        <v>2</v>
      </c>
      <c r="E391" s="10">
        <v>2007</v>
      </c>
      <c r="F391" s="9" t="s">
        <v>38</v>
      </c>
      <c r="G391" s="9" t="s">
        <v>29</v>
      </c>
      <c r="H391" s="1">
        <v>34.32</v>
      </c>
      <c r="I391" s="1" t="s">
        <v>31</v>
      </c>
      <c r="J391" s="9" t="s">
        <v>39</v>
      </c>
      <c r="K391" s="1">
        <v>0</v>
      </c>
      <c r="L391" s="10">
        <v>22</v>
      </c>
      <c r="M391" s="3">
        <v>0.30399999999999999</v>
      </c>
      <c r="N391" s="11">
        <v>3.9224224621714279E-2</v>
      </c>
      <c r="O391" t="s">
        <v>63</v>
      </c>
      <c r="P391" s="11">
        <v>0.31392104107608942</v>
      </c>
      <c r="Q391" s="11">
        <v>5.2631578947368418E-2</v>
      </c>
      <c r="R391">
        <v>0.31166870267362379</v>
      </c>
      <c r="S391">
        <v>3.8817186199271499E-2</v>
      </c>
      <c r="T391" s="9" t="s">
        <v>40</v>
      </c>
      <c r="U391" s="9" t="s">
        <v>46</v>
      </c>
      <c r="V391" s="9" t="s">
        <v>305</v>
      </c>
      <c r="W391" s="9" t="s">
        <v>385</v>
      </c>
      <c r="X391" s="1" t="s">
        <v>31</v>
      </c>
      <c r="Y391" s="1" t="s">
        <v>31</v>
      </c>
      <c r="Z391" s="3" t="s">
        <v>31</v>
      </c>
      <c r="AA391" s="11" t="s">
        <v>31</v>
      </c>
      <c r="AB391" s="11" t="s">
        <v>31</v>
      </c>
      <c r="AC391" s="10">
        <v>0</v>
      </c>
      <c r="AD391" s="9" t="s">
        <v>34</v>
      </c>
      <c r="AE391" s="9" t="s">
        <v>63</v>
      </c>
    </row>
    <row r="392" spans="1:31" x14ac:dyDescent="0.25">
      <c r="A392" s="9" t="s">
        <v>536</v>
      </c>
      <c r="B392" s="1" t="s">
        <v>479</v>
      </c>
      <c r="C392" s="1" t="s">
        <v>805</v>
      </c>
      <c r="D392" s="10">
        <v>2</v>
      </c>
      <c r="E392" s="10">
        <v>2007</v>
      </c>
      <c r="F392" s="9" t="s">
        <v>28</v>
      </c>
      <c r="G392" s="9" t="s">
        <v>29</v>
      </c>
      <c r="H392" s="1">
        <v>39.65</v>
      </c>
      <c r="I392" s="1" t="s">
        <v>31</v>
      </c>
      <c r="J392" s="9" t="s">
        <v>43</v>
      </c>
      <c r="K392" s="1">
        <v>1</v>
      </c>
      <c r="L392" s="10">
        <v>203</v>
      </c>
      <c r="M392" s="3">
        <v>0.16700000000000001</v>
      </c>
      <c r="N392" s="11">
        <v>4.678216813470297E-3</v>
      </c>
      <c r="O392" t="s">
        <v>63</v>
      </c>
      <c r="P392" s="11">
        <v>0.16857899505985671</v>
      </c>
      <c r="Q392" s="11">
        <v>5.0000000000000001E-3</v>
      </c>
      <c r="R392">
        <v>0.1674082768955204</v>
      </c>
      <c r="S392">
        <v>4.6769028121350573E-3</v>
      </c>
      <c r="T392" s="9" t="s">
        <v>40</v>
      </c>
      <c r="U392" s="9" t="s">
        <v>46</v>
      </c>
      <c r="V392" s="9" t="s">
        <v>305</v>
      </c>
      <c r="W392" s="9" t="s">
        <v>385</v>
      </c>
      <c r="X392" s="1" t="s">
        <v>31</v>
      </c>
      <c r="Y392" s="1" t="s">
        <v>31</v>
      </c>
      <c r="Z392" s="3" t="s">
        <v>31</v>
      </c>
      <c r="AA392" s="11" t="s">
        <v>31</v>
      </c>
      <c r="AB392" s="11" t="s">
        <v>31</v>
      </c>
      <c r="AC392" s="10">
        <v>0</v>
      </c>
      <c r="AD392" s="9" t="s">
        <v>34</v>
      </c>
      <c r="AE392" s="9" t="s">
        <v>63</v>
      </c>
    </row>
    <row r="393" spans="1:31" x14ac:dyDescent="0.25">
      <c r="A393" s="9" t="s">
        <v>536</v>
      </c>
      <c r="B393" s="1" t="s">
        <v>404</v>
      </c>
      <c r="C393" s="1" t="s">
        <v>806</v>
      </c>
      <c r="D393" s="10">
        <v>2</v>
      </c>
      <c r="E393" s="10">
        <v>2007</v>
      </c>
      <c r="F393" s="9" t="s">
        <v>38</v>
      </c>
      <c r="G393" s="9" t="s">
        <v>29</v>
      </c>
      <c r="H393" s="1">
        <v>37.770000000000003</v>
      </c>
      <c r="I393" s="1" t="s">
        <v>31</v>
      </c>
      <c r="J393" s="9" t="s">
        <v>43</v>
      </c>
      <c r="K393" s="1">
        <v>1</v>
      </c>
      <c r="L393" s="10">
        <v>35</v>
      </c>
      <c r="M393" s="3">
        <v>0.17199999999999999</v>
      </c>
      <c r="N393" s="11">
        <v>2.7697270972235299E-2</v>
      </c>
      <c r="O393" t="s">
        <v>63</v>
      </c>
      <c r="P393" s="11">
        <v>0.1737269078758491</v>
      </c>
      <c r="Q393" s="11">
        <v>3.125E-2</v>
      </c>
      <c r="R393">
        <v>0.17470725911557911</v>
      </c>
      <c r="S393">
        <v>2.7643716998418989E-2</v>
      </c>
      <c r="T393" s="9" t="s">
        <v>40</v>
      </c>
      <c r="U393" s="9" t="s">
        <v>46</v>
      </c>
      <c r="V393" s="9" t="s">
        <v>305</v>
      </c>
      <c r="W393" s="9" t="s">
        <v>385</v>
      </c>
      <c r="X393" s="1" t="s">
        <v>31</v>
      </c>
      <c r="Y393" s="1" t="s">
        <v>31</v>
      </c>
      <c r="Z393" s="3" t="s">
        <v>31</v>
      </c>
      <c r="AA393" s="11" t="s">
        <v>31</v>
      </c>
      <c r="AB393" s="11" t="s">
        <v>31</v>
      </c>
      <c r="AC393" s="10">
        <v>0</v>
      </c>
      <c r="AD393" s="9" t="s">
        <v>34</v>
      </c>
      <c r="AE393" s="9" t="s">
        <v>63</v>
      </c>
    </row>
    <row r="394" spans="1:31" x14ac:dyDescent="0.25">
      <c r="A394" s="9" t="s">
        <v>537</v>
      </c>
      <c r="B394" s="1" t="s">
        <v>480</v>
      </c>
      <c r="C394" s="1" t="s">
        <v>807</v>
      </c>
      <c r="D394" s="10">
        <v>2</v>
      </c>
      <c r="E394" s="10">
        <v>2007</v>
      </c>
      <c r="F394" s="9" t="s">
        <v>38</v>
      </c>
      <c r="G394" s="9" t="s">
        <v>54</v>
      </c>
      <c r="H394" s="1">
        <v>13.1</v>
      </c>
      <c r="I394" s="1">
        <v>3.1</v>
      </c>
      <c r="J394" s="9" t="s">
        <v>43</v>
      </c>
      <c r="K394" s="1">
        <v>1</v>
      </c>
      <c r="L394" s="10">
        <v>22</v>
      </c>
      <c r="M394" s="3">
        <v>0.25</v>
      </c>
      <c r="N394" s="11">
        <v>4.1852678571428568E-2</v>
      </c>
      <c r="O394">
        <v>489</v>
      </c>
      <c r="P394" s="11">
        <v>0.25541281188299542</v>
      </c>
      <c r="Q394" s="11">
        <v>5.2631578947368418E-2</v>
      </c>
      <c r="R394">
        <v>0.25654104459352312</v>
      </c>
      <c r="S394">
        <v>4.1557370301422127E-2</v>
      </c>
      <c r="T394" s="9" t="s">
        <v>40</v>
      </c>
      <c r="U394" s="9" t="s">
        <v>50</v>
      </c>
      <c r="V394" s="9" t="s">
        <v>305</v>
      </c>
      <c r="W394" s="9" t="s">
        <v>390</v>
      </c>
      <c r="X394" s="1">
        <v>12</v>
      </c>
      <c r="Y394" s="1">
        <v>15</v>
      </c>
      <c r="Z394" s="3">
        <f t="shared" si="12"/>
        <v>0.8</v>
      </c>
      <c r="AA394" s="11">
        <v>0.30714755841697561</v>
      </c>
      <c r="AB394" s="11">
        <v>0.25696370794212542</v>
      </c>
      <c r="AC394" s="10">
        <v>2</v>
      </c>
      <c r="AD394" s="9" t="s">
        <v>41</v>
      </c>
      <c r="AE394" s="9" t="s">
        <v>35</v>
      </c>
    </row>
    <row r="395" spans="1:31" x14ac:dyDescent="0.25">
      <c r="A395" s="9" t="s">
        <v>538</v>
      </c>
      <c r="B395" s="1" t="s">
        <v>481</v>
      </c>
      <c r="C395" s="1" t="s">
        <v>808</v>
      </c>
      <c r="D395" s="10">
        <v>2</v>
      </c>
      <c r="E395" s="10">
        <v>2008</v>
      </c>
      <c r="F395" s="9" t="s">
        <v>38</v>
      </c>
      <c r="G395" s="9" t="s">
        <v>29</v>
      </c>
      <c r="H395" s="1">
        <v>31.5</v>
      </c>
      <c r="I395" s="1">
        <v>11.1</v>
      </c>
      <c r="J395" s="9" t="s">
        <v>30</v>
      </c>
      <c r="K395" s="1">
        <v>0.56000000000000005</v>
      </c>
      <c r="L395" s="10">
        <v>27</v>
      </c>
      <c r="M395" s="3">
        <v>0.183</v>
      </c>
      <c r="N395" s="11">
        <v>3.5928596658499998E-2</v>
      </c>
      <c r="O395" t="s">
        <v>63</v>
      </c>
      <c r="P395" s="11">
        <v>0.185084884559192</v>
      </c>
      <c r="Q395" s="11">
        <v>4.1666666666666657E-2</v>
      </c>
      <c r="R395">
        <v>0.18687200428746539</v>
      </c>
      <c r="S395">
        <v>3.5822199787083668E-2</v>
      </c>
      <c r="T395" s="9" t="s">
        <v>40</v>
      </c>
      <c r="U395" s="9" t="s">
        <v>31</v>
      </c>
      <c r="V395" s="9" t="s">
        <v>305</v>
      </c>
      <c r="W395" s="9" t="s">
        <v>307</v>
      </c>
      <c r="X395" s="1">
        <v>15.9</v>
      </c>
      <c r="Y395" s="1">
        <v>15</v>
      </c>
      <c r="Z395" s="3">
        <f t="shared" si="12"/>
        <v>1.06</v>
      </c>
      <c r="AA395" s="11">
        <v>0.17296038857048859</v>
      </c>
      <c r="AB395" s="11">
        <v>0.18652275197530499</v>
      </c>
      <c r="AC395" s="10">
        <v>3</v>
      </c>
      <c r="AD395" s="9" t="s">
        <v>41</v>
      </c>
      <c r="AE395" s="9" t="s">
        <v>63</v>
      </c>
    </row>
    <row r="396" spans="1:31" x14ac:dyDescent="0.25">
      <c r="A396" s="9" t="s">
        <v>853</v>
      </c>
      <c r="B396" s="1" t="s">
        <v>1061</v>
      </c>
      <c r="C396" s="1" t="s">
        <v>809</v>
      </c>
      <c r="D396" s="10">
        <v>2</v>
      </c>
      <c r="E396" s="10">
        <v>2009</v>
      </c>
      <c r="F396" s="9" t="s">
        <v>28</v>
      </c>
      <c r="G396" s="9" t="s">
        <v>54</v>
      </c>
      <c r="H396" s="1">
        <v>14.5</v>
      </c>
      <c r="I396" s="1">
        <v>1.5</v>
      </c>
      <c r="J396" s="9" t="s">
        <v>30</v>
      </c>
      <c r="K396" s="1">
        <v>0.08</v>
      </c>
      <c r="L396" s="10">
        <v>12</v>
      </c>
      <c r="M396" s="3">
        <v>0.38200000000000001</v>
      </c>
      <c r="N396" s="11">
        <v>6.6313255797818202E-2</v>
      </c>
      <c r="O396" t="s">
        <v>63</v>
      </c>
      <c r="P396" s="11">
        <v>0.40239927343496218</v>
      </c>
      <c r="Q396" s="11">
        <v>0.1111111111111111</v>
      </c>
      <c r="R396">
        <v>0.40196141918074002</v>
      </c>
      <c r="S396">
        <v>6.390544215068375E-2</v>
      </c>
      <c r="T396" s="9" t="s">
        <v>40</v>
      </c>
      <c r="U396" s="9" t="s">
        <v>31</v>
      </c>
      <c r="V396" s="9" t="s">
        <v>305</v>
      </c>
      <c r="W396" s="9" t="s">
        <v>394</v>
      </c>
      <c r="X396" s="1" t="s">
        <v>31</v>
      </c>
      <c r="Y396" s="1" t="s">
        <v>31</v>
      </c>
      <c r="Z396" s="3" t="s">
        <v>31</v>
      </c>
      <c r="AA396" s="11" t="s">
        <v>31</v>
      </c>
      <c r="AB396" s="11" t="s">
        <v>31</v>
      </c>
      <c r="AC396" s="10">
        <v>0</v>
      </c>
      <c r="AD396" s="9" t="s">
        <v>34</v>
      </c>
      <c r="AE396" s="9" t="s">
        <v>63</v>
      </c>
    </row>
    <row r="397" spans="1:31" x14ac:dyDescent="0.25">
      <c r="A397" s="9" t="s">
        <v>853</v>
      </c>
      <c r="B397" s="1" t="s">
        <v>1062</v>
      </c>
      <c r="C397" s="1" t="s">
        <v>810</v>
      </c>
      <c r="D397" s="10">
        <v>2</v>
      </c>
      <c r="E397" s="10">
        <v>2009</v>
      </c>
      <c r="F397" s="9" t="s">
        <v>38</v>
      </c>
      <c r="G397" s="9" t="s">
        <v>54</v>
      </c>
      <c r="H397" s="1">
        <v>14.6</v>
      </c>
      <c r="I397" s="1">
        <v>3.2</v>
      </c>
      <c r="J397" s="9" t="s">
        <v>30</v>
      </c>
      <c r="K397" s="1">
        <v>0.11</v>
      </c>
      <c r="L397" s="10">
        <v>9</v>
      </c>
      <c r="M397" s="3">
        <v>0.55000000000000004</v>
      </c>
      <c r="N397" s="11">
        <v>6.0813281249999997E-2</v>
      </c>
      <c r="O397" t="s">
        <v>63</v>
      </c>
      <c r="P397" s="11">
        <v>0.61838131357446358</v>
      </c>
      <c r="Q397" s="11">
        <v>0.16666666666666671</v>
      </c>
      <c r="R397">
        <v>0.58413369825303119</v>
      </c>
      <c r="S397">
        <v>5.4250174395030729E-2</v>
      </c>
      <c r="T397" s="9" t="s">
        <v>40</v>
      </c>
      <c r="U397" s="9" t="s">
        <v>31</v>
      </c>
      <c r="V397" s="9" t="s">
        <v>305</v>
      </c>
      <c r="W397" s="9" t="s">
        <v>394</v>
      </c>
      <c r="X397" s="1" t="s">
        <v>31</v>
      </c>
      <c r="Y397" s="1" t="s">
        <v>31</v>
      </c>
      <c r="Z397" s="3" t="s">
        <v>31</v>
      </c>
      <c r="AA397" s="11" t="s">
        <v>31</v>
      </c>
      <c r="AB397" s="11" t="s">
        <v>31</v>
      </c>
      <c r="AC397" s="10">
        <v>0</v>
      </c>
      <c r="AD397" s="9" t="s">
        <v>34</v>
      </c>
      <c r="AE397" s="9" t="s">
        <v>63</v>
      </c>
    </row>
    <row r="398" spans="1:31" x14ac:dyDescent="0.25">
      <c r="A398" s="9" t="s">
        <v>541</v>
      </c>
      <c r="B398" s="1" t="s">
        <v>488</v>
      </c>
      <c r="C398" s="1" t="s">
        <v>811</v>
      </c>
      <c r="D398" s="10">
        <v>2</v>
      </c>
      <c r="E398" s="10">
        <v>2009</v>
      </c>
      <c r="F398" s="9" t="s">
        <v>28</v>
      </c>
      <c r="G398" s="9" t="s">
        <v>54</v>
      </c>
      <c r="H398" s="1">
        <v>10.4</v>
      </c>
      <c r="I398" s="1">
        <v>1.24</v>
      </c>
      <c r="J398" s="9" t="s">
        <v>30</v>
      </c>
      <c r="K398" s="1">
        <v>0.56999999999999995</v>
      </c>
      <c r="L398" s="10">
        <v>47</v>
      </c>
      <c r="M398" s="3">
        <v>0.19800000000000001</v>
      </c>
      <c r="N398" s="11">
        <v>2.006802073078261E-2</v>
      </c>
      <c r="O398" t="s">
        <v>63</v>
      </c>
      <c r="P398" s="11">
        <v>0.20065008540443999</v>
      </c>
      <c r="Q398" s="11">
        <v>2.2727272727272731E-2</v>
      </c>
      <c r="R398">
        <v>0.20021999869185261</v>
      </c>
      <c r="S398">
        <v>2.0031107735438931E-2</v>
      </c>
      <c r="T398" s="9" t="s">
        <v>40</v>
      </c>
      <c r="U398" s="9" t="s">
        <v>50</v>
      </c>
      <c r="V398" s="9" t="s">
        <v>305</v>
      </c>
      <c r="W398" s="9" t="s">
        <v>977</v>
      </c>
      <c r="X398" s="1">
        <v>13.9</v>
      </c>
      <c r="Y398" s="1">
        <v>15</v>
      </c>
      <c r="Z398" s="3">
        <f t="shared" si="12"/>
        <v>0.92666666666666664</v>
      </c>
      <c r="AA398" s="11">
        <v>0.2129832479865591</v>
      </c>
      <c r="AB398" s="11">
        <v>0.15616984708927481</v>
      </c>
      <c r="AC398" s="10">
        <v>0</v>
      </c>
      <c r="AD398" s="9" t="s">
        <v>34</v>
      </c>
      <c r="AE398" s="9" t="s">
        <v>63</v>
      </c>
    </row>
    <row r="399" spans="1:31" x14ac:dyDescent="0.25">
      <c r="A399" s="9" t="s">
        <v>541</v>
      </c>
      <c r="B399" s="1" t="s">
        <v>487</v>
      </c>
      <c r="C399" s="1" t="s">
        <v>812</v>
      </c>
      <c r="D399" s="10">
        <v>2</v>
      </c>
      <c r="E399" s="10">
        <v>2009</v>
      </c>
      <c r="F399" s="9" t="s">
        <v>38</v>
      </c>
      <c r="G399" s="9" t="s">
        <v>54</v>
      </c>
      <c r="H399" s="1">
        <v>10.5</v>
      </c>
      <c r="I399" s="1">
        <v>1.27</v>
      </c>
      <c r="J399" s="9" t="s">
        <v>30</v>
      </c>
      <c r="K399" s="1">
        <v>0.53</v>
      </c>
      <c r="L399" s="10">
        <v>66</v>
      </c>
      <c r="M399" s="3">
        <v>0.123</v>
      </c>
      <c r="N399" s="11">
        <v>1.4922629025246161E-2</v>
      </c>
      <c r="O399" t="s">
        <v>63</v>
      </c>
      <c r="P399" s="11">
        <v>0.1236259811831301</v>
      </c>
      <c r="Q399" s="11">
        <v>1.5873015873015869E-2</v>
      </c>
      <c r="R399">
        <v>0.12398027903591879</v>
      </c>
      <c r="S399">
        <v>1.491529310508268E-2</v>
      </c>
      <c r="T399" s="9" t="s">
        <v>40</v>
      </c>
      <c r="U399" s="9" t="s">
        <v>50</v>
      </c>
      <c r="V399" s="9" t="s">
        <v>305</v>
      </c>
      <c r="W399" s="9" t="s">
        <v>391</v>
      </c>
      <c r="X399" s="1">
        <v>11.5</v>
      </c>
      <c r="Y399" s="1">
        <v>15</v>
      </c>
      <c r="Z399" s="3">
        <f t="shared" si="12"/>
        <v>0.76666666666666672</v>
      </c>
      <c r="AA399" s="11">
        <v>0.15959036421140529</v>
      </c>
      <c r="AB399" s="11">
        <v>0.15926396135452631</v>
      </c>
      <c r="AC399" s="10">
        <v>0</v>
      </c>
      <c r="AD399" s="9" t="s">
        <v>34</v>
      </c>
      <c r="AE399" s="9" t="s">
        <v>63</v>
      </c>
    </row>
    <row r="400" spans="1:31" x14ac:dyDescent="0.25">
      <c r="A400" s="9" t="s">
        <v>543</v>
      </c>
      <c r="B400" s="1" t="s">
        <v>489</v>
      </c>
      <c r="C400" s="1" t="s">
        <v>813</v>
      </c>
      <c r="D400" s="10">
        <v>2</v>
      </c>
      <c r="E400" s="10">
        <v>2009</v>
      </c>
      <c r="F400" s="9" t="s">
        <v>38</v>
      </c>
      <c r="G400" s="9" t="s">
        <v>54</v>
      </c>
      <c r="H400" s="1">
        <v>9.1</v>
      </c>
      <c r="I400" s="1">
        <v>0.1</v>
      </c>
      <c r="J400" s="9" t="s">
        <v>30</v>
      </c>
      <c r="K400" s="1">
        <v>0.5</v>
      </c>
      <c r="L400" s="10">
        <v>209</v>
      </c>
      <c r="M400" s="3">
        <v>0.28000000000000003</v>
      </c>
      <c r="N400" s="11">
        <v>4.0833969230769226E-3</v>
      </c>
      <c r="O400">
        <v>186</v>
      </c>
      <c r="P400" s="11">
        <v>0.28768207245178101</v>
      </c>
      <c r="Q400" s="11">
        <v>4.8543689320388354E-3</v>
      </c>
      <c r="R400">
        <v>0.28062960411750898</v>
      </c>
      <c r="S400">
        <v>4.0802696231294492E-3</v>
      </c>
      <c r="T400" s="9" t="s">
        <v>40</v>
      </c>
      <c r="U400" s="9" t="s">
        <v>50</v>
      </c>
      <c r="V400" s="9" t="s">
        <v>305</v>
      </c>
      <c r="W400" s="9" t="s">
        <v>978</v>
      </c>
      <c r="X400" s="1">
        <v>12</v>
      </c>
      <c r="Y400" s="1">
        <v>15</v>
      </c>
      <c r="Z400" s="3">
        <f t="shared" si="12"/>
        <v>0.8</v>
      </c>
      <c r="AA400" s="11">
        <v>0.34252872381068972</v>
      </c>
      <c r="AB400" s="11">
        <v>7.8177707272815755E-2</v>
      </c>
      <c r="AC400" s="10">
        <v>1</v>
      </c>
      <c r="AD400" s="9" t="s">
        <v>41</v>
      </c>
      <c r="AE400" s="9" t="s">
        <v>35</v>
      </c>
    </row>
    <row r="401" spans="1:31" x14ac:dyDescent="0.25">
      <c r="A401" s="9" t="s">
        <v>543</v>
      </c>
      <c r="B401" s="1" t="s">
        <v>489</v>
      </c>
      <c r="C401" s="1" t="s">
        <v>814</v>
      </c>
      <c r="D401" s="10">
        <v>3</v>
      </c>
      <c r="E401" s="10">
        <v>2009</v>
      </c>
      <c r="F401" s="9" t="s">
        <v>38</v>
      </c>
      <c r="G401" s="9" t="s">
        <v>54</v>
      </c>
      <c r="H401" s="1">
        <v>9.1</v>
      </c>
      <c r="I401" s="1">
        <v>0.1</v>
      </c>
      <c r="J401" s="9" t="s">
        <v>30</v>
      </c>
      <c r="K401" s="1">
        <v>0.5</v>
      </c>
      <c r="L401" s="10">
        <v>209</v>
      </c>
      <c r="M401" s="3">
        <v>0.12</v>
      </c>
      <c r="N401" s="11">
        <v>4.6702276923076928E-3</v>
      </c>
      <c r="O401">
        <v>186</v>
      </c>
      <c r="P401" s="11">
        <v>0.1205810284084441</v>
      </c>
      <c r="Q401" s="11">
        <v>4.8543689320388354E-3</v>
      </c>
      <c r="R401">
        <v>0.12028877312044051</v>
      </c>
      <c r="S401">
        <v>4.6695701218202948E-3</v>
      </c>
      <c r="T401" s="9" t="s">
        <v>40</v>
      </c>
      <c r="U401" s="9" t="s">
        <v>50</v>
      </c>
      <c r="V401" s="9" t="s">
        <v>305</v>
      </c>
      <c r="W401" s="9" t="s">
        <v>979</v>
      </c>
      <c r="X401" s="1">
        <v>14</v>
      </c>
      <c r="Y401" s="1">
        <v>15</v>
      </c>
      <c r="Z401" s="3">
        <f t="shared" si="12"/>
        <v>0.93333333333333335</v>
      </c>
      <c r="AA401" s="11">
        <v>0.1284346791226797</v>
      </c>
      <c r="AB401" s="11">
        <v>7.3695658680161008E-2</v>
      </c>
      <c r="AC401" s="10">
        <v>1</v>
      </c>
      <c r="AD401" s="9" t="s">
        <v>41</v>
      </c>
      <c r="AE401" s="9" t="s">
        <v>35</v>
      </c>
    </row>
    <row r="402" spans="1:31" x14ac:dyDescent="0.25">
      <c r="A402" s="9" t="s">
        <v>544</v>
      </c>
      <c r="B402" s="1" t="s">
        <v>490</v>
      </c>
      <c r="C402" s="1" t="s">
        <v>815</v>
      </c>
      <c r="D402" s="10">
        <v>2</v>
      </c>
      <c r="E402" s="10">
        <v>2009</v>
      </c>
      <c r="F402" s="9" t="s">
        <v>28</v>
      </c>
      <c r="G402" s="9" t="s">
        <v>29</v>
      </c>
      <c r="H402" s="1">
        <v>32</v>
      </c>
      <c r="I402" s="1">
        <v>7</v>
      </c>
      <c r="J402" s="9" t="s">
        <v>39</v>
      </c>
      <c r="K402" s="1">
        <v>0</v>
      </c>
      <c r="L402" s="10">
        <v>10</v>
      </c>
      <c r="M402" s="3">
        <v>0.23400000000000001</v>
      </c>
      <c r="N402" s="11">
        <v>9.9276246615111099E-2</v>
      </c>
      <c r="O402" t="s">
        <v>63</v>
      </c>
      <c r="P402" s="11">
        <v>0.23841701736237089</v>
      </c>
      <c r="Q402" s="11">
        <v>0.1428571428571429</v>
      </c>
      <c r="R402">
        <v>0.25258587613786537</v>
      </c>
      <c r="S402">
        <v>9.7385682497673265E-2</v>
      </c>
      <c r="T402" s="9" t="s">
        <v>40</v>
      </c>
      <c r="U402" s="9" t="s">
        <v>31</v>
      </c>
      <c r="V402" s="9" t="s">
        <v>305</v>
      </c>
      <c r="W402" s="9" t="s">
        <v>393</v>
      </c>
      <c r="X402" s="1">
        <v>16</v>
      </c>
      <c r="Y402" s="1">
        <v>15</v>
      </c>
      <c r="Z402" s="3">
        <f t="shared" si="12"/>
        <v>1.0666666666666667</v>
      </c>
      <c r="AA402" s="11">
        <v>0.22010593187377059</v>
      </c>
      <c r="AB402" s="11">
        <v>0.32548583056458219</v>
      </c>
      <c r="AC402" s="10">
        <v>0</v>
      </c>
      <c r="AD402" s="9" t="s">
        <v>34</v>
      </c>
      <c r="AE402" s="9" t="s">
        <v>63</v>
      </c>
    </row>
    <row r="403" spans="1:31" x14ac:dyDescent="0.25">
      <c r="A403" s="9" t="s">
        <v>544</v>
      </c>
      <c r="B403" s="1" t="s">
        <v>491</v>
      </c>
      <c r="C403" s="1" t="s">
        <v>816</v>
      </c>
      <c r="D403" s="10">
        <v>2</v>
      </c>
      <c r="E403" s="10">
        <v>2009</v>
      </c>
      <c r="F403" s="9" t="s">
        <v>38</v>
      </c>
      <c r="G403" s="9" t="s">
        <v>29</v>
      </c>
      <c r="H403" s="1">
        <v>33</v>
      </c>
      <c r="I403" s="1">
        <v>7</v>
      </c>
      <c r="J403" s="9" t="s">
        <v>39</v>
      </c>
      <c r="K403" s="1">
        <v>0</v>
      </c>
      <c r="L403" s="10">
        <v>25</v>
      </c>
      <c r="M403" s="3">
        <v>0.23699999999999999</v>
      </c>
      <c r="N403" s="11">
        <v>3.7117373190041672E-2</v>
      </c>
      <c r="O403" t="s">
        <v>63</v>
      </c>
      <c r="P403" s="11">
        <v>0.2415931705540155</v>
      </c>
      <c r="Q403" s="11">
        <v>4.5454545454545463E-2</v>
      </c>
      <c r="R403">
        <v>0.24235226381825531</v>
      </c>
      <c r="S403">
        <v>3.6915854833532512E-2</v>
      </c>
      <c r="T403" s="9" t="s">
        <v>40</v>
      </c>
      <c r="U403" s="9" t="s">
        <v>31</v>
      </c>
      <c r="V403" s="9" t="s">
        <v>305</v>
      </c>
      <c r="W403" s="9" t="s">
        <v>393</v>
      </c>
      <c r="X403" s="1">
        <v>16</v>
      </c>
      <c r="Y403" s="1">
        <v>15</v>
      </c>
      <c r="Z403" s="3">
        <f t="shared" si="12"/>
        <v>1.0666666666666667</v>
      </c>
      <c r="AA403" s="11">
        <v>0.22294700466260209</v>
      </c>
      <c r="AB403" s="11">
        <v>0.19186711070275561</v>
      </c>
      <c r="AC403" s="10">
        <v>0</v>
      </c>
      <c r="AD403" s="9" t="s">
        <v>34</v>
      </c>
      <c r="AE403" s="9" t="s">
        <v>63</v>
      </c>
    </row>
    <row r="404" spans="1:31" x14ac:dyDescent="0.25">
      <c r="A404" s="9" t="s">
        <v>544</v>
      </c>
      <c r="B404" s="1" t="s">
        <v>492</v>
      </c>
      <c r="C404" s="1" t="s">
        <v>817</v>
      </c>
      <c r="D404" s="10">
        <v>2</v>
      </c>
      <c r="E404" s="10">
        <v>2009</v>
      </c>
      <c r="F404" s="9" t="s">
        <v>28</v>
      </c>
      <c r="G404" s="9" t="s">
        <v>29</v>
      </c>
      <c r="H404" s="1">
        <v>32</v>
      </c>
      <c r="I404" s="1">
        <v>5</v>
      </c>
      <c r="J404" s="9" t="s">
        <v>39</v>
      </c>
      <c r="K404" s="1">
        <v>0</v>
      </c>
      <c r="L404" s="10">
        <v>13</v>
      </c>
      <c r="M404" s="3">
        <v>0.157</v>
      </c>
      <c r="N404" s="11">
        <v>7.9275797766749992E-2</v>
      </c>
      <c r="O404" t="s">
        <v>63</v>
      </c>
      <c r="P404" s="11">
        <v>0.1583093845959106</v>
      </c>
      <c r="Q404" s="11">
        <v>0.1</v>
      </c>
      <c r="R404">
        <v>0.16566131676039161</v>
      </c>
      <c r="S404">
        <v>7.8822150948681488E-2</v>
      </c>
      <c r="T404" s="9" t="s">
        <v>40</v>
      </c>
      <c r="U404" s="9" t="s">
        <v>31</v>
      </c>
      <c r="V404" s="9" t="s">
        <v>305</v>
      </c>
      <c r="W404" s="9" t="s">
        <v>393</v>
      </c>
      <c r="X404" s="1">
        <v>17</v>
      </c>
      <c r="Y404" s="1">
        <v>15</v>
      </c>
      <c r="Z404" s="3">
        <f t="shared" si="12"/>
        <v>1.1333333333333333</v>
      </c>
      <c r="AA404" s="11">
        <v>0.138909055182735</v>
      </c>
      <c r="AB404" s="11">
        <v>0.26490622495579558</v>
      </c>
      <c r="AC404" s="10">
        <v>0</v>
      </c>
      <c r="AD404" s="9" t="s">
        <v>34</v>
      </c>
      <c r="AE404" s="9" t="s">
        <v>63</v>
      </c>
    </row>
    <row r="405" spans="1:31" x14ac:dyDescent="0.25">
      <c r="A405" s="9" t="s">
        <v>854</v>
      </c>
      <c r="B405" s="1" t="s">
        <v>1063</v>
      </c>
      <c r="C405" s="1" t="s">
        <v>818</v>
      </c>
      <c r="D405" s="10">
        <v>2</v>
      </c>
      <c r="E405" s="10">
        <v>2010</v>
      </c>
      <c r="F405" s="9" t="s">
        <v>38</v>
      </c>
      <c r="G405" s="9" t="s">
        <v>54</v>
      </c>
      <c r="H405" s="1">
        <v>11.4</v>
      </c>
      <c r="I405" s="1" t="s">
        <v>31</v>
      </c>
      <c r="J405" s="9" t="s">
        <v>30</v>
      </c>
      <c r="K405" s="1">
        <v>0.52</v>
      </c>
      <c r="L405" s="10">
        <v>142</v>
      </c>
      <c r="M405" s="3">
        <v>0.42</v>
      </c>
      <c r="N405" s="11">
        <v>4.8107585815602844E-3</v>
      </c>
      <c r="O405">
        <v>140</v>
      </c>
      <c r="P405" s="11">
        <v>0.44769202352742071</v>
      </c>
      <c r="Q405" s="11">
        <v>7.1942446043165471E-3</v>
      </c>
      <c r="R405">
        <v>0.42125192008167939</v>
      </c>
      <c r="S405">
        <v>4.7984629135342629E-3</v>
      </c>
      <c r="T405" s="9" t="s">
        <v>40</v>
      </c>
      <c r="U405" s="9" t="s">
        <v>50</v>
      </c>
      <c r="V405" s="9" t="s">
        <v>305</v>
      </c>
      <c r="W405" s="9" t="s">
        <v>312</v>
      </c>
      <c r="X405" s="1">
        <v>11.5</v>
      </c>
      <c r="Y405" s="1">
        <v>15</v>
      </c>
      <c r="Z405" s="3">
        <f t="shared" si="12"/>
        <v>0.76666666666666672</v>
      </c>
      <c r="AA405" s="11">
        <v>0.51679098014993474</v>
      </c>
      <c r="AB405" s="11">
        <v>8.3985481750554508E-2</v>
      </c>
      <c r="AC405" s="10">
        <v>2</v>
      </c>
      <c r="AD405" s="9" t="s">
        <v>41</v>
      </c>
      <c r="AE405" s="9" t="s">
        <v>35</v>
      </c>
    </row>
    <row r="406" spans="1:31" x14ac:dyDescent="0.25">
      <c r="A406" s="9" t="s">
        <v>545</v>
      </c>
      <c r="B406" s="1" t="s">
        <v>495</v>
      </c>
      <c r="C406" s="1" t="s">
        <v>819</v>
      </c>
      <c r="D406" s="10">
        <v>2</v>
      </c>
      <c r="E406" s="10">
        <v>2010</v>
      </c>
      <c r="F406" s="9" t="s">
        <v>28</v>
      </c>
      <c r="G406" s="9" t="s">
        <v>29</v>
      </c>
      <c r="H406" s="1">
        <v>36.090000000000003</v>
      </c>
      <c r="I406" s="1" t="s">
        <v>31</v>
      </c>
      <c r="J406" s="9" t="s">
        <v>30</v>
      </c>
      <c r="K406" s="1">
        <v>0.35</v>
      </c>
      <c r="L406" s="10">
        <v>77</v>
      </c>
      <c r="M406" s="3">
        <v>8.8999999999999996E-2</v>
      </c>
      <c r="N406" s="11">
        <v>1.2950272924223689E-2</v>
      </c>
      <c r="O406" t="s">
        <v>63</v>
      </c>
      <c r="P406" s="11">
        <v>8.9236112836501069E-2</v>
      </c>
      <c r="Q406" s="11">
        <v>1.3513513513513511E-2</v>
      </c>
      <c r="R406">
        <v>8.9606664857917198E-2</v>
      </c>
      <c r="S406">
        <v>1.294744423365728E-2</v>
      </c>
      <c r="T406" s="9" t="s">
        <v>40</v>
      </c>
      <c r="U406" s="9" t="s">
        <v>31</v>
      </c>
      <c r="V406" s="9" t="s">
        <v>305</v>
      </c>
      <c r="W406" s="9" t="s">
        <v>310</v>
      </c>
      <c r="X406" s="1" t="s">
        <v>31</v>
      </c>
      <c r="Y406" s="1" t="s">
        <v>31</v>
      </c>
      <c r="Z406" s="3" t="s">
        <v>31</v>
      </c>
      <c r="AA406" s="11" t="s">
        <v>31</v>
      </c>
      <c r="AB406" s="11" t="s">
        <v>31</v>
      </c>
      <c r="AC406" s="10">
        <v>0</v>
      </c>
      <c r="AD406" s="9" t="s">
        <v>34</v>
      </c>
      <c r="AE406" s="9" t="s">
        <v>63</v>
      </c>
    </row>
    <row r="407" spans="1:31" x14ac:dyDescent="0.25">
      <c r="A407" s="9" t="s">
        <v>545</v>
      </c>
      <c r="B407" s="1" t="s">
        <v>494</v>
      </c>
      <c r="C407" s="1" t="s">
        <v>820</v>
      </c>
      <c r="D407" s="10">
        <v>2</v>
      </c>
      <c r="E407" s="10">
        <v>2010</v>
      </c>
      <c r="F407" s="9" t="s">
        <v>38</v>
      </c>
      <c r="G407" s="9" t="s">
        <v>29</v>
      </c>
      <c r="H407" s="1">
        <v>33.340000000000003</v>
      </c>
      <c r="I407" s="1">
        <v>12.6</v>
      </c>
      <c r="J407" s="9" t="s">
        <v>30</v>
      </c>
      <c r="K407" s="1">
        <v>0.42</v>
      </c>
      <c r="L407" s="10">
        <v>67</v>
      </c>
      <c r="M407" s="3">
        <v>0.33200000000000002</v>
      </c>
      <c r="N407" s="11">
        <v>1.199547469963636E-2</v>
      </c>
      <c r="O407" t="s">
        <v>63</v>
      </c>
      <c r="P407" s="11">
        <v>0.34507433878184451</v>
      </c>
      <c r="Q407" s="11">
        <v>1.5625E-2</v>
      </c>
      <c r="R407">
        <v>0.33434420987168623</v>
      </c>
      <c r="S407">
        <v>1.1953394239030409E-2</v>
      </c>
      <c r="T407" s="9" t="s">
        <v>40</v>
      </c>
      <c r="U407" s="9" t="s">
        <v>31</v>
      </c>
      <c r="V407" s="9" t="s">
        <v>305</v>
      </c>
      <c r="W407" s="9" t="s">
        <v>310</v>
      </c>
      <c r="X407" s="1" t="s">
        <v>31</v>
      </c>
      <c r="Y407" s="1" t="s">
        <v>31</v>
      </c>
      <c r="Z407" s="3" t="s">
        <v>31</v>
      </c>
      <c r="AA407" s="11" t="s">
        <v>31</v>
      </c>
      <c r="AB407" s="11" t="s">
        <v>31</v>
      </c>
      <c r="AC407" s="10">
        <v>0</v>
      </c>
      <c r="AD407" s="9" t="s">
        <v>34</v>
      </c>
      <c r="AE407" s="9" t="s">
        <v>63</v>
      </c>
    </row>
    <row r="408" spans="1:31" x14ac:dyDescent="0.25">
      <c r="A408" s="9" t="s">
        <v>546</v>
      </c>
      <c r="B408" s="1" t="s">
        <v>497</v>
      </c>
      <c r="C408" s="1" t="s">
        <v>821</v>
      </c>
      <c r="D408" s="10">
        <v>2</v>
      </c>
      <c r="E408" s="10">
        <v>2010</v>
      </c>
      <c r="F408" s="9" t="s">
        <v>38</v>
      </c>
      <c r="G408" s="9" t="s">
        <v>54</v>
      </c>
      <c r="H408" s="1">
        <v>15.75</v>
      </c>
      <c r="I408" s="1">
        <v>1.1299999999999999</v>
      </c>
      <c r="J408" s="9" t="s">
        <v>39</v>
      </c>
      <c r="K408" s="1">
        <v>0</v>
      </c>
      <c r="L408" s="10">
        <v>24</v>
      </c>
      <c r="M408" s="3">
        <v>0</v>
      </c>
      <c r="N408" s="11">
        <v>4.3478260869565223E-2</v>
      </c>
      <c r="O408" t="s">
        <v>63</v>
      </c>
      <c r="P408" s="11">
        <v>0</v>
      </c>
      <c r="Q408" s="11">
        <v>4.7619047619047623E-2</v>
      </c>
      <c r="R408">
        <v>0</v>
      </c>
      <c r="S408">
        <v>4.3478260869565223E-2</v>
      </c>
      <c r="T408" s="9" t="s">
        <v>40</v>
      </c>
      <c r="U408" s="9" t="s">
        <v>50</v>
      </c>
      <c r="V408" s="9" t="s">
        <v>305</v>
      </c>
      <c r="W408" s="9" t="s">
        <v>395</v>
      </c>
      <c r="X408" s="1">
        <v>13</v>
      </c>
      <c r="Y408" s="1">
        <v>15</v>
      </c>
      <c r="Z408" s="3">
        <f t="shared" si="12"/>
        <v>0.8666666666666667</v>
      </c>
      <c r="AA408" s="11">
        <v>0</v>
      </c>
      <c r="AB408" s="11" t="s">
        <v>31</v>
      </c>
      <c r="AC408" s="10">
        <v>4</v>
      </c>
      <c r="AD408" s="9" t="s">
        <v>34</v>
      </c>
      <c r="AE408" s="9" t="s">
        <v>63</v>
      </c>
    </row>
    <row r="409" spans="1:31" x14ac:dyDescent="0.25">
      <c r="A409" s="9" t="s">
        <v>546</v>
      </c>
      <c r="B409" s="1" t="s">
        <v>981</v>
      </c>
      <c r="C409" s="1" t="s">
        <v>822</v>
      </c>
      <c r="D409" s="10">
        <v>2</v>
      </c>
      <c r="E409" s="10">
        <v>2010</v>
      </c>
      <c r="F409" s="9" t="s">
        <v>38</v>
      </c>
      <c r="G409" s="9" t="s">
        <v>54</v>
      </c>
      <c r="H409" s="1">
        <v>15.75</v>
      </c>
      <c r="I409" s="1">
        <v>1.1299999999999999</v>
      </c>
      <c r="J409" s="9" t="s">
        <v>43</v>
      </c>
      <c r="K409" s="1">
        <v>1</v>
      </c>
      <c r="L409" s="10">
        <v>26</v>
      </c>
      <c r="M409" s="3">
        <v>0.187</v>
      </c>
      <c r="N409" s="11">
        <v>3.7251393238439998E-2</v>
      </c>
      <c r="O409">
        <v>360</v>
      </c>
      <c r="P409" s="11">
        <v>0.1892266425309288</v>
      </c>
      <c r="Q409" s="11">
        <v>4.3478260869565223E-2</v>
      </c>
      <c r="R409">
        <v>0.19113065765839679</v>
      </c>
      <c r="S409">
        <v>3.7130906085134918E-2</v>
      </c>
      <c r="T409" s="9" t="s">
        <v>40</v>
      </c>
      <c r="U409" s="9" t="s">
        <v>50</v>
      </c>
      <c r="V409" s="9" t="s">
        <v>305</v>
      </c>
      <c r="W409" s="9" t="s">
        <v>395</v>
      </c>
      <c r="X409" s="1">
        <v>14.8</v>
      </c>
      <c r="Y409" s="1">
        <v>15</v>
      </c>
      <c r="Z409" s="3">
        <f t="shared" si="12"/>
        <v>0.98666666666666669</v>
      </c>
      <c r="AA409" s="11">
        <v>0.18943692440896959</v>
      </c>
      <c r="AB409" s="11">
        <v>0.20294343499163109</v>
      </c>
      <c r="AC409" s="10">
        <v>4</v>
      </c>
      <c r="AD409" s="9" t="s">
        <v>34</v>
      </c>
      <c r="AE409" s="9" t="s">
        <v>35</v>
      </c>
    </row>
    <row r="410" spans="1:31" x14ac:dyDescent="0.25">
      <c r="A410" s="9" t="s">
        <v>548</v>
      </c>
      <c r="B410" s="1" t="s">
        <v>984</v>
      </c>
      <c r="C410" s="1" t="s">
        <v>823</v>
      </c>
      <c r="D410" s="10">
        <v>2</v>
      </c>
      <c r="E410" s="10">
        <v>2010</v>
      </c>
      <c r="F410" s="9" t="s">
        <v>38</v>
      </c>
      <c r="G410" s="9" t="s">
        <v>54</v>
      </c>
      <c r="H410" s="1">
        <v>11.8</v>
      </c>
      <c r="I410" s="1">
        <v>3.8</v>
      </c>
      <c r="J410" s="9" t="s">
        <v>30</v>
      </c>
      <c r="K410" s="1">
        <v>0.48</v>
      </c>
      <c r="L410" s="10">
        <v>649</v>
      </c>
      <c r="M410" s="3">
        <v>0.14000000000000001</v>
      </c>
      <c r="N410" s="11">
        <v>1.4833088888888889E-3</v>
      </c>
      <c r="O410">
        <v>132</v>
      </c>
      <c r="P410" s="11">
        <v>0.14092557607049391</v>
      </c>
      <c r="Q410" s="11">
        <v>1.5479876160990711E-3</v>
      </c>
      <c r="R410">
        <v>0.1401064339080523</v>
      </c>
      <c r="S410">
        <v>1.4832186788681799E-3</v>
      </c>
      <c r="T410" s="9" t="s">
        <v>40</v>
      </c>
      <c r="U410" s="9" t="s">
        <v>50</v>
      </c>
      <c r="V410" s="9" t="s">
        <v>305</v>
      </c>
      <c r="W410" s="9" t="s">
        <v>390</v>
      </c>
      <c r="X410" s="1" t="s">
        <v>31</v>
      </c>
      <c r="Y410" s="1" t="s">
        <v>31</v>
      </c>
      <c r="Z410" s="3" t="s">
        <v>31</v>
      </c>
      <c r="AA410" s="11" t="s">
        <v>31</v>
      </c>
      <c r="AB410" s="11" t="s">
        <v>31</v>
      </c>
      <c r="AC410" s="10">
        <v>0</v>
      </c>
      <c r="AD410" s="9" t="s">
        <v>41</v>
      </c>
      <c r="AE410" s="9" t="s">
        <v>35</v>
      </c>
    </row>
    <row r="411" spans="1:31" x14ac:dyDescent="0.25">
      <c r="A411" s="9" t="s">
        <v>255</v>
      </c>
      <c r="B411" s="1" t="s">
        <v>992</v>
      </c>
      <c r="C411" s="1" t="s">
        <v>824</v>
      </c>
      <c r="D411" s="10">
        <v>2</v>
      </c>
      <c r="E411" s="10">
        <v>2012</v>
      </c>
      <c r="F411" s="9" t="s">
        <v>38</v>
      </c>
      <c r="G411" s="9" t="s">
        <v>54</v>
      </c>
      <c r="H411" s="1">
        <v>15.1</v>
      </c>
      <c r="I411" s="1">
        <v>0.75</v>
      </c>
      <c r="J411" s="9" t="s">
        <v>43</v>
      </c>
      <c r="K411" s="1">
        <v>1</v>
      </c>
      <c r="L411" s="10">
        <v>30</v>
      </c>
      <c r="M411" s="3">
        <v>0.34</v>
      </c>
      <c r="N411" s="11">
        <v>2.6971150344827589E-2</v>
      </c>
      <c r="O411">
        <v>1060</v>
      </c>
      <c r="P411" s="11">
        <v>0.35409252896224302</v>
      </c>
      <c r="Q411" s="11">
        <v>3.7037037037037042E-2</v>
      </c>
      <c r="R411">
        <v>0.34577500725214738</v>
      </c>
      <c r="S411">
        <v>2.673013680553004E-2</v>
      </c>
      <c r="T411" s="9" t="s">
        <v>40</v>
      </c>
      <c r="U411" s="9" t="s">
        <v>50</v>
      </c>
      <c r="V411" s="9" t="s">
        <v>305</v>
      </c>
      <c r="W411" s="9" t="s">
        <v>312</v>
      </c>
      <c r="X411" s="1">
        <v>13.84</v>
      </c>
      <c r="Y411" s="1">
        <v>15</v>
      </c>
      <c r="Z411" s="3">
        <f t="shared" si="12"/>
        <v>0.92266666666666663</v>
      </c>
      <c r="AA411" s="11">
        <v>0.36483250852279808</v>
      </c>
      <c r="AB411" s="11">
        <v>0.18692993299121341</v>
      </c>
      <c r="AC411" s="10">
        <v>0</v>
      </c>
      <c r="AD411" s="9" t="s">
        <v>34</v>
      </c>
      <c r="AE411" s="9" t="s">
        <v>35</v>
      </c>
    </row>
    <row r="412" spans="1:31" x14ac:dyDescent="0.25">
      <c r="A412" s="9" t="s">
        <v>313</v>
      </c>
      <c r="B412" s="1" t="s">
        <v>848</v>
      </c>
      <c r="C412" s="1" t="s">
        <v>825</v>
      </c>
      <c r="D412" s="10">
        <v>3</v>
      </c>
      <c r="E412" s="10">
        <v>2013</v>
      </c>
      <c r="F412" s="9" t="s">
        <v>28</v>
      </c>
      <c r="G412" s="9" t="s">
        <v>54</v>
      </c>
      <c r="H412" s="1">
        <v>10.66</v>
      </c>
      <c r="I412" s="1">
        <v>1.64</v>
      </c>
      <c r="J412" s="9" t="s">
        <v>30</v>
      </c>
      <c r="K412" s="1">
        <v>0.57999999999999996</v>
      </c>
      <c r="L412" s="10">
        <v>47</v>
      </c>
      <c r="M412" s="3">
        <v>0</v>
      </c>
      <c r="N412" s="11">
        <v>2.1739130434782612E-2</v>
      </c>
      <c r="O412">
        <v>447</v>
      </c>
      <c r="P412" s="11">
        <v>0</v>
      </c>
      <c r="Q412" s="11">
        <v>2.2727272727272731E-2</v>
      </c>
      <c r="R412">
        <v>0</v>
      </c>
      <c r="S412">
        <v>2.1739130434782612E-2</v>
      </c>
      <c r="T412" s="9" t="s">
        <v>40</v>
      </c>
      <c r="U412" s="9" t="s">
        <v>50</v>
      </c>
      <c r="V412" s="9" t="s">
        <v>305</v>
      </c>
      <c r="W412" s="9" t="s">
        <v>397</v>
      </c>
      <c r="X412" s="1">
        <v>14.8</v>
      </c>
      <c r="Y412" s="1">
        <v>15</v>
      </c>
      <c r="Z412" s="3">
        <f t="shared" ref="Z412:Z453" si="13">X412/Y412</f>
        <v>0.98666666666666669</v>
      </c>
      <c r="AA412" s="11">
        <v>0</v>
      </c>
      <c r="AB412" s="11" t="s">
        <v>31</v>
      </c>
      <c r="AC412" s="10">
        <v>0</v>
      </c>
      <c r="AD412" s="9" t="s">
        <v>34</v>
      </c>
      <c r="AE412" s="9" t="s">
        <v>35</v>
      </c>
    </row>
    <row r="413" spans="1:31" x14ac:dyDescent="0.25">
      <c r="A413" s="9" t="s">
        <v>313</v>
      </c>
      <c r="B413" s="1" t="s">
        <v>848</v>
      </c>
      <c r="C413" s="1" t="s">
        <v>826</v>
      </c>
      <c r="D413" s="10">
        <v>3</v>
      </c>
      <c r="E413" s="10">
        <v>2013</v>
      </c>
      <c r="F413" s="9" t="s">
        <v>28</v>
      </c>
      <c r="G413" s="9" t="s">
        <v>54</v>
      </c>
      <c r="H413" s="1">
        <v>10.67</v>
      </c>
      <c r="I413" s="1">
        <v>1.42</v>
      </c>
      <c r="J413" s="9" t="s">
        <v>30</v>
      </c>
      <c r="K413" s="1">
        <v>0.68</v>
      </c>
      <c r="L413" s="10">
        <v>32</v>
      </c>
      <c r="M413" s="3">
        <v>0</v>
      </c>
      <c r="N413" s="11">
        <v>3.2258064516129031E-2</v>
      </c>
      <c r="O413">
        <v>447</v>
      </c>
      <c r="P413" s="11">
        <v>0</v>
      </c>
      <c r="Q413" s="11">
        <v>3.4482758620689662E-2</v>
      </c>
      <c r="R413">
        <v>0</v>
      </c>
      <c r="S413">
        <v>3.2258064516129031E-2</v>
      </c>
      <c r="T413" s="9" t="s">
        <v>40</v>
      </c>
      <c r="U413" s="9" t="s">
        <v>50</v>
      </c>
      <c r="V413" s="9" t="s">
        <v>305</v>
      </c>
      <c r="W413" s="9" t="s">
        <v>397</v>
      </c>
      <c r="X413" s="1">
        <v>12.11</v>
      </c>
      <c r="Y413" s="1">
        <v>15</v>
      </c>
      <c r="Z413" s="3">
        <f t="shared" si="13"/>
        <v>0.80733333333333335</v>
      </c>
      <c r="AA413" s="11">
        <v>0</v>
      </c>
      <c r="AB413" s="11" t="s">
        <v>31</v>
      </c>
      <c r="AC413" s="10">
        <v>0</v>
      </c>
      <c r="AD413" s="9" t="s">
        <v>34</v>
      </c>
      <c r="AE413" s="9" t="s">
        <v>35</v>
      </c>
    </row>
    <row r="414" spans="1:31" x14ac:dyDescent="0.25">
      <c r="A414" s="9" t="s">
        <v>313</v>
      </c>
      <c r="B414" s="1" t="s">
        <v>848</v>
      </c>
      <c r="C414" s="1" t="s">
        <v>827</v>
      </c>
      <c r="D414" s="10">
        <v>3</v>
      </c>
      <c r="E414" s="10">
        <v>2013</v>
      </c>
      <c r="F414" s="9" t="s">
        <v>28</v>
      </c>
      <c r="G414" s="9" t="s">
        <v>54</v>
      </c>
      <c r="H414" s="1">
        <v>10.14</v>
      </c>
      <c r="I414" s="1">
        <v>1.52</v>
      </c>
      <c r="J414" s="9" t="s">
        <v>30</v>
      </c>
      <c r="K414" s="1">
        <v>0.57999999999999996</v>
      </c>
      <c r="L414" s="10">
        <v>27</v>
      </c>
      <c r="M414" s="3">
        <v>0</v>
      </c>
      <c r="N414" s="11">
        <v>3.8461538461538457E-2</v>
      </c>
      <c r="O414">
        <v>447</v>
      </c>
      <c r="P414" s="11">
        <v>0</v>
      </c>
      <c r="Q414" s="11">
        <v>4.1666666666666657E-2</v>
      </c>
      <c r="R414">
        <v>0</v>
      </c>
      <c r="S414">
        <v>3.8461538461538457E-2</v>
      </c>
      <c r="T414" s="9" t="s">
        <v>40</v>
      </c>
      <c r="U414" s="9" t="s">
        <v>50</v>
      </c>
      <c r="V414" s="9" t="s">
        <v>305</v>
      </c>
      <c r="W414" s="9" t="s">
        <v>397</v>
      </c>
      <c r="X414" s="1">
        <v>12.16</v>
      </c>
      <c r="Y414" s="1">
        <v>15</v>
      </c>
      <c r="Z414" s="3">
        <f t="shared" si="13"/>
        <v>0.81066666666666665</v>
      </c>
      <c r="AA414" s="11">
        <v>0</v>
      </c>
      <c r="AB414" s="11" t="s">
        <v>31</v>
      </c>
      <c r="AC414" s="10">
        <v>0</v>
      </c>
      <c r="AD414" s="9" t="s">
        <v>34</v>
      </c>
      <c r="AE414" s="9" t="s">
        <v>35</v>
      </c>
    </row>
    <row r="415" spans="1:31" x14ac:dyDescent="0.25">
      <c r="A415" s="9" t="s">
        <v>259</v>
      </c>
      <c r="B415" s="1" t="s">
        <v>496</v>
      </c>
      <c r="C415" s="1" t="s">
        <v>828</v>
      </c>
      <c r="D415" s="10">
        <v>3</v>
      </c>
      <c r="E415" s="10">
        <v>2013</v>
      </c>
      <c r="F415" s="9" t="s">
        <v>38</v>
      </c>
      <c r="G415" s="9" t="s">
        <v>29</v>
      </c>
      <c r="H415" s="1">
        <v>72.47</v>
      </c>
      <c r="I415" s="1">
        <v>0.73</v>
      </c>
      <c r="J415" s="9" t="s">
        <v>39</v>
      </c>
      <c r="K415" s="1">
        <v>1</v>
      </c>
      <c r="L415" s="10">
        <v>293</v>
      </c>
      <c r="M415" s="3">
        <v>0.25</v>
      </c>
      <c r="N415" s="11">
        <v>3.009952910958904E-3</v>
      </c>
      <c r="O415">
        <v>2729</v>
      </c>
      <c r="P415" s="11">
        <v>0.25541281188299542</v>
      </c>
      <c r="Q415" s="11">
        <v>3.4482758620689659E-3</v>
      </c>
      <c r="R415">
        <v>0.25040564451204778</v>
      </c>
      <c r="S415">
        <v>3.0086496265311329E-3</v>
      </c>
      <c r="T415" s="9" t="s">
        <v>40</v>
      </c>
      <c r="U415" s="9" t="s">
        <v>50</v>
      </c>
      <c r="V415" s="9" t="s">
        <v>305</v>
      </c>
      <c r="W415" s="9" t="s">
        <v>894</v>
      </c>
      <c r="X415" s="1" t="s">
        <v>31</v>
      </c>
      <c r="Y415" s="1" t="s">
        <v>31</v>
      </c>
      <c r="Z415" s="3" t="s">
        <v>31</v>
      </c>
      <c r="AA415" s="11" t="s">
        <v>31</v>
      </c>
      <c r="AB415" s="11" t="s">
        <v>31</v>
      </c>
      <c r="AC415" s="10">
        <v>0</v>
      </c>
      <c r="AD415" s="9" t="s">
        <v>41</v>
      </c>
      <c r="AE415" s="9" t="s">
        <v>35</v>
      </c>
    </row>
    <row r="416" spans="1:31" x14ac:dyDescent="0.25">
      <c r="A416" s="9" t="s">
        <v>259</v>
      </c>
      <c r="B416" s="1" t="s">
        <v>496</v>
      </c>
      <c r="C416" s="1" t="s">
        <v>829</v>
      </c>
      <c r="D416" s="10">
        <v>3</v>
      </c>
      <c r="E416" s="10">
        <v>2013</v>
      </c>
      <c r="F416" s="9" t="s">
        <v>38</v>
      </c>
      <c r="G416" s="9" t="s">
        <v>29</v>
      </c>
      <c r="H416" s="1">
        <v>72.599999999999994</v>
      </c>
      <c r="I416" s="1">
        <v>0.7</v>
      </c>
      <c r="J416" s="9" t="s">
        <v>43</v>
      </c>
      <c r="K416" s="1">
        <v>0</v>
      </c>
      <c r="L416" s="10">
        <v>327</v>
      </c>
      <c r="M416" s="3">
        <v>0.25</v>
      </c>
      <c r="N416" s="11">
        <v>2.6960314417177919E-3</v>
      </c>
      <c r="O416">
        <v>2729</v>
      </c>
      <c r="P416" s="11">
        <v>0.25541281188299542</v>
      </c>
      <c r="Q416" s="11">
        <v>3.08641975308642E-3</v>
      </c>
      <c r="R416">
        <v>0.2503629309991352</v>
      </c>
      <c r="S416">
        <v>2.694987080346331E-3</v>
      </c>
      <c r="T416" s="9" t="s">
        <v>40</v>
      </c>
      <c r="U416" s="9" t="s">
        <v>50</v>
      </c>
      <c r="V416" s="9" t="s">
        <v>305</v>
      </c>
      <c r="W416" s="9" t="s">
        <v>894</v>
      </c>
      <c r="X416" s="1" t="s">
        <v>31</v>
      </c>
      <c r="Y416" s="1" t="s">
        <v>31</v>
      </c>
      <c r="Z416" s="3" t="s">
        <v>31</v>
      </c>
      <c r="AA416" s="11" t="s">
        <v>31</v>
      </c>
      <c r="AB416" s="11" t="s">
        <v>31</v>
      </c>
      <c r="AC416" s="10">
        <v>0</v>
      </c>
      <c r="AD416" s="9" t="s">
        <v>41</v>
      </c>
      <c r="AE416" s="9" t="s">
        <v>35</v>
      </c>
    </row>
    <row r="417" spans="1:31" x14ac:dyDescent="0.25">
      <c r="A417" s="9" t="s">
        <v>259</v>
      </c>
      <c r="B417" s="1" t="s">
        <v>496</v>
      </c>
      <c r="C417" s="1" t="s">
        <v>830</v>
      </c>
      <c r="D417" s="10">
        <v>3</v>
      </c>
      <c r="E417" s="10">
        <v>2013</v>
      </c>
      <c r="F417" s="9" t="s">
        <v>38</v>
      </c>
      <c r="G417" s="9" t="s">
        <v>29</v>
      </c>
      <c r="H417" s="1">
        <v>72.47</v>
      </c>
      <c r="I417" s="1">
        <v>0.73</v>
      </c>
      <c r="J417" s="9" t="s">
        <v>39</v>
      </c>
      <c r="K417" s="1">
        <v>1</v>
      </c>
      <c r="L417" s="10">
        <v>293</v>
      </c>
      <c r="M417" s="3">
        <v>0.14000000000000001</v>
      </c>
      <c r="N417" s="11">
        <v>3.291726575342466E-3</v>
      </c>
      <c r="O417">
        <v>2729</v>
      </c>
      <c r="P417" s="11">
        <v>0.14092557607049391</v>
      </c>
      <c r="Q417" s="11">
        <v>3.4482758620689659E-3</v>
      </c>
      <c r="R417">
        <v>0.14023763567282899</v>
      </c>
      <c r="S417">
        <v>3.291279404176057E-3</v>
      </c>
      <c r="T417" s="9" t="s">
        <v>40</v>
      </c>
      <c r="U417" s="9" t="s">
        <v>50</v>
      </c>
      <c r="V417" s="9" t="s">
        <v>305</v>
      </c>
      <c r="W417" s="9" t="s">
        <v>895</v>
      </c>
      <c r="X417" s="1" t="s">
        <v>31</v>
      </c>
      <c r="Y417" s="1" t="s">
        <v>31</v>
      </c>
      <c r="Z417" s="3" t="s">
        <v>31</v>
      </c>
      <c r="AA417" s="11" t="s">
        <v>31</v>
      </c>
      <c r="AB417" s="11" t="s">
        <v>31</v>
      </c>
      <c r="AC417" s="10">
        <v>0</v>
      </c>
      <c r="AD417" s="9" t="s">
        <v>41</v>
      </c>
      <c r="AE417" s="9" t="s">
        <v>35</v>
      </c>
    </row>
    <row r="418" spans="1:31" x14ac:dyDescent="0.25">
      <c r="A418" s="9" t="s">
        <v>259</v>
      </c>
      <c r="B418" s="1" t="s">
        <v>496</v>
      </c>
      <c r="C418" s="1" t="s">
        <v>831</v>
      </c>
      <c r="D418" s="10">
        <v>3</v>
      </c>
      <c r="E418" s="10">
        <v>2013</v>
      </c>
      <c r="F418" s="9" t="s">
        <v>38</v>
      </c>
      <c r="G418" s="9" t="s">
        <v>29</v>
      </c>
      <c r="H418" s="1">
        <v>72.599999999999994</v>
      </c>
      <c r="I418" s="1">
        <v>0.7</v>
      </c>
      <c r="J418" s="9" t="s">
        <v>43</v>
      </c>
      <c r="K418" s="1">
        <v>0</v>
      </c>
      <c r="L418" s="10">
        <v>327</v>
      </c>
      <c r="M418" s="3">
        <v>0.18</v>
      </c>
      <c r="N418" s="11">
        <v>2.8719317791411039E-3</v>
      </c>
      <c r="O418">
        <v>2729</v>
      </c>
      <c r="P418" s="11">
        <v>0.18198268860070571</v>
      </c>
      <c r="Q418" s="11">
        <v>3.08641975308642E-3</v>
      </c>
      <c r="R418">
        <v>0.18026975699350381</v>
      </c>
      <c r="S418">
        <v>2.8713548971734701E-3</v>
      </c>
      <c r="T418" s="9" t="s">
        <v>40</v>
      </c>
      <c r="U418" s="9" t="s">
        <v>50</v>
      </c>
      <c r="V418" s="9" t="s">
        <v>305</v>
      </c>
      <c r="W418" s="9" t="s">
        <v>895</v>
      </c>
      <c r="X418" s="1" t="s">
        <v>31</v>
      </c>
      <c r="Y418" s="1" t="s">
        <v>31</v>
      </c>
      <c r="Z418" s="3" t="s">
        <v>31</v>
      </c>
      <c r="AA418" s="11" t="s">
        <v>31</v>
      </c>
      <c r="AB418" s="11" t="s">
        <v>31</v>
      </c>
      <c r="AC418" s="10">
        <v>0</v>
      </c>
      <c r="AD418" s="9" t="s">
        <v>41</v>
      </c>
      <c r="AE418" s="9" t="s">
        <v>35</v>
      </c>
    </row>
    <row r="419" spans="1:31" x14ac:dyDescent="0.25">
      <c r="A419" s="9" t="s">
        <v>259</v>
      </c>
      <c r="B419" s="1" t="s">
        <v>496</v>
      </c>
      <c r="C419" s="1" t="s">
        <v>832</v>
      </c>
      <c r="D419" s="10">
        <v>3</v>
      </c>
      <c r="E419" s="10">
        <v>2013</v>
      </c>
      <c r="F419" s="9" t="s">
        <v>38</v>
      </c>
      <c r="G419" s="9" t="s">
        <v>29</v>
      </c>
      <c r="H419" s="1">
        <v>72.47</v>
      </c>
      <c r="I419" s="1">
        <v>0.73</v>
      </c>
      <c r="J419" s="9" t="s">
        <v>39</v>
      </c>
      <c r="K419" s="1">
        <v>1</v>
      </c>
      <c r="L419" s="10">
        <v>293</v>
      </c>
      <c r="M419" s="3">
        <v>0.22</v>
      </c>
      <c r="N419" s="11">
        <v>3.101173150684932E-3</v>
      </c>
      <c r="O419">
        <v>2729</v>
      </c>
      <c r="P419" s="11">
        <v>0.22365610902183239</v>
      </c>
      <c r="Q419" s="11">
        <v>3.4482758620689659E-3</v>
      </c>
      <c r="R419">
        <v>0.22036237597578531</v>
      </c>
      <c r="S419">
        <v>3.100133147268268E-3</v>
      </c>
      <c r="T419" s="9" t="s">
        <v>40</v>
      </c>
      <c r="U419" s="9" t="s">
        <v>50</v>
      </c>
      <c r="V419" s="9" t="s">
        <v>305</v>
      </c>
      <c r="W419" s="9" t="s">
        <v>876</v>
      </c>
      <c r="X419" s="1" t="s">
        <v>31</v>
      </c>
      <c r="Y419" s="1" t="s">
        <v>31</v>
      </c>
      <c r="Z419" s="3" t="s">
        <v>31</v>
      </c>
      <c r="AA419" s="11" t="s">
        <v>31</v>
      </c>
      <c r="AB419" s="11" t="s">
        <v>31</v>
      </c>
      <c r="AC419" s="10">
        <v>0</v>
      </c>
      <c r="AD419" s="9" t="s">
        <v>41</v>
      </c>
      <c r="AE419" s="9" t="s">
        <v>35</v>
      </c>
    </row>
    <row r="420" spans="1:31" x14ac:dyDescent="0.25">
      <c r="A420" s="9" t="s">
        <v>259</v>
      </c>
      <c r="B420" s="1" t="s">
        <v>496</v>
      </c>
      <c r="C420" s="1" t="s">
        <v>833</v>
      </c>
      <c r="D420" s="10">
        <v>3</v>
      </c>
      <c r="E420" s="10">
        <v>2013</v>
      </c>
      <c r="F420" s="9" t="s">
        <v>38</v>
      </c>
      <c r="G420" s="9" t="s">
        <v>29</v>
      </c>
      <c r="H420" s="1">
        <v>72.599999999999994</v>
      </c>
      <c r="I420" s="1">
        <v>0.7</v>
      </c>
      <c r="J420" s="9" t="s">
        <v>43</v>
      </c>
      <c r="K420" s="1">
        <v>0</v>
      </c>
      <c r="L420" s="10">
        <v>327</v>
      </c>
      <c r="M420" s="3">
        <v>0.33</v>
      </c>
      <c r="N420" s="11">
        <v>2.4357644478527609E-3</v>
      </c>
      <c r="O420">
        <v>2729</v>
      </c>
      <c r="P420" s="11">
        <v>0.34282825441539388</v>
      </c>
      <c r="Q420" s="11">
        <v>3.08641975308642E-3</v>
      </c>
      <c r="R420">
        <v>0.3304552103312518</v>
      </c>
      <c r="S420">
        <v>2.4341211319764832E-3</v>
      </c>
      <c r="T420" s="9" t="s">
        <v>40</v>
      </c>
      <c r="U420" s="9" t="s">
        <v>50</v>
      </c>
      <c r="V420" s="9" t="s">
        <v>305</v>
      </c>
      <c r="W420" s="9" t="s">
        <v>876</v>
      </c>
      <c r="X420" s="1" t="s">
        <v>31</v>
      </c>
      <c r="Y420" s="1" t="s">
        <v>31</v>
      </c>
      <c r="Z420" s="3" t="s">
        <v>31</v>
      </c>
      <c r="AA420" s="11" t="s">
        <v>31</v>
      </c>
      <c r="AB420" s="11" t="s">
        <v>31</v>
      </c>
      <c r="AC420" s="10">
        <v>0</v>
      </c>
      <c r="AD420" s="9" t="s">
        <v>41</v>
      </c>
      <c r="AE420" s="9" t="s">
        <v>35</v>
      </c>
    </row>
    <row r="421" spans="1:31" x14ac:dyDescent="0.25">
      <c r="A421" s="9" t="s">
        <v>259</v>
      </c>
      <c r="B421" s="1" t="s">
        <v>496</v>
      </c>
      <c r="C421" s="1" t="s">
        <v>834</v>
      </c>
      <c r="D421" s="10">
        <v>3</v>
      </c>
      <c r="E421" s="10">
        <v>2013</v>
      </c>
      <c r="F421" s="9" t="s">
        <v>38</v>
      </c>
      <c r="G421" s="9" t="s">
        <v>29</v>
      </c>
      <c r="H421" s="1">
        <v>72.47</v>
      </c>
      <c r="I421" s="1">
        <v>0.73</v>
      </c>
      <c r="J421" s="9" t="s">
        <v>39</v>
      </c>
      <c r="K421" s="1">
        <v>1</v>
      </c>
      <c r="L421" s="10">
        <v>293</v>
      </c>
      <c r="M421" s="3">
        <v>0.17</v>
      </c>
      <c r="N421" s="11">
        <v>3.2295726369863009E-3</v>
      </c>
      <c r="O421">
        <v>2729</v>
      </c>
      <c r="P421" s="11">
        <v>0.1716666635005791</v>
      </c>
      <c r="Q421" s="11">
        <v>3.4482758620689659E-3</v>
      </c>
      <c r="R421">
        <v>0.17028579953376641</v>
      </c>
      <c r="S421">
        <v>3.228925800226577E-3</v>
      </c>
      <c r="T421" s="9" t="s">
        <v>40</v>
      </c>
      <c r="U421" s="9" t="s">
        <v>50</v>
      </c>
      <c r="V421" s="9" t="s">
        <v>305</v>
      </c>
      <c r="W421" s="9" t="s">
        <v>896</v>
      </c>
      <c r="X421" s="1" t="s">
        <v>31</v>
      </c>
      <c r="Y421" s="1" t="s">
        <v>31</v>
      </c>
      <c r="Z421" s="3" t="s">
        <v>31</v>
      </c>
      <c r="AA421" s="11" t="s">
        <v>31</v>
      </c>
      <c r="AB421" s="11" t="s">
        <v>31</v>
      </c>
      <c r="AC421" s="10">
        <v>0</v>
      </c>
      <c r="AD421" s="9" t="s">
        <v>41</v>
      </c>
      <c r="AE421" s="9" t="s">
        <v>35</v>
      </c>
    </row>
    <row r="422" spans="1:31" x14ac:dyDescent="0.25">
      <c r="A422" s="9" t="s">
        <v>259</v>
      </c>
      <c r="B422" s="1" t="s">
        <v>496</v>
      </c>
      <c r="C422" s="1" t="s">
        <v>835</v>
      </c>
      <c r="D422" s="10">
        <v>3</v>
      </c>
      <c r="E422" s="10">
        <v>2013</v>
      </c>
      <c r="F422" s="9" t="s">
        <v>38</v>
      </c>
      <c r="G422" s="9" t="s">
        <v>29</v>
      </c>
      <c r="H422" s="1">
        <v>72.599999999999994</v>
      </c>
      <c r="I422" s="1">
        <v>0.7</v>
      </c>
      <c r="J422" s="9" t="s">
        <v>43</v>
      </c>
      <c r="K422" s="1">
        <v>0</v>
      </c>
      <c r="L422" s="10">
        <v>327</v>
      </c>
      <c r="M422" s="3">
        <v>0.34</v>
      </c>
      <c r="N422" s="11">
        <v>2.399274110429448E-3</v>
      </c>
      <c r="O422">
        <v>2729</v>
      </c>
      <c r="P422" s="11">
        <v>0.35409252896224302</v>
      </c>
      <c r="Q422" s="11">
        <v>3.08641975308642E-3</v>
      </c>
      <c r="R422">
        <v>0.34046545641502768</v>
      </c>
      <c r="S422">
        <v>2.3975559312189058E-3</v>
      </c>
      <c r="T422" s="9" t="s">
        <v>40</v>
      </c>
      <c r="U422" s="9" t="s">
        <v>50</v>
      </c>
      <c r="V422" s="9" t="s">
        <v>305</v>
      </c>
      <c r="W422" s="9" t="s">
        <v>896</v>
      </c>
      <c r="X422" s="1" t="s">
        <v>31</v>
      </c>
      <c r="Y422" s="1" t="s">
        <v>31</v>
      </c>
      <c r="Z422" s="3" t="s">
        <v>31</v>
      </c>
      <c r="AA422" s="11" t="s">
        <v>31</v>
      </c>
      <c r="AB422" s="11" t="s">
        <v>31</v>
      </c>
      <c r="AC422" s="10">
        <v>0</v>
      </c>
      <c r="AD422" s="9" t="s">
        <v>41</v>
      </c>
      <c r="AE422" s="9" t="s">
        <v>35</v>
      </c>
    </row>
    <row r="423" spans="1:31" x14ac:dyDescent="0.25">
      <c r="A423" s="9" t="s">
        <v>551</v>
      </c>
      <c r="B423" s="1" t="s">
        <v>995</v>
      </c>
      <c r="C423" s="1" t="s">
        <v>836</v>
      </c>
      <c r="D423" s="10">
        <v>3</v>
      </c>
      <c r="E423" s="10">
        <v>2013</v>
      </c>
      <c r="F423" s="9" t="s">
        <v>28</v>
      </c>
      <c r="G423" s="9" t="s">
        <v>54</v>
      </c>
      <c r="H423" s="1">
        <v>14.6</v>
      </c>
      <c r="I423" s="1">
        <v>4.2</v>
      </c>
      <c r="J423" s="9" t="s">
        <v>30</v>
      </c>
      <c r="K423" s="1">
        <v>0.49</v>
      </c>
      <c r="L423" s="10">
        <v>108</v>
      </c>
      <c r="M423" s="3">
        <v>0.21</v>
      </c>
      <c r="N423" s="11">
        <v>8.5396711214953264E-3</v>
      </c>
      <c r="O423">
        <v>696</v>
      </c>
      <c r="P423" s="11">
        <v>0.21317134656485981</v>
      </c>
      <c r="Q423" s="11">
        <v>9.5238095238095247E-3</v>
      </c>
      <c r="R423">
        <v>0.2109664599496914</v>
      </c>
      <c r="S423">
        <v>8.5324034112372396E-3</v>
      </c>
      <c r="T423" s="9" t="s">
        <v>40</v>
      </c>
      <c r="U423" s="9" t="s">
        <v>50</v>
      </c>
      <c r="V423" s="9" t="s">
        <v>305</v>
      </c>
      <c r="W423" s="9" t="s">
        <v>396</v>
      </c>
      <c r="X423" s="1">
        <v>18.7</v>
      </c>
      <c r="Y423" s="1">
        <v>15</v>
      </c>
      <c r="Z423" s="3">
        <f t="shared" si="13"/>
        <v>1.2466666666666666</v>
      </c>
      <c r="AA423" s="11">
        <v>0.16978944583346761</v>
      </c>
      <c r="AB423" s="11">
        <v>7.8006031045540963E-2</v>
      </c>
      <c r="AC423" s="10">
        <v>0</v>
      </c>
      <c r="AD423" s="9" t="s">
        <v>41</v>
      </c>
      <c r="AE423" s="9" t="s">
        <v>35</v>
      </c>
    </row>
    <row r="424" spans="1:31" x14ac:dyDescent="0.25">
      <c r="A424" s="9" t="s">
        <v>551</v>
      </c>
      <c r="B424" s="1" t="s">
        <v>994</v>
      </c>
      <c r="C424" s="1" t="s">
        <v>837</v>
      </c>
      <c r="D424" s="10">
        <v>3</v>
      </c>
      <c r="E424" s="10">
        <v>2013</v>
      </c>
      <c r="F424" s="9" t="s">
        <v>38</v>
      </c>
      <c r="G424" s="9" t="s">
        <v>54</v>
      </c>
      <c r="H424" s="1">
        <v>14.9</v>
      </c>
      <c r="I424" s="1">
        <v>3.2</v>
      </c>
      <c r="J424" s="9" t="s">
        <v>30</v>
      </c>
      <c r="K424" s="1">
        <v>0.53</v>
      </c>
      <c r="L424" s="10">
        <v>36</v>
      </c>
      <c r="M424" s="3">
        <v>0.3</v>
      </c>
      <c r="N424" s="11">
        <v>2.366E-2</v>
      </c>
      <c r="O424">
        <v>696</v>
      </c>
      <c r="P424" s="11">
        <v>0.30951960420311181</v>
      </c>
      <c r="Q424" s="11">
        <v>3.03030303030303E-2</v>
      </c>
      <c r="R424">
        <v>0.3042697123088357</v>
      </c>
      <c r="S424">
        <v>2.3526027184300729E-2</v>
      </c>
      <c r="T424" s="9" t="s">
        <v>40</v>
      </c>
      <c r="U424" s="9" t="s">
        <v>50</v>
      </c>
      <c r="V424" s="9" t="s">
        <v>305</v>
      </c>
      <c r="W424" s="9" t="s">
        <v>396</v>
      </c>
      <c r="X424" s="1">
        <v>15.1</v>
      </c>
      <c r="Y424" s="1">
        <v>15</v>
      </c>
      <c r="Z424" s="3">
        <f t="shared" si="13"/>
        <v>1.0066666666666666</v>
      </c>
      <c r="AA424" s="11">
        <v>0.29819043857244709</v>
      </c>
      <c r="AB424" s="11">
        <v>0.16280584444002899</v>
      </c>
      <c r="AC424" s="10">
        <v>0</v>
      </c>
      <c r="AD424" s="9" t="s">
        <v>41</v>
      </c>
      <c r="AE424" s="9" t="s">
        <v>35</v>
      </c>
    </row>
    <row r="425" spans="1:31" x14ac:dyDescent="0.25">
      <c r="A425" s="9" t="s">
        <v>551</v>
      </c>
      <c r="B425" s="1" t="s">
        <v>995</v>
      </c>
      <c r="C425" s="1" t="s">
        <v>838</v>
      </c>
      <c r="D425" s="10">
        <v>3</v>
      </c>
      <c r="E425" s="10">
        <v>2013</v>
      </c>
      <c r="F425" s="9" t="s">
        <v>28</v>
      </c>
      <c r="G425" s="9" t="s">
        <v>54</v>
      </c>
      <c r="H425" s="1">
        <v>14.6</v>
      </c>
      <c r="I425" s="1">
        <v>4.2</v>
      </c>
      <c r="J425" s="9" t="s">
        <v>30</v>
      </c>
      <c r="K425" s="1">
        <v>0.49</v>
      </c>
      <c r="L425" s="10">
        <v>108</v>
      </c>
      <c r="M425" s="3">
        <v>0.09</v>
      </c>
      <c r="N425" s="11">
        <v>9.1950057009345804E-3</v>
      </c>
      <c r="O425">
        <v>696</v>
      </c>
      <c r="P425" s="11">
        <v>9.024418785614681E-2</v>
      </c>
      <c r="Q425" s="11">
        <v>9.5238095238095247E-3</v>
      </c>
      <c r="R425">
        <v>9.0430137306691874E-2</v>
      </c>
      <c r="S425">
        <v>9.1935668582648223E-3</v>
      </c>
      <c r="T425" s="9" t="s">
        <v>40</v>
      </c>
      <c r="U425" s="9" t="s">
        <v>50</v>
      </c>
      <c r="V425" s="9" t="s">
        <v>305</v>
      </c>
      <c r="W425" s="9" t="s">
        <v>897</v>
      </c>
      <c r="X425" s="1">
        <v>16.3</v>
      </c>
      <c r="Y425" s="1">
        <v>15</v>
      </c>
      <c r="Z425" s="3">
        <f t="shared" si="13"/>
        <v>1.0866666666666667</v>
      </c>
      <c r="AA425" s="11">
        <v>8.2873504218203539E-2</v>
      </c>
      <c r="AB425" s="11">
        <v>8.9185301250763016E-2</v>
      </c>
      <c r="AC425" s="10">
        <v>0</v>
      </c>
      <c r="AD425" s="9" t="s">
        <v>41</v>
      </c>
      <c r="AE425" s="9" t="s">
        <v>35</v>
      </c>
    </row>
    <row r="426" spans="1:31" x14ac:dyDescent="0.25">
      <c r="A426" s="9" t="s">
        <v>551</v>
      </c>
      <c r="B426" s="1" t="s">
        <v>994</v>
      </c>
      <c r="C426" s="1" t="s">
        <v>839</v>
      </c>
      <c r="D426" s="10">
        <v>3</v>
      </c>
      <c r="E426" s="10">
        <v>2013</v>
      </c>
      <c r="F426" s="9" t="s">
        <v>38</v>
      </c>
      <c r="G426" s="9" t="s">
        <v>54</v>
      </c>
      <c r="H426" s="1">
        <v>14.9</v>
      </c>
      <c r="I426" s="1">
        <v>3.2</v>
      </c>
      <c r="J426" s="9" t="s">
        <v>30</v>
      </c>
      <c r="K426" s="1">
        <v>0.53</v>
      </c>
      <c r="L426" s="10">
        <v>36</v>
      </c>
      <c r="M426" s="3">
        <v>-0.12</v>
      </c>
      <c r="N426" s="11">
        <v>2.7754496E-2</v>
      </c>
      <c r="O426">
        <v>696</v>
      </c>
      <c r="P426" s="11">
        <v>-0.1205810284084441</v>
      </c>
      <c r="Q426" s="11">
        <v>3.03030303030303E-2</v>
      </c>
      <c r="R426">
        <v>-0.1218601957242859</v>
      </c>
      <c r="S426">
        <v>2.7729163004084411E-2</v>
      </c>
      <c r="T426" s="9" t="s">
        <v>40</v>
      </c>
      <c r="U426" s="9" t="s">
        <v>50</v>
      </c>
      <c r="V426" s="9" t="s">
        <v>305</v>
      </c>
      <c r="W426" s="9" t="s">
        <v>897</v>
      </c>
      <c r="X426" s="1">
        <v>12.6</v>
      </c>
      <c r="Y426" s="1">
        <v>15</v>
      </c>
      <c r="Z426" s="3">
        <f t="shared" si="13"/>
        <v>0.84</v>
      </c>
      <c r="AA426" s="11">
        <v>-0.14242991252936241</v>
      </c>
      <c r="AB426" s="11">
        <v>0.2008765984342242</v>
      </c>
      <c r="AC426" s="10">
        <v>0</v>
      </c>
      <c r="AD426" s="9" t="s">
        <v>41</v>
      </c>
      <c r="AE426" s="9" t="s">
        <v>35</v>
      </c>
    </row>
    <row r="427" spans="1:31" x14ac:dyDescent="0.25">
      <c r="A427" s="9" t="s">
        <v>552</v>
      </c>
      <c r="B427" s="1" t="s">
        <v>997</v>
      </c>
      <c r="C427" s="1" t="s">
        <v>840</v>
      </c>
      <c r="D427" s="10">
        <v>3</v>
      </c>
      <c r="E427" s="10">
        <v>2014</v>
      </c>
      <c r="F427" s="9" t="s">
        <v>28</v>
      </c>
      <c r="G427" s="9" t="s">
        <v>29</v>
      </c>
      <c r="H427" s="1">
        <v>20.3</v>
      </c>
      <c r="I427" s="1">
        <v>0.99</v>
      </c>
      <c r="J427" s="9" t="s">
        <v>30</v>
      </c>
      <c r="K427" s="1">
        <v>0.41</v>
      </c>
      <c r="L427" s="10">
        <v>43</v>
      </c>
      <c r="M427" s="3">
        <v>0.47799999999999998</v>
      </c>
      <c r="N427" s="11">
        <v>1.417230805371429E-2</v>
      </c>
      <c r="O427">
        <v>584</v>
      </c>
      <c r="P427" s="11">
        <v>0.52038875681275421</v>
      </c>
      <c r="Q427" s="11">
        <v>2.5000000000000001E-2</v>
      </c>
      <c r="R427">
        <v>0.4826934041306099</v>
      </c>
      <c r="S427">
        <v>1.400713945480947E-2</v>
      </c>
      <c r="T427" s="9" t="s">
        <v>40</v>
      </c>
      <c r="U427" s="9" t="s">
        <v>46</v>
      </c>
      <c r="V427" s="9" t="s">
        <v>305</v>
      </c>
      <c r="W427" s="9" t="s">
        <v>398</v>
      </c>
      <c r="X427" s="1">
        <v>16.04</v>
      </c>
      <c r="Y427" s="1">
        <v>15</v>
      </c>
      <c r="Z427" s="3">
        <f t="shared" si="13"/>
        <v>1.0693333333333332</v>
      </c>
      <c r="AA427" s="11">
        <v>0.45355610088531612</v>
      </c>
      <c r="AB427" s="11">
        <v>0.13400348695592221</v>
      </c>
      <c r="AC427" s="10">
        <v>2</v>
      </c>
      <c r="AD427" s="9" t="s">
        <v>41</v>
      </c>
      <c r="AE427" s="9" t="s">
        <v>35</v>
      </c>
    </row>
    <row r="428" spans="1:31" x14ac:dyDescent="0.25">
      <c r="A428" s="9" t="s">
        <v>552</v>
      </c>
      <c r="B428" s="1" t="s">
        <v>997</v>
      </c>
      <c r="C428" s="1" t="s">
        <v>841</v>
      </c>
      <c r="D428" s="10">
        <v>3</v>
      </c>
      <c r="E428" s="10">
        <v>2014</v>
      </c>
      <c r="F428" s="9" t="s">
        <v>28</v>
      </c>
      <c r="G428" s="9" t="s">
        <v>29</v>
      </c>
      <c r="H428" s="1">
        <v>20.3</v>
      </c>
      <c r="I428" s="1">
        <v>0.99</v>
      </c>
      <c r="J428" s="9" t="s">
        <v>30</v>
      </c>
      <c r="K428" s="1">
        <v>0.41</v>
      </c>
      <c r="L428" s="10">
        <v>43</v>
      </c>
      <c r="M428" s="3">
        <v>0.48</v>
      </c>
      <c r="N428" s="11">
        <v>1.4102003809523809E-2</v>
      </c>
      <c r="O428">
        <v>584</v>
      </c>
      <c r="P428" s="11">
        <v>0.5229842775913438</v>
      </c>
      <c r="Q428" s="11">
        <v>2.5000000000000001E-2</v>
      </c>
      <c r="R428">
        <v>0.4847008094763362</v>
      </c>
      <c r="S428">
        <v>1.3936301093799289E-2</v>
      </c>
      <c r="T428" s="9" t="s">
        <v>40</v>
      </c>
      <c r="U428" s="9" t="s">
        <v>46</v>
      </c>
      <c r="V428" s="9" t="s">
        <v>305</v>
      </c>
      <c r="W428" s="9" t="s">
        <v>980</v>
      </c>
      <c r="X428" s="1" t="s">
        <v>31</v>
      </c>
      <c r="Y428" s="1" t="s">
        <v>31</v>
      </c>
      <c r="Z428" s="3" t="s">
        <v>31</v>
      </c>
      <c r="AA428" s="11" t="s">
        <v>31</v>
      </c>
      <c r="AB428" s="11" t="s">
        <v>31</v>
      </c>
      <c r="AC428" s="10">
        <v>2</v>
      </c>
      <c r="AD428" s="9" t="s">
        <v>41</v>
      </c>
      <c r="AE428" s="9" t="s">
        <v>35</v>
      </c>
    </row>
    <row r="429" spans="1:31" x14ac:dyDescent="0.25">
      <c r="A429" s="9" t="s">
        <v>555</v>
      </c>
      <c r="B429" s="1" t="s">
        <v>498</v>
      </c>
      <c r="C429" s="1" t="s">
        <v>842</v>
      </c>
      <c r="D429" s="10">
        <v>3</v>
      </c>
      <c r="E429" s="10">
        <v>2014</v>
      </c>
      <c r="F429" s="9" t="s">
        <v>38</v>
      </c>
      <c r="G429" s="9" t="s">
        <v>54</v>
      </c>
      <c r="H429" s="1">
        <v>11.6</v>
      </c>
      <c r="I429" s="1">
        <v>3.6</v>
      </c>
      <c r="J429" s="9" t="s">
        <v>43</v>
      </c>
      <c r="K429" s="1">
        <v>1</v>
      </c>
      <c r="L429" s="10">
        <v>142</v>
      </c>
      <c r="M429" s="3">
        <v>0.28899999999999998</v>
      </c>
      <c r="N429" s="11">
        <v>5.95697700312766E-3</v>
      </c>
      <c r="O429">
        <v>57</v>
      </c>
      <c r="P429" s="11">
        <v>0.29747478656797322</v>
      </c>
      <c r="Q429" s="11">
        <v>7.1942446043165471E-3</v>
      </c>
      <c r="R429">
        <v>0.28996005287484822</v>
      </c>
      <c r="S429">
        <v>5.9497535404045548E-3</v>
      </c>
      <c r="T429" s="9" t="s">
        <v>40</v>
      </c>
      <c r="U429" s="9" t="s">
        <v>50</v>
      </c>
      <c r="V429" s="9" t="s">
        <v>305</v>
      </c>
      <c r="W429" s="9" t="s">
        <v>390</v>
      </c>
      <c r="X429" s="1">
        <v>12.78</v>
      </c>
      <c r="Y429" s="1">
        <v>15</v>
      </c>
      <c r="Z429" s="3">
        <f t="shared" si="13"/>
        <v>0.85199999999999998</v>
      </c>
      <c r="AA429" s="11">
        <v>0.33397646301028672</v>
      </c>
      <c r="AB429" s="11">
        <v>9.0642209929603104E-2</v>
      </c>
      <c r="AC429" s="10">
        <v>0</v>
      </c>
      <c r="AD429" s="9" t="s">
        <v>34</v>
      </c>
      <c r="AE429" s="9" t="s">
        <v>35</v>
      </c>
    </row>
    <row r="430" spans="1:31" x14ac:dyDescent="0.25">
      <c r="A430" s="9" t="s">
        <v>555</v>
      </c>
      <c r="B430" s="1" t="s">
        <v>499</v>
      </c>
      <c r="C430" s="1" t="s">
        <v>1069</v>
      </c>
      <c r="D430" s="10">
        <v>3</v>
      </c>
      <c r="E430" s="10">
        <v>2014</v>
      </c>
      <c r="F430" s="9" t="s">
        <v>38</v>
      </c>
      <c r="G430" s="9" t="s">
        <v>54</v>
      </c>
      <c r="H430" s="1">
        <v>11.3</v>
      </c>
      <c r="I430" s="1">
        <v>3.5</v>
      </c>
      <c r="J430" s="9" t="s">
        <v>39</v>
      </c>
      <c r="K430" s="1">
        <v>0</v>
      </c>
      <c r="L430" s="10">
        <v>161</v>
      </c>
      <c r="M430" s="3">
        <v>0.185</v>
      </c>
      <c r="N430" s="11">
        <v>5.8295084414062507E-3</v>
      </c>
      <c r="O430">
        <v>57</v>
      </c>
      <c r="P430" s="11">
        <v>0.1871549701641845</v>
      </c>
      <c r="Q430" s="11">
        <v>6.3291139240506328E-3</v>
      </c>
      <c r="R430">
        <v>0.18556962770336599</v>
      </c>
      <c r="S430">
        <v>5.8269604413566656E-3</v>
      </c>
      <c r="T430" s="9" t="s">
        <v>40</v>
      </c>
      <c r="U430" s="9" t="s">
        <v>50</v>
      </c>
      <c r="V430" s="9" t="s">
        <v>305</v>
      </c>
      <c r="W430" s="9" t="s">
        <v>390</v>
      </c>
      <c r="X430" s="1">
        <v>12.58</v>
      </c>
      <c r="Y430" s="1">
        <v>15</v>
      </c>
      <c r="Z430" s="3">
        <f t="shared" si="13"/>
        <v>0.83866666666666667</v>
      </c>
      <c r="AA430" s="11">
        <v>0.21901326102191501</v>
      </c>
      <c r="AB430" s="11">
        <v>9.095241422887286E-2</v>
      </c>
      <c r="AC430" s="10">
        <v>0</v>
      </c>
      <c r="AD430" s="9" t="s">
        <v>34</v>
      </c>
      <c r="AE430" s="9" t="s">
        <v>35</v>
      </c>
    </row>
    <row r="431" spans="1:31" x14ac:dyDescent="0.25">
      <c r="A431" s="9" t="s">
        <v>559</v>
      </c>
      <c r="B431" s="1" t="s">
        <v>731</v>
      </c>
      <c r="C431" s="1" t="s">
        <v>1070</v>
      </c>
      <c r="D431" s="10">
        <v>3</v>
      </c>
      <c r="E431" s="10">
        <v>2015</v>
      </c>
      <c r="F431" s="9" t="s">
        <v>38</v>
      </c>
      <c r="G431" s="9" t="s">
        <v>29</v>
      </c>
      <c r="H431" s="1">
        <v>26.2</v>
      </c>
      <c r="I431" s="1">
        <v>5</v>
      </c>
      <c r="J431" s="9" t="s">
        <v>30</v>
      </c>
      <c r="K431" s="1">
        <v>0.51</v>
      </c>
      <c r="L431" s="10">
        <v>285</v>
      </c>
      <c r="M431" s="3">
        <v>0.3</v>
      </c>
      <c r="N431" s="11">
        <v>2.9158450704225348E-3</v>
      </c>
      <c r="O431">
        <v>1415</v>
      </c>
      <c r="P431" s="11">
        <v>0.30951960420311181</v>
      </c>
      <c r="Q431" s="11">
        <v>3.5460992907801422E-3</v>
      </c>
      <c r="R431">
        <v>0.30048584401700218</v>
      </c>
      <c r="S431">
        <v>2.9139757529798218E-3</v>
      </c>
      <c r="T431" s="9" t="s">
        <v>40</v>
      </c>
      <c r="U431" s="9" t="s">
        <v>50</v>
      </c>
      <c r="V431" s="9" t="s">
        <v>305</v>
      </c>
      <c r="W431" s="9" t="s">
        <v>399</v>
      </c>
      <c r="X431" s="1">
        <v>13.18</v>
      </c>
      <c r="Y431" s="1">
        <v>15</v>
      </c>
      <c r="Z431" s="3">
        <f t="shared" si="13"/>
        <v>0.8786666666666666</v>
      </c>
      <c r="AA431" s="11">
        <v>0.33697865964584273</v>
      </c>
      <c r="AB431" s="11">
        <v>6.2046774868319943E-2</v>
      </c>
      <c r="AC431" s="10">
        <v>2</v>
      </c>
      <c r="AD431" s="9" t="s">
        <v>34</v>
      </c>
      <c r="AE431" s="9" t="s">
        <v>35</v>
      </c>
    </row>
    <row r="432" spans="1:31" x14ac:dyDescent="0.25">
      <c r="A432" s="9" t="s">
        <v>559</v>
      </c>
      <c r="B432" s="1" t="s">
        <v>733</v>
      </c>
      <c r="C432" s="1" t="s">
        <v>1071</v>
      </c>
      <c r="D432" s="10">
        <v>3</v>
      </c>
      <c r="E432" s="10">
        <v>2015</v>
      </c>
      <c r="F432" s="9" t="s">
        <v>38</v>
      </c>
      <c r="G432" s="9" t="s">
        <v>29</v>
      </c>
      <c r="H432" s="1">
        <v>21.7</v>
      </c>
      <c r="I432" s="1">
        <v>2.9</v>
      </c>
      <c r="J432" s="9" t="s">
        <v>30</v>
      </c>
      <c r="K432" s="1">
        <v>0.54</v>
      </c>
      <c r="L432" s="10">
        <v>125</v>
      </c>
      <c r="M432" s="3">
        <v>0.04</v>
      </c>
      <c r="N432" s="11">
        <v>8.0387303225806436E-3</v>
      </c>
      <c r="O432">
        <v>1415</v>
      </c>
      <c r="P432" s="11">
        <v>4.0021353836768282E-2</v>
      </c>
      <c r="Q432" s="11">
        <v>8.1967213114754103E-3</v>
      </c>
      <c r="R432">
        <v>4.0165359331861453E-2</v>
      </c>
      <c r="S432">
        <v>8.0385168581830462E-3</v>
      </c>
      <c r="T432" s="9" t="s">
        <v>40</v>
      </c>
      <c r="U432" s="9" t="s">
        <v>50</v>
      </c>
      <c r="V432" s="9" t="s">
        <v>305</v>
      </c>
      <c r="W432" s="9" t="s">
        <v>390</v>
      </c>
      <c r="X432" s="1">
        <v>13.76</v>
      </c>
      <c r="Y432" s="1">
        <v>15</v>
      </c>
      <c r="Z432" s="3">
        <f t="shared" si="13"/>
        <v>0.91733333333333333</v>
      </c>
      <c r="AA432" s="11">
        <v>4.3598082176507041E-2</v>
      </c>
      <c r="AB432" s="11">
        <v>9.8169428573993994E-2</v>
      </c>
      <c r="AC432" s="10">
        <v>2</v>
      </c>
      <c r="AD432" s="9" t="s">
        <v>34</v>
      </c>
      <c r="AE432" s="9" t="s">
        <v>35</v>
      </c>
    </row>
    <row r="433" spans="1:31" x14ac:dyDescent="0.25">
      <c r="A433" s="9" t="s">
        <v>559</v>
      </c>
      <c r="B433" s="1" t="s">
        <v>732</v>
      </c>
      <c r="C433" s="1" t="s">
        <v>1072</v>
      </c>
      <c r="D433" s="10">
        <v>3</v>
      </c>
      <c r="E433" s="10">
        <v>2015</v>
      </c>
      <c r="F433" s="9" t="s">
        <v>38</v>
      </c>
      <c r="G433" s="9" t="s">
        <v>29</v>
      </c>
      <c r="H433" s="1">
        <v>23.5</v>
      </c>
      <c r="I433" s="1">
        <v>5.0999999999999996</v>
      </c>
      <c r="J433" s="9" t="s">
        <v>43</v>
      </c>
      <c r="K433" s="1">
        <v>1</v>
      </c>
      <c r="L433" s="10">
        <v>107</v>
      </c>
      <c r="M433" s="3">
        <v>0.04</v>
      </c>
      <c r="N433" s="11">
        <v>9.4037977358490555E-3</v>
      </c>
      <c r="O433">
        <v>1415</v>
      </c>
      <c r="P433" s="11">
        <v>4.0021353836768282E-2</v>
      </c>
      <c r="Q433" s="11">
        <v>9.6153846153846159E-3</v>
      </c>
      <c r="R433">
        <v>4.0194325391971548E-2</v>
      </c>
      <c r="S433">
        <v>9.403504174750596E-3</v>
      </c>
      <c r="T433" s="9" t="s">
        <v>40</v>
      </c>
      <c r="U433" s="9" t="s">
        <v>50</v>
      </c>
      <c r="V433" s="9" t="s">
        <v>305</v>
      </c>
      <c r="W433" s="9" t="s">
        <v>400</v>
      </c>
      <c r="X433" s="1">
        <v>12.76</v>
      </c>
      <c r="Y433" s="1">
        <v>15</v>
      </c>
      <c r="Z433" s="3">
        <f t="shared" si="13"/>
        <v>0.85066666666666668</v>
      </c>
      <c r="AA433" s="11">
        <v>4.7007583465407843E-2</v>
      </c>
      <c r="AB433" s="11">
        <v>0.1145249921895217</v>
      </c>
      <c r="AC433" s="10">
        <v>2</v>
      </c>
      <c r="AD433" s="9" t="s">
        <v>34</v>
      </c>
      <c r="AE433" s="9" t="s">
        <v>35</v>
      </c>
    </row>
    <row r="434" spans="1:31" x14ac:dyDescent="0.25">
      <c r="A434" s="9" t="s">
        <v>560</v>
      </c>
      <c r="B434" s="1" t="s">
        <v>735</v>
      </c>
      <c r="C434" s="1" t="s">
        <v>1073</v>
      </c>
      <c r="D434" s="10">
        <v>3</v>
      </c>
      <c r="E434" s="10">
        <v>2015</v>
      </c>
      <c r="F434" s="9" t="s">
        <v>28</v>
      </c>
      <c r="G434" s="9" t="s">
        <v>54</v>
      </c>
      <c r="H434" s="1">
        <v>16.600000000000001</v>
      </c>
      <c r="I434" s="1" t="s">
        <v>31</v>
      </c>
      <c r="J434" s="9" t="s">
        <v>30</v>
      </c>
      <c r="K434" s="1">
        <v>0.88</v>
      </c>
      <c r="L434" s="10">
        <v>241</v>
      </c>
      <c r="M434" s="3">
        <v>0.17</v>
      </c>
      <c r="N434" s="11">
        <v>3.9293133749999992E-3</v>
      </c>
      <c r="O434">
        <v>131</v>
      </c>
      <c r="P434" s="11">
        <v>0.1716666635005791</v>
      </c>
      <c r="Q434" s="11">
        <v>4.2016806722689074E-3</v>
      </c>
      <c r="R434">
        <v>0.17034855496539519</v>
      </c>
      <c r="S434">
        <v>3.9283534189160727E-3</v>
      </c>
      <c r="T434" s="9" t="s">
        <v>40</v>
      </c>
      <c r="U434" s="9" t="s">
        <v>50</v>
      </c>
      <c r="V434" s="9" t="s">
        <v>305</v>
      </c>
      <c r="W434" s="9" t="s">
        <v>309</v>
      </c>
      <c r="X434" s="1">
        <v>17</v>
      </c>
      <c r="Y434" s="1">
        <v>15</v>
      </c>
      <c r="Z434" s="3">
        <f t="shared" si="13"/>
        <v>1.1333333333333333</v>
      </c>
      <c r="AA434" s="11">
        <v>0.15048231635721149</v>
      </c>
      <c r="AB434" s="11">
        <v>5.6788185201559302E-2</v>
      </c>
      <c r="AC434" s="10">
        <v>0</v>
      </c>
      <c r="AD434" s="9" t="s">
        <v>41</v>
      </c>
      <c r="AE434" s="9" t="s">
        <v>35</v>
      </c>
    </row>
    <row r="435" spans="1:31" x14ac:dyDescent="0.25">
      <c r="A435" s="9" t="s">
        <v>560</v>
      </c>
      <c r="B435" s="1" t="s">
        <v>734</v>
      </c>
      <c r="C435" s="1" t="s">
        <v>1074</v>
      </c>
      <c r="D435" s="10">
        <v>3</v>
      </c>
      <c r="E435" s="10">
        <v>2015</v>
      </c>
      <c r="F435" s="9" t="s">
        <v>38</v>
      </c>
      <c r="G435" s="9" t="s">
        <v>54</v>
      </c>
      <c r="H435" s="1">
        <v>17</v>
      </c>
      <c r="I435" s="1" t="s">
        <v>31</v>
      </c>
      <c r="J435" s="9" t="s">
        <v>30</v>
      </c>
      <c r="K435" s="1">
        <v>0.83</v>
      </c>
      <c r="L435" s="10">
        <v>297</v>
      </c>
      <c r="M435" s="3">
        <v>0.18</v>
      </c>
      <c r="N435" s="11">
        <v>3.1630059459459461E-3</v>
      </c>
      <c r="O435">
        <v>131</v>
      </c>
      <c r="P435" s="11">
        <v>0.18198268860070571</v>
      </c>
      <c r="Q435" s="11">
        <v>3.4013605442176869E-3</v>
      </c>
      <c r="R435">
        <v>0.18029739367304939</v>
      </c>
      <c r="S435">
        <v>3.1623054543286479E-3</v>
      </c>
      <c r="T435" s="9" t="s">
        <v>40</v>
      </c>
      <c r="U435" s="9" t="s">
        <v>50</v>
      </c>
      <c r="V435" s="9" t="s">
        <v>305</v>
      </c>
      <c r="W435" s="9" t="s">
        <v>309</v>
      </c>
      <c r="X435" s="1">
        <v>13</v>
      </c>
      <c r="Y435" s="1">
        <v>15</v>
      </c>
      <c r="Z435" s="3">
        <f t="shared" si="13"/>
        <v>0.8666666666666667</v>
      </c>
      <c r="AA435" s="11">
        <v>0.20658630325414429</v>
      </c>
      <c r="AB435" s="11">
        <v>6.5032158019425704E-2</v>
      </c>
      <c r="AC435" s="10">
        <v>0</v>
      </c>
      <c r="AD435" s="9" t="s">
        <v>41</v>
      </c>
      <c r="AE435" s="9" t="s">
        <v>35</v>
      </c>
    </row>
    <row r="436" spans="1:31" x14ac:dyDescent="0.25">
      <c r="A436" s="9" t="s">
        <v>563</v>
      </c>
      <c r="B436" s="1" t="s">
        <v>738</v>
      </c>
      <c r="C436" s="1" t="s">
        <v>1075</v>
      </c>
      <c r="D436" s="10">
        <v>3</v>
      </c>
      <c r="E436" s="10">
        <v>2016</v>
      </c>
      <c r="F436" s="9" t="s">
        <v>28</v>
      </c>
      <c r="G436" s="9" t="s">
        <v>29</v>
      </c>
      <c r="H436" s="1">
        <v>25.1</v>
      </c>
      <c r="I436" s="1">
        <v>12.05</v>
      </c>
      <c r="J436" s="9" t="s">
        <v>62</v>
      </c>
      <c r="K436" s="1">
        <v>0.67</v>
      </c>
      <c r="L436" s="10">
        <v>30</v>
      </c>
      <c r="M436" s="3">
        <v>0.72</v>
      </c>
      <c r="N436" s="11">
        <v>7.9978813793103454E-3</v>
      </c>
      <c r="O436">
        <v>90</v>
      </c>
      <c r="P436" s="11">
        <v>0.90764498331912447</v>
      </c>
      <c r="Q436" s="11">
        <v>3.7037037037037042E-2</v>
      </c>
      <c r="R436">
        <v>0.726431048501744</v>
      </c>
      <c r="S436">
        <v>7.6919081502320437E-3</v>
      </c>
      <c r="T436" s="9" t="s">
        <v>40</v>
      </c>
      <c r="U436" s="9" t="s">
        <v>46</v>
      </c>
      <c r="V436" s="9" t="s">
        <v>305</v>
      </c>
      <c r="W436" s="9" t="s">
        <v>390</v>
      </c>
      <c r="X436" s="1">
        <v>24.45</v>
      </c>
      <c r="Y436" s="1">
        <v>15</v>
      </c>
      <c r="Z436" s="3">
        <f t="shared" si="13"/>
        <v>1.63</v>
      </c>
      <c r="AA436" s="11">
        <v>0.5369602246313584</v>
      </c>
      <c r="AB436" s="11">
        <v>0.1445334244014819</v>
      </c>
      <c r="AC436" s="10">
        <v>2</v>
      </c>
      <c r="AD436" s="9" t="s">
        <v>41</v>
      </c>
      <c r="AE436" s="9" t="s">
        <v>35</v>
      </c>
    </row>
    <row r="437" spans="1:31" x14ac:dyDescent="0.25">
      <c r="A437" s="9" t="s">
        <v>564</v>
      </c>
      <c r="B437" s="1" t="s">
        <v>739</v>
      </c>
      <c r="C437" s="1" t="s">
        <v>1076</v>
      </c>
      <c r="D437" s="10">
        <v>3</v>
      </c>
      <c r="E437" s="10">
        <v>2016</v>
      </c>
      <c r="F437" s="9" t="s">
        <v>38</v>
      </c>
      <c r="G437" s="9" t="s">
        <v>29</v>
      </c>
      <c r="H437" s="1">
        <v>32.700000000000003</v>
      </c>
      <c r="I437" s="1">
        <v>13.6</v>
      </c>
      <c r="J437" s="9" t="s">
        <v>30</v>
      </c>
      <c r="K437" s="1">
        <v>0.42</v>
      </c>
      <c r="L437" s="10">
        <v>164</v>
      </c>
      <c r="M437" s="3">
        <v>0.31</v>
      </c>
      <c r="N437" s="11">
        <v>5.0124859509202459E-3</v>
      </c>
      <c r="O437">
        <v>1049</v>
      </c>
      <c r="P437" s="11">
        <v>0.32054540930194608</v>
      </c>
      <c r="Q437" s="11">
        <v>6.2111801242236021E-3</v>
      </c>
      <c r="R437">
        <v>0.31087581927823649</v>
      </c>
      <c r="S437">
        <v>5.0064568664093499E-3</v>
      </c>
      <c r="T437" s="9" t="s">
        <v>40</v>
      </c>
      <c r="U437" s="9" t="s">
        <v>50</v>
      </c>
      <c r="V437" s="9" t="s">
        <v>305</v>
      </c>
      <c r="W437" s="9" t="s">
        <v>894</v>
      </c>
      <c r="X437" s="1">
        <v>14.5</v>
      </c>
      <c r="Y437" s="1">
        <v>15</v>
      </c>
      <c r="Z437" s="3">
        <f t="shared" si="13"/>
        <v>0.96666666666666667</v>
      </c>
      <c r="AA437" s="11">
        <v>0.31961406914378981</v>
      </c>
      <c r="AB437" s="11">
        <v>7.6497766594252156E-2</v>
      </c>
      <c r="AC437" s="10">
        <v>0</v>
      </c>
      <c r="AD437" s="9" t="s">
        <v>41</v>
      </c>
      <c r="AE437" s="9" t="s">
        <v>35</v>
      </c>
    </row>
    <row r="438" spans="1:31" x14ac:dyDescent="0.25">
      <c r="A438" s="9" t="s">
        <v>564</v>
      </c>
      <c r="B438" s="1" t="s">
        <v>739</v>
      </c>
      <c r="C438" s="1" t="s">
        <v>1077</v>
      </c>
      <c r="D438" s="10">
        <v>3</v>
      </c>
      <c r="E438" s="10">
        <v>2016</v>
      </c>
      <c r="F438" s="9" t="s">
        <v>38</v>
      </c>
      <c r="G438" s="9" t="s">
        <v>29</v>
      </c>
      <c r="H438" s="1">
        <v>32.700000000000003</v>
      </c>
      <c r="I438" s="1">
        <v>13.6</v>
      </c>
      <c r="J438" s="9" t="s">
        <v>30</v>
      </c>
      <c r="K438" s="1">
        <v>0.42</v>
      </c>
      <c r="L438" s="10">
        <v>164</v>
      </c>
      <c r="M438" s="3">
        <v>0.12</v>
      </c>
      <c r="N438" s="11">
        <v>5.9595543558282208E-3</v>
      </c>
      <c r="O438">
        <v>1049</v>
      </c>
      <c r="P438" s="11">
        <v>0.1205810284084441</v>
      </c>
      <c r="Q438" s="11">
        <v>6.2111801242236021E-3</v>
      </c>
      <c r="R438">
        <v>0.12037009976858699</v>
      </c>
      <c r="S438">
        <v>5.9584785776189749E-3</v>
      </c>
      <c r="T438" s="9" t="s">
        <v>40</v>
      </c>
      <c r="U438" s="9" t="s">
        <v>50</v>
      </c>
      <c r="V438" s="9" t="s">
        <v>305</v>
      </c>
      <c r="W438" s="9" t="s">
        <v>876</v>
      </c>
      <c r="X438" s="1">
        <v>16</v>
      </c>
      <c r="Y438" s="1">
        <v>15</v>
      </c>
      <c r="Z438" s="3">
        <f t="shared" si="13"/>
        <v>1.0666666666666667</v>
      </c>
      <c r="AA438" s="11">
        <v>0.11259821440220399</v>
      </c>
      <c r="AB438" s="11">
        <v>7.3316387781808073E-2</v>
      </c>
      <c r="AC438" s="10">
        <v>0</v>
      </c>
      <c r="AD438" s="9" t="s">
        <v>41</v>
      </c>
      <c r="AE438" s="9" t="s">
        <v>35</v>
      </c>
    </row>
    <row r="439" spans="1:31" x14ac:dyDescent="0.25">
      <c r="A439" s="9" t="s">
        <v>871</v>
      </c>
      <c r="B439" s="1" t="s">
        <v>1064</v>
      </c>
      <c r="C439" s="1" t="s">
        <v>1078</v>
      </c>
      <c r="D439" s="10">
        <v>3</v>
      </c>
      <c r="E439" s="10">
        <v>2016</v>
      </c>
      <c r="F439" s="9" t="s">
        <v>38</v>
      </c>
      <c r="G439" s="9" t="s">
        <v>29</v>
      </c>
      <c r="H439" s="1">
        <v>45.1</v>
      </c>
      <c r="I439" s="1">
        <v>3.9</v>
      </c>
      <c r="J439" s="9" t="s">
        <v>30</v>
      </c>
      <c r="K439" s="1">
        <v>0.49</v>
      </c>
      <c r="L439" s="10">
        <v>73</v>
      </c>
      <c r="M439" s="3">
        <v>0.33100000000000002</v>
      </c>
      <c r="N439" s="11">
        <v>1.1012244621125E-2</v>
      </c>
      <c r="O439">
        <v>380</v>
      </c>
      <c r="P439" s="11">
        <v>0.34395087913344158</v>
      </c>
      <c r="Q439" s="11">
        <v>1.428571428571429E-2</v>
      </c>
      <c r="R439">
        <v>0.33313560384818502</v>
      </c>
      <c r="S439">
        <v>1.0977190982041999E-2</v>
      </c>
      <c r="T439" s="9" t="s">
        <v>40</v>
      </c>
      <c r="U439" s="9" t="s">
        <v>46</v>
      </c>
      <c r="V439" s="9" t="s">
        <v>305</v>
      </c>
      <c r="W439" s="9" t="s">
        <v>894</v>
      </c>
      <c r="X439" s="1" t="s">
        <v>31</v>
      </c>
      <c r="Y439" s="1" t="s">
        <v>31</v>
      </c>
      <c r="Z439" s="3" t="s">
        <v>31</v>
      </c>
      <c r="AA439" s="11" t="s">
        <v>31</v>
      </c>
      <c r="AB439" s="11" t="s">
        <v>31</v>
      </c>
      <c r="AC439" s="10">
        <v>0</v>
      </c>
      <c r="AD439" s="9" t="s">
        <v>34</v>
      </c>
      <c r="AE439" s="9" t="s">
        <v>35</v>
      </c>
    </row>
    <row r="440" spans="1:31" x14ac:dyDescent="0.25">
      <c r="A440" s="9" t="s">
        <v>566</v>
      </c>
      <c r="B440" s="1" t="s">
        <v>741</v>
      </c>
      <c r="C440" s="1" t="s">
        <v>1079</v>
      </c>
      <c r="D440" s="10">
        <v>3</v>
      </c>
      <c r="E440" s="10">
        <v>2016</v>
      </c>
      <c r="F440" s="9" t="s">
        <v>28</v>
      </c>
      <c r="G440" s="9" t="s">
        <v>54</v>
      </c>
      <c r="H440" s="1">
        <v>7.5</v>
      </c>
      <c r="I440" s="1">
        <v>0.2</v>
      </c>
      <c r="J440" s="9" t="s">
        <v>30</v>
      </c>
      <c r="K440" s="1">
        <v>0.5</v>
      </c>
      <c r="L440" s="10">
        <v>134</v>
      </c>
      <c r="M440" s="3">
        <v>0.31</v>
      </c>
      <c r="N440" s="11">
        <v>6.143121879699248E-3</v>
      </c>
      <c r="O440" t="s">
        <v>267</v>
      </c>
      <c r="P440" s="11">
        <v>0.32054540930194608</v>
      </c>
      <c r="Q440" s="11">
        <v>7.6335877862595417E-3</v>
      </c>
      <c r="R440">
        <v>0.3110779720253522</v>
      </c>
      <c r="S440">
        <v>6.1340250201284653E-3</v>
      </c>
      <c r="T440" s="9" t="s">
        <v>40</v>
      </c>
      <c r="U440" s="9" t="s">
        <v>46</v>
      </c>
      <c r="V440" s="9" t="s">
        <v>305</v>
      </c>
      <c r="W440" s="9" t="s">
        <v>390</v>
      </c>
      <c r="X440" s="1" t="s">
        <v>31</v>
      </c>
      <c r="Y440" s="1" t="s">
        <v>31</v>
      </c>
      <c r="Z440" s="3" t="s">
        <v>31</v>
      </c>
      <c r="AA440" s="11" t="s">
        <v>31</v>
      </c>
      <c r="AB440" s="11" t="s">
        <v>31</v>
      </c>
      <c r="AC440" s="10">
        <v>2</v>
      </c>
      <c r="AD440" s="9" t="s">
        <v>41</v>
      </c>
      <c r="AE440" s="9" t="s">
        <v>35</v>
      </c>
    </row>
    <row r="441" spans="1:31" x14ac:dyDescent="0.25">
      <c r="A441" s="9" t="s">
        <v>570</v>
      </c>
      <c r="B441" s="1" t="s">
        <v>1005</v>
      </c>
      <c r="C441" s="1" t="s">
        <v>1080</v>
      </c>
      <c r="D441" s="10">
        <v>3</v>
      </c>
      <c r="E441" s="10">
        <v>2017</v>
      </c>
      <c r="F441" s="9" t="s">
        <v>38</v>
      </c>
      <c r="G441" s="9" t="s">
        <v>54</v>
      </c>
      <c r="H441" s="1">
        <v>9.1999999999999993</v>
      </c>
      <c r="I441" s="1">
        <v>0.5</v>
      </c>
      <c r="J441" s="9" t="s">
        <v>30</v>
      </c>
      <c r="K441" s="1">
        <v>0.46</v>
      </c>
      <c r="L441" s="10">
        <v>46</v>
      </c>
      <c r="M441" s="3">
        <v>0.77</v>
      </c>
      <c r="N441" s="11">
        <v>3.682898E-3</v>
      </c>
      <c r="O441">
        <v>1322</v>
      </c>
      <c r="P441" s="11">
        <v>1.02032775832234</v>
      </c>
      <c r="Q441" s="11">
        <v>2.3255813953488368E-2</v>
      </c>
      <c r="R441">
        <v>0.77363569599691184</v>
      </c>
      <c r="S441">
        <v>3.5820546995941381E-3</v>
      </c>
      <c r="T441" s="9" t="s">
        <v>40</v>
      </c>
      <c r="U441" s="9" t="s">
        <v>50</v>
      </c>
      <c r="V441" s="9" t="s">
        <v>305</v>
      </c>
      <c r="W441" s="9" t="s">
        <v>898</v>
      </c>
      <c r="X441" s="1" t="s">
        <v>31</v>
      </c>
      <c r="Y441" s="1" t="s">
        <v>31</v>
      </c>
      <c r="Z441" s="3" t="s">
        <v>31</v>
      </c>
      <c r="AA441" s="11" t="s">
        <v>31</v>
      </c>
      <c r="AB441" s="11" t="s">
        <v>31</v>
      </c>
      <c r="AC441" s="10">
        <v>0</v>
      </c>
      <c r="AD441" s="9" t="s">
        <v>41</v>
      </c>
      <c r="AE441" s="9" t="s">
        <v>35</v>
      </c>
    </row>
    <row r="442" spans="1:31" x14ac:dyDescent="0.25">
      <c r="A442" s="9" t="s">
        <v>570</v>
      </c>
      <c r="B442" s="1" t="s">
        <v>1005</v>
      </c>
      <c r="C442" s="1" t="s">
        <v>1081</v>
      </c>
      <c r="D442" s="10">
        <v>3</v>
      </c>
      <c r="E442" s="10">
        <v>2017</v>
      </c>
      <c r="F442" s="9" t="s">
        <v>38</v>
      </c>
      <c r="G442" s="9" t="s">
        <v>54</v>
      </c>
      <c r="H442" s="1">
        <v>9.1999999999999993</v>
      </c>
      <c r="I442" s="1">
        <v>0.5</v>
      </c>
      <c r="J442" s="9" t="s">
        <v>30</v>
      </c>
      <c r="K442" s="1">
        <v>0.46</v>
      </c>
      <c r="L442" s="10">
        <v>46</v>
      </c>
      <c r="M442" s="3">
        <v>0.24</v>
      </c>
      <c r="N442" s="11">
        <v>1.9735950222222218E-2</v>
      </c>
      <c r="O442">
        <v>1322</v>
      </c>
      <c r="P442" s="11">
        <v>0.24477411265935289</v>
      </c>
      <c r="Q442" s="11">
        <v>2.3255813953488368E-2</v>
      </c>
      <c r="R442">
        <v>0.2426996675729505</v>
      </c>
      <c r="S442">
        <v>1.968140713963426E-2</v>
      </c>
      <c r="T442" s="9" t="s">
        <v>40</v>
      </c>
      <c r="U442" s="9" t="s">
        <v>50</v>
      </c>
      <c r="V442" s="9" t="s">
        <v>305</v>
      </c>
      <c r="W442" s="9" t="s">
        <v>899</v>
      </c>
      <c r="X442" s="1" t="s">
        <v>31</v>
      </c>
      <c r="Y442" s="1" t="s">
        <v>31</v>
      </c>
      <c r="Z442" s="3" t="s">
        <v>31</v>
      </c>
      <c r="AA442" s="11" t="s">
        <v>31</v>
      </c>
      <c r="AB442" s="11" t="s">
        <v>31</v>
      </c>
      <c r="AC442" s="10">
        <v>0</v>
      </c>
      <c r="AD442" s="9" t="s">
        <v>41</v>
      </c>
      <c r="AE442" s="9" t="s">
        <v>35</v>
      </c>
    </row>
    <row r="443" spans="1:31" x14ac:dyDescent="0.25">
      <c r="A443" s="9" t="s">
        <v>570</v>
      </c>
      <c r="B443" s="1" t="s">
        <v>1005</v>
      </c>
      <c r="C443" s="1" t="s">
        <v>1082</v>
      </c>
      <c r="D443" s="10">
        <v>3</v>
      </c>
      <c r="E443" s="10">
        <v>2017</v>
      </c>
      <c r="F443" s="9" t="s">
        <v>38</v>
      </c>
      <c r="G443" s="9" t="s">
        <v>54</v>
      </c>
      <c r="H443" s="1">
        <v>9.1999999999999993</v>
      </c>
      <c r="I443" s="1">
        <v>0.5</v>
      </c>
      <c r="J443" s="9" t="s">
        <v>30</v>
      </c>
      <c r="K443" s="1">
        <v>0.46</v>
      </c>
      <c r="L443" s="10">
        <v>46</v>
      </c>
      <c r="M443" s="3">
        <v>0.04</v>
      </c>
      <c r="N443" s="11">
        <v>2.2151167999999999E-2</v>
      </c>
      <c r="O443">
        <v>1322</v>
      </c>
      <c r="P443" s="11">
        <v>4.0021353836768282E-2</v>
      </c>
      <c r="Q443" s="11">
        <v>2.3255813953488368E-2</v>
      </c>
      <c r="R443">
        <v>4.0478181222209531E-2</v>
      </c>
      <c r="S443">
        <v>2.2149460407042972E-2</v>
      </c>
      <c r="T443" s="9" t="s">
        <v>40</v>
      </c>
      <c r="U443" s="9" t="s">
        <v>50</v>
      </c>
      <c r="V443" s="9" t="s">
        <v>305</v>
      </c>
      <c r="W443" s="9" t="s">
        <v>394</v>
      </c>
      <c r="X443" s="1" t="s">
        <v>31</v>
      </c>
      <c r="Y443" s="1" t="s">
        <v>31</v>
      </c>
      <c r="Z443" s="3" t="s">
        <v>31</v>
      </c>
      <c r="AA443" s="11" t="s">
        <v>31</v>
      </c>
      <c r="AB443" s="11" t="s">
        <v>31</v>
      </c>
      <c r="AC443" s="10">
        <v>0</v>
      </c>
      <c r="AD443" s="9" t="s">
        <v>41</v>
      </c>
      <c r="AE443" s="9" t="s">
        <v>35</v>
      </c>
    </row>
    <row r="444" spans="1:31" x14ac:dyDescent="0.25">
      <c r="A444" s="9" t="s">
        <v>570</v>
      </c>
      <c r="B444" s="1" t="s">
        <v>741</v>
      </c>
      <c r="C444" s="1" t="s">
        <v>1083</v>
      </c>
      <c r="D444" s="10">
        <v>3</v>
      </c>
      <c r="E444" s="10">
        <v>2017</v>
      </c>
      <c r="F444" s="9" t="s">
        <v>38</v>
      </c>
      <c r="G444" s="9" t="s">
        <v>54</v>
      </c>
      <c r="H444" s="1">
        <v>9.1999999999999993</v>
      </c>
      <c r="I444" s="1">
        <v>0.5</v>
      </c>
      <c r="J444" s="9" t="s">
        <v>30</v>
      </c>
      <c r="K444" s="1">
        <v>0.46</v>
      </c>
      <c r="L444" s="10">
        <v>46</v>
      </c>
      <c r="M444" s="3">
        <v>0.04</v>
      </c>
      <c r="N444" s="11">
        <v>2.2151167999999999E-2</v>
      </c>
      <c r="O444">
        <v>1322</v>
      </c>
      <c r="P444" s="11">
        <v>4.0021353836768282E-2</v>
      </c>
      <c r="Q444" s="11">
        <v>2.3255813953488368E-2</v>
      </c>
      <c r="R444">
        <v>4.0478181222209531E-2</v>
      </c>
      <c r="S444">
        <v>2.2149460407042972E-2</v>
      </c>
      <c r="T444" s="9" t="s">
        <v>40</v>
      </c>
      <c r="U444" s="9" t="s">
        <v>50</v>
      </c>
      <c r="V444" s="9" t="s">
        <v>305</v>
      </c>
      <c r="W444" s="9" t="s">
        <v>900</v>
      </c>
      <c r="X444" s="1" t="s">
        <v>31</v>
      </c>
      <c r="Y444" s="1" t="s">
        <v>31</v>
      </c>
      <c r="Z444" s="3" t="s">
        <v>31</v>
      </c>
      <c r="AA444" s="11" t="s">
        <v>31</v>
      </c>
      <c r="AB444" s="11" t="s">
        <v>31</v>
      </c>
      <c r="AC444" s="10">
        <v>0</v>
      </c>
      <c r="AD444" s="9" t="s">
        <v>41</v>
      </c>
      <c r="AE444" s="9" t="s">
        <v>35</v>
      </c>
    </row>
    <row r="445" spans="1:31" x14ac:dyDescent="0.25">
      <c r="A445" s="9" t="s">
        <v>570</v>
      </c>
      <c r="B445" s="1" t="s">
        <v>1005</v>
      </c>
      <c r="C445" s="1" t="s">
        <v>1084</v>
      </c>
      <c r="D445" s="10">
        <v>3</v>
      </c>
      <c r="E445" s="10">
        <v>2017</v>
      </c>
      <c r="F445" s="9" t="s">
        <v>38</v>
      </c>
      <c r="G445" s="9" t="s">
        <v>54</v>
      </c>
      <c r="H445" s="1">
        <v>9.1999999999999993</v>
      </c>
      <c r="I445" s="1">
        <v>0.5</v>
      </c>
      <c r="J445" s="9" t="s">
        <v>30</v>
      </c>
      <c r="K445" s="1">
        <v>0.46</v>
      </c>
      <c r="L445" s="10">
        <v>46</v>
      </c>
      <c r="M445" s="3">
        <v>0.27</v>
      </c>
      <c r="N445" s="11">
        <v>1.910032022222222E-2</v>
      </c>
      <c r="O445">
        <v>1322</v>
      </c>
      <c r="P445" s="11">
        <v>0.27686382265510012</v>
      </c>
      <c r="Q445" s="11">
        <v>2.3255813953488368E-2</v>
      </c>
      <c r="R445">
        <v>0.2729852694282045</v>
      </c>
      <c r="S445">
        <v>1.903358796513388E-2</v>
      </c>
      <c r="T445" s="9" t="s">
        <v>40</v>
      </c>
      <c r="U445" s="9" t="s">
        <v>50</v>
      </c>
      <c r="V445" s="9" t="s">
        <v>305</v>
      </c>
      <c r="W445" s="9" t="s">
        <v>901</v>
      </c>
      <c r="X445" s="1" t="s">
        <v>31</v>
      </c>
      <c r="Y445" s="1" t="s">
        <v>31</v>
      </c>
      <c r="Z445" s="3" t="s">
        <v>31</v>
      </c>
      <c r="AA445" s="11" t="s">
        <v>31</v>
      </c>
      <c r="AB445" s="11" t="s">
        <v>31</v>
      </c>
      <c r="AC445" s="10">
        <v>0</v>
      </c>
      <c r="AD445" s="9" t="s">
        <v>41</v>
      </c>
      <c r="AE445" s="9" t="s">
        <v>35</v>
      </c>
    </row>
    <row r="446" spans="1:31" x14ac:dyDescent="0.25">
      <c r="A446" s="9" t="s">
        <v>855</v>
      </c>
      <c r="B446" s="1" t="s">
        <v>1065</v>
      </c>
      <c r="C446" s="1" t="s">
        <v>1085</v>
      </c>
      <c r="D446" s="10">
        <v>3</v>
      </c>
      <c r="E446" s="10">
        <v>2017</v>
      </c>
      <c r="F446" s="9" t="s">
        <v>38</v>
      </c>
      <c r="G446" s="9" t="s">
        <v>29</v>
      </c>
      <c r="H446" s="1">
        <v>19.600000000000001</v>
      </c>
      <c r="I446" s="1">
        <v>1.4</v>
      </c>
      <c r="J446" s="9" t="s">
        <v>39</v>
      </c>
      <c r="K446" s="1">
        <v>0</v>
      </c>
      <c r="L446" s="10">
        <v>40</v>
      </c>
      <c r="M446" s="3">
        <v>0.38600000000000001</v>
      </c>
      <c r="N446" s="11">
        <v>1.8569430974769228E-2</v>
      </c>
      <c r="O446">
        <v>239</v>
      </c>
      <c r="P446" s="11">
        <v>0.40709112580135298</v>
      </c>
      <c r="Q446" s="11">
        <v>2.7027027027027029E-2</v>
      </c>
      <c r="R446">
        <v>0.39054902122679319</v>
      </c>
      <c r="S446">
        <v>1.8415586639391589E-2</v>
      </c>
      <c r="T446" s="9" t="s">
        <v>40</v>
      </c>
      <c r="U446" s="9" t="s">
        <v>50</v>
      </c>
      <c r="V446" s="9" t="s">
        <v>314</v>
      </c>
      <c r="W446" s="9" t="s">
        <v>315</v>
      </c>
      <c r="X446" s="1" t="s">
        <v>31</v>
      </c>
      <c r="Y446" s="1" t="s">
        <v>31</v>
      </c>
      <c r="Z446" s="3" t="s">
        <v>31</v>
      </c>
      <c r="AA446" s="11" t="s">
        <v>31</v>
      </c>
      <c r="AB446" s="11" t="s">
        <v>31</v>
      </c>
      <c r="AC446" s="10">
        <v>0</v>
      </c>
      <c r="AD446" s="9" t="s">
        <v>41</v>
      </c>
      <c r="AE446" s="9" t="s">
        <v>35</v>
      </c>
    </row>
    <row r="447" spans="1:31" x14ac:dyDescent="0.25">
      <c r="A447" s="9" t="s">
        <v>855</v>
      </c>
      <c r="B447" s="1" t="s">
        <v>1066</v>
      </c>
      <c r="C447" s="1" t="s">
        <v>1086</v>
      </c>
      <c r="D447" s="10">
        <v>3</v>
      </c>
      <c r="E447" s="10">
        <v>2017</v>
      </c>
      <c r="F447" s="9" t="s">
        <v>38</v>
      </c>
      <c r="G447" s="9" t="s">
        <v>29</v>
      </c>
      <c r="H447" s="1">
        <v>20.2</v>
      </c>
      <c r="I447" s="1">
        <v>2</v>
      </c>
      <c r="J447" s="9" t="s">
        <v>43</v>
      </c>
      <c r="K447" s="1">
        <v>1</v>
      </c>
      <c r="L447" s="10">
        <v>40</v>
      </c>
      <c r="M447" s="3">
        <v>0.23699999999999999</v>
      </c>
      <c r="N447" s="11">
        <v>2.2841460424641032E-2</v>
      </c>
      <c r="O447">
        <v>239</v>
      </c>
      <c r="P447" s="11">
        <v>0.2415931705540155</v>
      </c>
      <c r="Q447" s="11">
        <v>2.7027027027027029E-2</v>
      </c>
      <c r="R447">
        <v>0.24011647768170249</v>
      </c>
      <c r="S447">
        <v>2.276954768542672E-2</v>
      </c>
      <c r="T447" s="9" t="s">
        <v>40</v>
      </c>
      <c r="U447" s="9" t="s">
        <v>50</v>
      </c>
      <c r="V447" s="9" t="s">
        <v>314</v>
      </c>
      <c r="W447" s="9" t="s">
        <v>315</v>
      </c>
      <c r="X447" s="1" t="s">
        <v>31</v>
      </c>
      <c r="Y447" s="1" t="s">
        <v>31</v>
      </c>
      <c r="Z447" s="3" t="s">
        <v>31</v>
      </c>
      <c r="AA447" s="11" t="s">
        <v>31</v>
      </c>
      <c r="AB447" s="11" t="s">
        <v>31</v>
      </c>
      <c r="AC447" s="10">
        <v>0</v>
      </c>
      <c r="AD447" s="9" t="s">
        <v>41</v>
      </c>
      <c r="AE447" s="9" t="s">
        <v>35</v>
      </c>
    </row>
    <row r="448" spans="1:31" x14ac:dyDescent="0.25">
      <c r="A448" s="9" t="s">
        <v>903</v>
      </c>
      <c r="B448" s="1" t="s">
        <v>280</v>
      </c>
      <c r="C448" s="1" t="s">
        <v>1087</v>
      </c>
      <c r="D448" s="10">
        <v>3</v>
      </c>
      <c r="E448" s="10">
        <v>2017</v>
      </c>
      <c r="F448" s="9" t="s">
        <v>38</v>
      </c>
      <c r="G448" s="9" t="s">
        <v>29</v>
      </c>
      <c r="H448" s="1">
        <v>92.1</v>
      </c>
      <c r="I448" s="1">
        <v>0.34</v>
      </c>
      <c r="J448" s="9" t="s">
        <v>30</v>
      </c>
      <c r="K448" s="1">
        <v>0.45</v>
      </c>
      <c r="L448" s="10">
        <v>34</v>
      </c>
      <c r="M448" s="3">
        <v>0.19</v>
      </c>
      <c r="N448" s="11">
        <v>2.8154642727272729E-2</v>
      </c>
      <c r="O448" t="s">
        <v>932</v>
      </c>
      <c r="P448" s="11">
        <v>0.1923371692195453</v>
      </c>
      <c r="Q448" s="11">
        <v>3.2258064516129031E-2</v>
      </c>
      <c r="R448">
        <v>0.1930684537112215</v>
      </c>
      <c r="S448">
        <v>2.8086018238853452E-2</v>
      </c>
      <c r="T448" s="9" t="s">
        <v>40</v>
      </c>
      <c r="U448" s="9" t="s">
        <v>50</v>
      </c>
      <c r="V448" s="9" t="s">
        <v>305</v>
      </c>
      <c r="W448" s="9" t="s">
        <v>876</v>
      </c>
      <c r="X448" s="1" t="s">
        <v>31</v>
      </c>
      <c r="Y448" s="1" t="s">
        <v>31</v>
      </c>
      <c r="Z448" s="3" t="s">
        <v>31</v>
      </c>
      <c r="AA448" s="11" t="s">
        <v>31</v>
      </c>
      <c r="AB448" s="11" t="s">
        <v>31</v>
      </c>
      <c r="AC448" s="10">
        <v>0</v>
      </c>
      <c r="AD448" s="9" t="s">
        <v>34</v>
      </c>
      <c r="AE448" s="9" t="s">
        <v>35</v>
      </c>
    </row>
    <row r="449" spans="1:31" x14ac:dyDescent="0.25">
      <c r="A449" s="9" t="s">
        <v>843</v>
      </c>
      <c r="B449" s="1" t="s">
        <v>1010</v>
      </c>
      <c r="C449" s="1" t="s">
        <v>1088</v>
      </c>
      <c r="D449" s="10">
        <v>3</v>
      </c>
      <c r="E449" s="10">
        <v>2018</v>
      </c>
      <c r="F449" s="9" t="s">
        <v>38</v>
      </c>
      <c r="G449" s="9" t="s">
        <v>29</v>
      </c>
      <c r="H449" s="1">
        <v>24.91</v>
      </c>
      <c r="I449" s="1">
        <v>5.61</v>
      </c>
      <c r="J449" s="9" t="s">
        <v>30</v>
      </c>
      <c r="K449" s="1">
        <v>0.59</v>
      </c>
      <c r="L449" s="10">
        <v>56</v>
      </c>
      <c r="M449" s="3">
        <v>0.186</v>
      </c>
      <c r="N449" s="11">
        <v>1.6945543331199998E-2</v>
      </c>
      <c r="O449" t="s">
        <v>63</v>
      </c>
      <c r="P449" s="11">
        <v>0.18819060677756519</v>
      </c>
      <c r="Q449" s="11">
        <v>1.886792452830189E-2</v>
      </c>
      <c r="R449">
        <v>0.18773211107618051</v>
      </c>
      <c r="S449">
        <v>1.6922825497197199E-2</v>
      </c>
      <c r="T449" s="9" t="s">
        <v>40</v>
      </c>
      <c r="U449" s="9" t="s">
        <v>50</v>
      </c>
      <c r="V449" s="9" t="s">
        <v>305</v>
      </c>
      <c r="W449" s="9" t="s">
        <v>846</v>
      </c>
      <c r="X449" s="1" t="s">
        <v>31</v>
      </c>
      <c r="Y449" s="1" t="s">
        <v>31</v>
      </c>
      <c r="Z449" s="3" t="s">
        <v>31</v>
      </c>
      <c r="AA449" s="11" t="s">
        <v>31</v>
      </c>
      <c r="AB449" s="11" t="s">
        <v>31</v>
      </c>
      <c r="AC449" s="10">
        <v>0</v>
      </c>
      <c r="AD449" s="9" t="s">
        <v>34</v>
      </c>
      <c r="AE449" s="9" t="s">
        <v>63</v>
      </c>
    </row>
    <row r="450" spans="1:31" x14ac:dyDescent="0.25">
      <c r="A450" s="9" t="s">
        <v>843</v>
      </c>
      <c r="B450" s="1" t="s">
        <v>1011</v>
      </c>
      <c r="C450" s="1" t="s">
        <v>1089</v>
      </c>
      <c r="D450" s="10">
        <v>3</v>
      </c>
      <c r="E450" s="10">
        <v>2018</v>
      </c>
      <c r="F450" s="9" t="s">
        <v>28</v>
      </c>
      <c r="G450" s="9" t="s">
        <v>29</v>
      </c>
      <c r="H450" s="1">
        <v>24.69</v>
      </c>
      <c r="I450" s="1">
        <v>5.93</v>
      </c>
      <c r="J450" s="9" t="s">
        <v>30</v>
      </c>
      <c r="K450" s="1">
        <v>0.57399999999999995</v>
      </c>
      <c r="L450" s="10">
        <v>54</v>
      </c>
      <c r="M450" s="3">
        <v>0.2</v>
      </c>
      <c r="N450" s="11">
        <v>1.738867924528302E-2</v>
      </c>
      <c r="O450" t="s">
        <v>63</v>
      </c>
      <c r="P450" s="11">
        <v>0.20273255405408211</v>
      </c>
      <c r="Q450" s="11">
        <v>1.9607843137254902E-2</v>
      </c>
      <c r="R450">
        <v>0.20192589207871461</v>
      </c>
      <c r="S450">
        <v>1.736064891822223E-2</v>
      </c>
      <c r="T450" s="9" t="s">
        <v>40</v>
      </c>
      <c r="U450" s="9" t="s">
        <v>50</v>
      </c>
      <c r="V450" s="9" t="s">
        <v>305</v>
      </c>
      <c r="W450" s="9" t="s">
        <v>846</v>
      </c>
      <c r="X450" s="1" t="s">
        <v>31</v>
      </c>
      <c r="Y450" s="1" t="s">
        <v>31</v>
      </c>
      <c r="Z450" s="3" t="s">
        <v>31</v>
      </c>
      <c r="AA450" s="11" t="s">
        <v>31</v>
      </c>
      <c r="AB450" s="11" t="s">
        <v>31</v>
      </c>
      <c r="AC450" s="10">
        <v>0</v>
      </c>
      <c r="AD450" s="9" t="s">
        <v>34</v>
      </c>
      <c r="AE450" s="9" t="s">
        <v>63</v>
      </c>
    </row>
    <row r="451" spans="1:31" x14ac:dyDescent="0.25">
      <c r="A451" s="9" t="s">
        <v>859</v>
      </c>
      <c r="B451" s="1" t="s">
        <v>1067</v>
      </c>
      <c r="C451" s="1" t="s">
        <v>1090</v>
      </c>
      <c r="D451" s="10">
        <v>3</v>
      </c>
      <c r="E451" s="10">
        <v>2018</v>
      </c>
      <c r="F451" s="9" t="s">
        <v>28</v>
      </c>
      <c r="G451" s="9" t="s">
        <v>29</v>
      </c>
      <c r="H451" s="1">
        <v>62.3</v>
      </c>
      <c r="I451" s="1">
        <v>5.5</v>
      </c>
      <c r="J451" s="9" t="s">
        <v>30</v>
      </c>
      <c r="K451" s="1">
        <v>0.33</v>
      </c>
      <c r="L451" s="10">
        <v>93</v>
      </c>
      <c r="M451" s="3">
        <v>0.08</v>
      </c>
      <c r="N451" s="11">
        <v>1.073088E-2</v>
      </c>
      <c r="O451">
        <v>1667</v>
      </c>
      <c r="P451" s="11">
        <v>8.0171325037589738E-2</v>
      </c>
      <c r="Q451" s="11">
        <v>1.111111111111111E-2</v>
      </c>
      <c r="R451">
        <v>8.0447734923262515E-2</v>
      </c>
      <c r="S451">
        <v>1.072932835412211E-2</v>
      </c>
      <c r="T451" s="9" t="s">
        <v>40</v>
      </c>
      <c r="U451" s="9" t="s">
        <v>50</v>
      </c>
      <c r="V451" s="9" t="s">
        <v>305</v>
      </c>
      <c r="W451" s="9" t="s">
        <v>902</v>
      </c>
      <c r="X451" s="1">
        <v>0.85</v>
      </c>
      <c r="Y451" s="1">
        <v>1</v>
      </c>
      <c r="Z451" s="3">
        <f t="shared" si="13"/>
        <v>0.85</v>
      </c>
      <c r="AA451" s="11">
        <v>9.4002183108550255E-2</v>
      </c>
      <c r="AB451" s="11">
        <v>0.1224804589497976</v>
      </c>
      <c r="AC451" s="10">
        <v>0</v>
      </c>
      <c r="AD451" s="9" t="s">
        <v>41</v>
      </c>
      <c r="AE451" s="9" t="s">
        <v>35</v>
      </c>
    </row>
    <row r="452" spans="1:31" x14ac:dyDescent="0.25">
      <c r="A452" s="9" t="s">
        <v>577</v>
      </c>
      <c r="B452" s="1" t="s">
        <v>1016</v>
      </c>
      <c r="C452" s="1" t="s">
        <v>1091</v>
      </c>
      <c r="D452" s="10">
        <v>3</v>
      </c>
      <c r="E452" s="10">
        <v>2018</v>
      </c>
      <c r="F452" s="9" t="s">
        <v>28</v>
      </c>
      <c r="G452" s="9" t="s">
        <v>29</v>
      </c>
      <c r="H452" s="1">
        <v>70.010000000000005</v>
      </c>
      <c r="I452" s="1">
        <v>9.75</v>
      </c>
      <c r="J452" s="9" t="s">
        <v>30</v>
      </c>
      <c r="K452" s="1">
        <v>0.65</v>
      </c>
      <c r="L452" s="10">
        <v>115</v>
      </c>
      <c r="M452" s="3">
        <v>0.27500000000000002</v>
      </c>
      <c r="N452" s="11">
        <v>7.4953433388157886E-3</v>
      </c>
      <c r="O452">
        <v>1660</v>
      </c>
      <c r="P452" s="11">
        <v>0.2822649013689259</v>
      </c>
      <c r="Q452" s="11">
        <v>8.9285714285714281E-3</v>
      </c>
      <c r="R452">
        <v>0.27614583879521087</v>
      </c>
      <c r="S452">
        <v>7.4851053414740484E-3</v>
      </c>
      <c r="T452" s="9" t="s">
        <v>40</v>
      </c>
      <c r="U452" s="9" t="s">
        <v>50</v>
      </c>
      <c r="V452" s="9" t="s">
        <v>305</v>
      </c>
      <c r="W452" s="9" t="s">
        <v>323</v>
      </c>
      <c r="X452" s="1" t="s">
        <v>31</v>
      </c>
      <c r="Y452" s="1" t="s">
        <v>31</v>
      </c>
      <c r="Z452" s="3" t="s">
        <v>31</v>
      </c>
      <c r="AA452" s="11" t="s">
        <v>31</v>
      </c>
      <c r="AB452" s="11" t="s">
        <v>31</v>
      </c>
      <c r="AC452" s="10">
        <v>4</v>
      </c>
      <c r="AD452" s="9" t="s">
        <v>34</v>
      </c>
      <c r="AE452" s="9" t="s">
        <v>35</v>
      </c>
    </row>
    <row r="453" spans="1:31" x14ac:dyDescent="0.25">
      <c r="A453" s="9" t="s">
        <v>578</v>
      </c>
      <c r="B453" s="1" t="s">
        <v>1017</v>
      </c>
      <c r="C453" s="1" t="s">
        <v>1092</v>
      </c>
      <c r="D453" s="10">
        <v>3</v>
      </c>
      <c r="E453" s="10">
        <v>2019</v>
      </c>
      <c r="F453" s="9" t="s">
        <v>28</v>
      </c>
      <c r="G453" s="9" t="s">
        <v>29</v>
      </c>
      <c r="H453" s="1">
        <v>32.97</v>
      </c>
      <c r="I453" s="1">
        <v>11.12</v>
      </c>
      <c r="J453" s="9" t="s">
        <v>30</v>
      </c>
      <c r="K453" s="1">
        <v>0.42</v>
      </c>
      <c r="L453" s="10">
        <v>38</v>
      </c>
      <c r="M453" s="3">
        <v>0</v>
      </c>
      <c r="N453" s="11">
        <v>2.7027027027027029E-2</v>
      </c>
      <c r="O453">
        <v>3</v>
      </c>
      <c r="P453" s="11">
        <v>0</v>
      </c>
      <c r="Q453" s="11">
        <v>2.8571428571428571E-2</v>
      </c>
      <c r="R453">
        <v>0</v>
      </c>
      <c r="S453">
        <v>2.7027027027027029E-2</v>
      </c>
      <c r="T453" s="9" t="s">
        <v>40</v>
      </c>
      <c r="U453" s="9" t="s">
        <v>46</v>
      </c>
      <c r="V453" s="9" t="s">
        <v>305</v>
      </c>
      <c r="W453" s="9" t="s">
        <v>307</v>
      </c>
      <c r="X453" s="1">
        <v>16.53</v>
      </c>
      <c r="Y453" s="1">
        <v>15</v>
      </c>
      <c r="Z453" s="3">
        <f t="shared" si="13"/>
        <v>1.1020000000000001</v>
      </c>
      <c r="AA453" s="11">
        <v>0</v>
      </c>
      <c r="AB453" s="11" t="s">
        <v>31</v>
      </c>
      <c r="AC453" s="10">
        <v>0</v>
      </c>
      <c r="AD453" s="9" t="s">
        <v>34</v>
      </c>
      <c r="AE453" s="9" t="s">
        <v>35</v>
      </c>
    </row>
    <row r="454" spans="1:31" x14ac:dyDescent="0.25">
      <c r="A454" s="9" t="s">
        <v>940</v>
      </c>
      <c r="B454" s="1" t="s">
        <v>496</v>
      </c>
      <c r="C454" s="1" t="s">
        <v>1093</v>
      </c>
      <c r="D454" s="10">
        <v>3</v>
      </c>
      <c r="E454" s="10">
        <v>2020</v>
      </c>
      <c r="F454" s="9" t="s">
        <v>38</v>
      </c>
      <c r="G454" s="9" t="s">
        <v>29</v>
      </c>
      <c r="H454" s="1">
        <v>79.400000000000006</v>
      </c>
      <c r="I454" s="1">
        <v>0.6</v>
      </c>
      <c r="J454" s="9" t="s">
        <v>30</v>
      </c>
      <c r="K454" s="1">
        <v>0.53100000000000003</v>
      </c>
      <c r="L454" s="10">
        <v>358</v>
      </c>
      <c r="M454" s="3">
        <v>0.115</v>
      </c>
      <c r="N454" s="11">
        <v>2.7275207300420171E-3</v>
      </c>
      <c r="O454" t="s">
        <v>919</v>
      </c>
      <c r="P454" s="11">
        <v>0.11551101944314481</v>
      </c>
      <c r="Q454" s="11">
        <v>2.8169014084507039E-3</v>
      </c>
      <c r="R454">
        <v>0.11516038072286</v>
      </c>
      <c r="S454">
        <v>2.7273166716179171E-3</v>
      </c>
      <c r="T454" s="9" t="s">
        <v>40</v>
      </c>
      <c r="U454" s="9" t="s">
        <v>50</v>
      </c>
      <c r="V454" s="9" t="s">
        <v>305</v>
      </c>
      <c r="W454" s="9" t="s">
        <v>921</v>
      </c>
      <c r="X454" s="1" t="s">
        <v>31</v>
      </c>
      <c r="Y454" s="1" t="s">
        <v>31</v>
      </c>
      <c r="Z454" s="3" t="s">
        <v>31</v>
      </c>
      <c r="AA454" s="11" t="s">
        <v>31</v>
      </c>
      <c r="AB454" s="11" t="s">
        <v>31</v>
      </c>
      <c r="AC454" s="10">
        <v>1</v>
      </c>
      <c r="AD454" s="9" t="s">
        <v>34</v>
      </c>
      <c r="AE454" s="9" t="s">
        <v>35</v>
      </c>
    </row>
    <row r="455" spans="1:31" x14ac:dyDescent="0.25">
      <c r="A455" s="9" t="s">
        <v>940</v>
      </c>
      <c r="B455" s="1" t="s">
        <v>496</v>
      </c>
      <c r="C455" s="1" t="s">
        <v>1094</v>
      </c>
      <c r="D455" s="10">
        <v>3</v>
      </c>
      <c r="E455" s="10">
        <v>2020</v>
      </c>
      <c r="F455" s="9" t="s">
        <v>38</v>
      </c>
      <c r="G455" s="9" t="s">
        <v>29</v>
      </c>
      <c r="H455" s="1">
        <v>79.400000000000006</v>
      </c>
      <c r="I455" s="1">
        <v>0.6</v>
      </c>
      <c r="J455" s="9" t="s">
        <v>30</v>
      </c>
      <c r="K455" s="1">
        <v>0.53100000000000003</v>
      </c>
      <c r="L455" s="10">
        <v>358</v>
      </c>
      <c r="M455" s="3">
        <v>0.29199999999999998</v>
      </c>
      <c r="N455" s="11">
        <v>2.3438149851428571E-3</v>
      </c>
      <c r="O455" t="s">
        <v>919</v>
      </c>
      <c r="P455" s="11">
        <v>0.3007512953244138</v>
      </c>
      <c r="Q455" s="11">
        <v>2.8169014084507039E-3</v>
      </c>
      <c r="R455">
        <v>0.29237732445441622</v>
      </c>
      <c r="S455">
        <v>2.3426851540762879E-3</v>
      </c>
      <c r="T455" s="9" t="s">
        <v>40</v>
      </c>
      <c r="U455" s="9" t="s">
        <v>50</v>
      </c>
      <c r="V455" s="9" t="s">
        <v>305</v>
      </c>
      <c r="W455" s="9" t="s">
        <v>929</v>
      </c>
      <c r="X455" s="1" t="s">
        <v>31</v>
      </c>
      <c r="Y455" s="1" t="s">
        <v>31</v>
      </c>
      <c r="Z455" s="3" t="s">
        <v>31</v>
      </c>
      <c r="AA455" s="11" t="s">
        <v>31</v>
      </c>
      <c r="AB455" s="11" t="s">
        <v>31</v>
      </c>
      <c r="AC455" s="10">
        <v>1</v>
      </c>
      <c r="AD455" s="9" t="s">
        <v>34</v>
      </c>
      <c r="AE455" s="9" t="s">
        <v>35</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58D51-0EE2-47C0-A229-D2C734F1D24F}">
  <dimension ref="A1:B103"/>
  <sheetViews>
    <sheetView tabSelected="1" workbookViewId="0">
      <selection activeCell="A81" sqref="A81"/>
    </sheetView>
  </sheetViews>
  <sheetFormatPr baseColWidth="10" defaultRowHeight="15" x14ac:dyDescent="0.25"/>
  <cols>
    <col min="1" max="1" width="17.85546875" customWidth="1"/>
    <col min="2" max="2" width="203.28515625" customWidth="1"/>
  </cols>
  <sheetData>
    <row r="1" spans="1:2" x14ac:dyDescent="0.25">
      <c r="A1" s="5" t="s">
        <v>1095</v>
      </c>
      <c r="B1" s="6" t="s">
        <v>1096</v>
      </c>
    </row>
    <row r="2" spans="1:2" x14ac:dyDescent="0.25">
      <c r="A2" s="7" t="s">
        <v>0</v>
      </c>
      <c r="B2" s="8" t="s">
        <v>1097</v>
      </c>
    </row>
    <row r="3" spans="1:2" x14ac:dyDescent="0.25">
      <c r="A3" s="7" t="s">
        <v>1</v>
      </c>
      <c r="B3" s="8" t="s">
        <v>1098</v>
      </c>
    </row>
    <row r="4" spans="1:2" x14ac:dyDescent="0.25">
      <c r="A4" s="7" t="s">
        <v>2</v>
      </c>
      <c r="B4" s="8" t="s">
        <v>1099</v>
      </c>
    </row>
    <row r="5" spans="1:2" x14ac:dyDescent="0.25">
      <c r="A5" s="7" t="s">
        <v>3</v>
      </c>
      <c r="B5" s="8" t="s">
        <v>1100</v>
      </c>
    </row>
    <row r="6" spans="1:2" x14ac:dyDescent="0.25">
      <c r="A6" s="7" t="s">
        <v>4</v>
      </c>
      <c r="B6" s="8" t="s">
        <v>1101</v>
      </c>
    </row>
    <row r="7" spans="1:2" x14ac:dyDescent="0.25">
      <c r="A7" s="7" t="s">
        <v>5</v>
      </c>
      <c r="B7" s="8" t="s">
        <v>1102</v>
      </c>
    </row>
    <row r="8" spans="1:2" x14ac:dyDescent="0.25">
      <c r="A8" s="7" t="s">
        <v>6</v>
      </c>
      <c r="B8" s="8" t="s">
        <v>1103</v>
      </c>
    </row>
    <row r="9" spans="1:2" x14ac:dyDescent="0.25">
      <c r="A9" s="7" t="s">
        <v>7</v>
      </c>
      <c r="B9" s="8" t="s">
        <v>1104</v>
      </c>
    </row>
    <row r="10" spans="1:2" x14ac:dyDescent="0.25">
      <c r="A10" s="7" t="s">
        <v>8</v>
      </c>
      <c r="B10" s="8" t="s">
        <v>1105</v>
      </c>
    </row>
    <row r="11" spans="1:2" x14ac:dyDescent="0.25">
      <c r="A11" s="7" t="s">
        <v>9</v>
      </c>
      <c r="B11" s="8" t="s">
        <v>1106</v>
      </c>
    </row>
    <row r="12" spans="1:2" x14ac:dyDescent="0.25">
      <c r="A12" s="7" t="s">
        <v>273</v>
      </c>
      <c r="B12" s="8" t="s">
        <v>1107</v>
      </c>
    </row>
    <row r="13" spans="1:2" x14ac:dyDescent="0.25">
      <c r="A13" s="7" t="s">
        <v>849</v>
      </c>
      <c r="B13" s="8" t="s">
        <v>1108</v>
      </c>
    </row>
    <row r="14" spans="1:2" x14ac:dyDescent="0.25">
      <c r="A14" s="7" t="s">
        <v>10</v>
      </c>
      <c r="B14" s="8" t="s">
        <v>1109</v>
      </c>
    </row>
    <row r="15" spans="1:2" x14ac:dyDescent="0.25">
      <c r="A15" s="7" t="s">
        <v>317</v>
      </c>
      <c r="B15" s="8" t="s">
        <v>1110</v>
      </c>
    </row>
    <row r="16" spans="1:2" x14ac:dyDescent="0.25">
      <c r="A16" s="7" t="s">
        <v>11</v>
      </c>
      <c r="B16" s="8" t="s">
        <v>1111</v>
      </c>
    </row>
    <row r="17" spans="1:2" x14ac:dyDescent="0.25">
      <c r="A17" s="7" t="s">
        <v>318</v>
      </c>
      <c r="B17" s="8" t="s">
        <v>1112</v>
      </c>
    </row>
    <row r="18" spans="1:2" x14ac:dyDescent="0.25">
      <c r="A18" s="7" t="s">
        <v>319</v>
      </c>
      <c r="B18" s="8" t="s">
        <v>1113</v>
      </c>
    </row>
    <row r="19" spans="1:2" x14ac:dyDescent="0.25">
      <c r="A19" s="7" t="s">
        <v>320</v>
      </c>
      <c r="B19" s="8" t="s">
        <v>1114</v>
      </c>
    </row>
    <row r="20" spans="1:2" x14ac:dyDescent="0.25">
      <c r="A20" s="7" t="s">
        <v>321</v>
      </c>
      <c r="B20" s="8" t="s">
        <v>1115</v>
      </c>
    </row>
    <row r="21" spans="1:2" x14ac:dyDescent="0.25">
      <c r="A21" s="7" t="s">
        <v>12</v>
      </c>
      <c r="B21" s="8" t="s">
        <v>1116</v>
      </c>
    </row>
    <row r="22" spans="1:2" x14ac:dyDescent="0.25">
      <c r="A22" s="7" t="s">
        <v>13</v>
      </c>
      <c r="B22" s="8" t="s">
        <v>1117</v>
      </c>
    </row>
    <row r="23" spans="1:2" x14ac:dyDescent="0.25">
      <c r="A23" s="7" t="s">
        <v>14</v>
      </c>
      <c r="B23" s="8" t="s">
        <v>1118</v>
      </c>
    </row>
    <row r="24" spans="1:2" x14ac:dyDescent="0.25">
      <c r="A24" s="7" t="s">
        <v>15</v>
      </c>
      <c r="B24" s="8" t="s">
        <v>1119</v>
      </c>
    </row>
    <row r="25" spans="1:2" x14ac:dyDescent="0.25">
      <c r="A25" s="7" t="s">
        <v>16</v>
      </c>
      <c r="B25" s="8" t="s">
        <v>1120</v>
      </c>
    </row>
    <row r="26" spans="1:2" x14ac:dyDescent="0.25">
      <c r="A26" s="7" t="s">
        <v>17</v>
      </c>
      <c r="B26" s="8" t="s">
        <v>1121</v>
      </c>
    </row>
    <row r="27" spans="1:2" x14ac:dyDescent="0.25">
      <c r="A27" s="7" t="s">
        <v>18</v>
      </c>
      <c r="B27" s="8" t="s">
        <v>1122</v>
      </c>
    </row>
    <row r="28" spans="1:2" x14ac:dyDescent="0.25">
      <c r="A28" s="7" t="s">
        <v>322</v>
      </c>
      <c r="B28" s="8" t="s">
        <v>1123</v>
      </c>
    </row>
    <row r="29" spans="1:2" x14ac:dyDescent="0.25">
      <c r="A29" s="7" t="s">
        <v>501</v>
      </c>
      <c r="B29" s="8" t="s">
        <v>1124</v>
      </c>
    </row>
    <row r="30" spans="1:2" x14ac:dyDescent="0.25">
      <c r="A30" s="7" t="s">
        <v>19</v>
      </c>
      <c r="B30" s="8" t="s">
        <v>1125</v>
      </c>
    </row>
    <row r="31" spans="1:2" x14ac:dyDescent="0.25">
      <c r="A31" s="7" t="s">
        <v>20</v>
      </c>
      <c r="B31" s="8" t="s">
        <v>1126</v>
      </c>
    </row>
    <row r="32" spans="1:2" x14ac:dyDescent="0.25">
      <c r="A32" s="7" t="s">
        <v>21</v>
      </c>
      <c r="B32" s="8" t="s">
        <v>1127</v>
      </c>
    </row>
    <row r="33" spans="1:2" x14ac:dyDescent="0.25">
      <c r="A33" s="7" t="s">
        <v>22</v>
      </c>
      <c r="B33" s="8" t="s">
        <v>1128</v>
      </c>
    </row>
    <row r="34" spans="1:2" x14ac:dyDescent="0.25">
      <c r="A34" s="7" t="s">
        <v>23</v>
      </c>
      <c r="B34" s="8" t="s">
        <v>1129</v>
      </c>
    </row>
    <row r="35" spans="1:2" x14ac:dyDescent="0.25">
      <c r="A35" s="7" t="s">
        <v>24</v>
      </c>
      <c r="B35" s="8" t="s">
        <v>1130</v>
      </c>
    </row>
    <row r="37" spans="1:2" x14ac:dyDescent="0.25">
      <c r="A37" s="5" t="s">
        <v>1131</v>
      </c>
      <c r="B37" s="6" t="s">
        <v>1132</v>
      </c>
    </row>
    <row r="38" spans="1:2" x14ac:dyDescent="0.25">
      <c r="A38" s="7" t="s">
        <v>1133</v>
      </c>
      <c r="B38" s="8" t="s">
        <v>1134</v>
      </c>
    </row>
    <row r="39" spans="1:2" x14ac:dyDescent="0.25">
      <c r="A39" s="7" t="s">
        <v>1135</v>
      </c>
      <c r="B39" s="8" t="s">
        <v>1136</v>
      </c>
    </row>
    <row r="40" spans="1:2" x14ac:dyDescent="0.25">
      <c r="A40" s="7" t="s">
        <v>1137</v>
      </c>
      <c r="B40" s="8" t="s">
        <v>1138</v>
      </c>
    </row>
    <row r="41" spans="1:2" x14ac:dyDescent="0.25">
      <c r="A41" s="7" t="s">
        <v>1139</v>
      </c>
      <c r="B41" s="8" t="s">
        <v>1140</v>
      </c>
    </row>
    <row r="42" spans="1:2" x14ac:dyDescent="0.25">
      <c r="A42" s="7" t="s">
        <v>1141</v>
      </c>
      <c r="B42" s="8" t="s">
        <v>1142</v>
      </c>
    </row>
    <row r="43" spans="1:2" x14ac:dyDescent="0.25">
      <c r="A43" s="7" t="s">
        <v>1143</v>
      </c>
      <c r="B43" s="8" t="s">
        <v>1144</v>
      </c>
    </row>
    <row r="44" spans="1:2" x14ac:dyDescent="0.25">
      <c r="A44" s="7" t="s">
        <v>1145</v>
      </c>
      <c r="B44" s="8" t="s">
        <v>1146</v>
      </c>
    </row>
    <row r="45" spans="1:2" x14ac:dyDescent="0.25">
      <c r="A45" s="7" t="s">
        <v>324</v>
      </c>
      <c r="B45" s="8" t="s">
        <v>1147</v>
      </c>
    </row>
    <row r="46" spans="1:2" x14ac:dyDescent="0.25">
      <c r="A46" s="7" t="s">
        <v>1148</v>
      </c>
      <c r="B46" s="8" t="s">
        <v>1149</v>
      </c>
    </row>
    <row r="47" spans="1:2" x14ac:dyDescent="0.25">
      <c r="A47" s="7" t="s">
        <v>1150</v>
      </c>
      <c r="B47" s="8" t="s">
        <v>1151</v>
      </c>
    </row>
    <row r="48" spans="1:2" x14ac:dyDescent="0.25">
      <c r="A48" s="7" t="s">
        <v>1152</v>
      </c>
      <c r="B48" s="8" t="s">
        <v>1153</v>
      </c>
    </row>
    <row r="49" spans="1:2" x14ac:dyDescent="0.25">
      <c r="A49" s="7" t="s">
        <v>1154</v>
      </c>
      <c r="B49" s="8" t="s">
        <v>1155</v>
      </c>
    </row>
    <row r="50" spans="1:2" x14ac:dyDescent="0.25">
      <c r="A50" s="7" t="s">
        <v>1156</v>
      </c>
      <c r="B50" s="8" t="s">
        <v>1157</v>
      </c>
    </row>
    <row r="51" spans="1:2" x14ac:dyDescent="0.25">
      <c r="A51" s="7" t="s">
        <v>1158</v>
      </c>
      <c r="B51" s="8" t="s">
        <v>1159</v>
      </c>
    </row>
    <row r="52" spans="1:2" x14ac:dyDescent="0.25">
      <c r="A52" s="7" t="s">
        <v>1160</v>
      </c>
      <c r="B52" s="8" t="s">
        <v>1161</v>
      </c>
    </row>
    <row r="53" spans="1:2" x14ac:dyDescent="0.25">
      <c r="A53" s="7" t="s">
        <v>912</v>
      </c>
      <c r="B53" s="8" t="s">
        <v>1162</v>
      </c>
    </row>
    <row r="54" spans="1:2" x14ac:dyDescent="0.25">
      <c r="A54" s="7" t="s">
        <v>951</v>
      </c>
      <c r="B54" s="8" t="s">
        <v>1163</v>
      </c>
    </row>
    <row r="55" spans="1:2" x14ac:dyDescent="0.25">
      <c r="A55" s="7" t="s">
        <v>1164</v>
      </c>
      <c r="B55" s="8" t="s">
        <v>1165</v>
      </c>
    </row>
    <row r="56" spans="1:2" x14ac:dyDescent="0.25">
      <c r="A56" s="7" t="s">
        <v>346</v>
      </c>
      <c r="B56" s="8" t="s">
        <v>1166</v>
      </c>
    </row>
    <row r="57" spans="1:2" x14ac:dyDescent="0.25">
      <c r="A57" s="7" t="s">
        <v>1167</v>
      </c>
      <c r="B57" s="8" t="s">
        <v>1168</v>
      </c>
    </row>
    <row r="58" spans="1:2" x14ac:dyDescent="0.25">
      <c r="A58" s="7" t="s">
        <v>288</v>
      </c>
      <c r="B58" s="8" t="s">
        <v>1169</v>
      </c>
    </row>
    <row r="59" spans="1:2" x14ac:dyDescent="0.25">
      <c r="A59" s="7" t="s">
        <v>1170</v>
      </c>
      <c r="B59" s="8" t="s">
        <v>1171</v>
      </c>
    </row>
    <row r="60" spans="1:2" x14ac:dyDescent="0.25">
      <c r="A60" s="7" t="s">
        <v>1172</v>
      </c>
      <c r="B60" s="8" t="s">
        <v>1173</v>
      </c>
    </row>
    <row r="61" spans="1:2" x14ac:dyDescent="0.25">
      <c r="A61" s="7" t="s">
        <v>1174</v>
      </c>
      <c r="B61" s="8" t="s">
        <v>1175</v>
      </c>
    </row>
    <row r="62" spans="1:2" x14ac:dyDescent="0.25">
      <c r="A62" s="7" t="s">
        <v>1176</v>
      </c>
      <c r="B62" s="8" t="s">
        <v>1177</v>
      </c>
    </row>
    <row r="63" spans="1:2" x14ac:dyDescent="0.25">
      <c r="A63" s="7" t="s">
        <v>344</v>
      </c>
      <c r="B63" s="8" t="s">
        <v>1178</v>
      </c>
    </row>
    <row r="64" spans="1:2" x14ac:dyDescent="0.25">
      <c r="A64" s="7" t="s">
        <v>115</v>
      </c>
      <c r="B64" s="8" t="s">
        <v>1179</v>
      </c>
    </row>
    <row r="65" spans="1:2" x14ac:dyDescent="0.25">
      <c r="A65" s="7" t="s">
        <v>1180</v>
      </c>
      <c r="B65" s="8" t="s">
        <v>1181</v>
      </c>
    </row>
    <row r="66" spans="1:2" x14ac:dyDescent="0.25">
      <c r="A66" s="7" t="s">
        <v>1182</v>
      </c>
      <c r="B66" s="8" t="s">
        <v>1183</v>
      </c>
    </row>
    <row r="67" spans="1:2" x14ac:dyDescent="0.25">
      <c r="A67" s="7" t="s">
        <v>330</v>
      </c>
      <c r="B67" s="8" t="s">
        <v>1184</v>
      </c>
    </row>
    <row r="68" spans="1:2" x14ac:dyDescent="0.25">
      <c r="A68" s="7" t="s">
        <v>1185</v>
      </c>
      <c r="B68" s="8" t="s">
        <v>1186</v>
      </c>
    </row>
    <row r="69" spans="1:2" x14ac:dyDescent="0.25">
      <c r="A69" s="7" t="s">
        <v>1187</v>
      </c>
      <c r="B69" s="8" t="s">
        <v>1188</v>
      </c>
    </row>
    <row r="70" spans="1:2" x14ac:dyDescent="0.25">
      <c r="A70" s="7" t="s">
        <v>950</v>
      </c>
      <c r="B70" s="8" t="s">
        <v>1189</v>
      </c>
    </row>
    <row r="71" spans="1:2" x14ac:dyDescent="0.25">
      <c r="A71" s="7" t="s">
        <v>266</v>
      </c>
      <c r="B71" s="8" t="s">
        <v>1190</v>
      </c>
    </row>
    <row r="72" spans="1:2" x14ac:dyDescent="0.25">
      <c r="A72" s="7" t="s">
        <v>1191</v>
      </c>
      <c r="B72" s="8" t="s">
        <v>1192</v>
      </c>
    </row>
    <row r="73" spans="1:2" x14ac:dyDescent="0.25">
      <c r="A73" s="7" t="s">
        <v>1193</v>
      </c>
      <c r="B73" s="8" t="s">
        <v>1194</v>
      </c>
    </row>
    <row r="74" spans="1:2" x14ac:dyDescent="0.25">
      <c r="A74" s="7" t="s">
        <v>1195</v>
      </c>
      <c r="B74" s="8" t="s">
        <v>1196</v>
      </c>
    </row>
    <row r="75" spans="1:2" x14ac:dyDescent="0.25">
      <c r="A75" s="7" t="s">
        <v>1197</v>
      </c>
      <c r="B75" s="8" t="s">
        <v>1198</v>
      </c>
    </row>
    <row r="76" spans="1:2" x14ac:dyDescent="0.25">
      <c r="A76" s="7" t="s">
        <v>258</v>
      </c>
      <c r="B76" s="8" t="s">
        <v>1199</v>
      </c>
    </row>
    <row r="77" spans="1:2" x14ac:dyDescent="0.25">
      <c r="A77" s="7" t="s">
        <v>1200</v>
      </c>
      <c r="B77" s="8" t="s">
        <v>1201</v>
      </c>
    </row>
    <row r="78" spans="1:2" x14ac:dyDescent="0.25">
      <c r="A78" s="7" t="s">
        <v>1202</v>
      </c>
      <c r="B78" s="8" t="s">
        <v>1203</v>
      </c>
    </row>
    <row r="79" spans="1:2" x14ac:dyDescent="0.25">
      <c r="A79" s="7" t="s">
        <v>918</v>
      </c>
      <c r="B79" t="s">
        <v>1204</v>
      </c>
    </row>
    <row r="81" spans="1:2" x14ac:dyDescent="0.25">
      <c r="A81" s="5" t="s">
        <v>1205</v>
      </c>
      <c r="B81" s="6" t="s">
        <v>1206</v>
      </c>
    </row>
    <row r="82" spans="1:2" x14ac:dyDescent="0.25">
      <c r="A82" s="7" t="s">
        <v>1207</v>
      </c>
      <c r="B82" s="8" t="s">
        <v>1208</v>
      </c>
    </row>
    <row r="83" spans="1:2" x14ac:dyDescent="0.25">
      <c r="A83" s="7" t="s">
        <v>1209</v>
      </c>
      <c r="B83" s="8" t="s">
        <v>1210</v>
      </c>
    </row>
    <row r="84" spans="1:2" x14ac:dyDescent="0.25">
      <c r="A84" s="7" t="s">
        <v>1211</v>
      </c>
      <c r="B84" s="8" t="s">
        <v>867</v>
      </c>
    </row>
    <row r="85" spans="1:2" x14ac:dyDescent="0.25">
      <c r="A85" s="7" t="s">
        <v>1212</v>
      </c>
      <c r="B85" s="8" t="s">
        <v>1213</v>
      </c>
    </row>
    <row r="86" spans="1:2" x14ac:dyDescent="0.25">
      <c r="A86" s="7" t="s">
        <v>1214</v>
      </c>
      <c r="B86" s="8" t="s">
        <v>1215</v>
      </c>
    </row>
    <row r="87" spans="1:2" x14ac:dyDescent="0.25">
      <c r="A87" s="7" t="s">
        <v>1216</v>
      </c>
      <c r="B87" s="8" t="s">
        <v>1217</v>
      </c>
    </row>
    <row r="88" spans="1:2" x14ac:dyDescent="0.25">
      <c r="A88" s="7" t="s">
        <v>1218</v>
      </c>
      <c r="B88" s="8" t="s">
        <v>1219</v>
      </c>
    </row>
    <row r="89" spans="1:2" x14ac:dyDescent="0.25">
      <c r="A89" s="7" t="s">
        <v>1220</v>
      </c>
      <c r="B89" s="8" t="s">
        <v>1221</v>
      </c>
    </row>
    <row r="90" spans="1:2" x14ac:dyDescent="0.25">
      <c r="A90" s="7" t="s">
        <v>1222</v>
      </c>
      <c r="B90" s="8" t="s">
        <v>1223</v>
      </c>
    </row>
    <row r="91" spans="1:2" x14ac:dyDescent="0.25">
      <c r="A91" s="7" t="s">
        <v>1224</v>
      </c>
      <c r="B91" s="8" t="s">
        <v>1225</v>
      </c>
    </row>
    <row r="92" spans="1:2" x14ac:dyDescent="0.25">
      <c r="A92" s="7" t="s">
        <v>1226</v>
      </c>
      <c r="B92" s="8" t="s">
        <v>1227</v>
      </c>
    </row>
    <row r="93" spans="1:2" x14ac:dyDescent="0.25">
      <c r="A93" s="7" t="s">
        <v>1228</v>
      </c>
      <c r="B93" s="8" t="s">
        <v>1229</v>
      </c>
    </row>
    <row r="94" spans="1:2" x14ac:dyDescent="0.25">
      <c r="A94" s="7" t="s">
        <v>1230</v>
      </c>
      <c r="B94" s="8" t="s">
        <v>1231</v>
      </c>
    </row>
    <row r="95" spans="1:2" x14ac:dyDescent="0.25">
      <c r="A95" s="7" t="s">
        <v>1232</v>
      </c>
      <c r="B95" s="8" t="s">
        <v>1233</v>
      </c>
    </row>
    <row r="96" spans="1:2" x14ac:dyDescent="0.25">
      <c r="A96" s="7" t="s">
        <v>1234</v>
      </c>
      <c r="B96" s="8" t="s">
        <v>1235</v>
      </c>
    </row>
    <row r="97" spans="1:2" x14ac:dyDescent="0.25">
      <c r="A97" s="7" t="s">
        <v>1236</v>
      </c>
      <c r="B97" s="8" t="s">
        <v>1237</v>
      </c>
    </row>
    <row r="98" spans="1:2" x14ac:dyDescent="0.25">
      <c r="A98" s="7" t="s">
        <v>1238</v>
      </c>
      <c r="B98" s="8" t="s">
        <v>1239</v>
      </c>
    </row>
    <row r="99" spans="1:2" x14ac:dyDescent="0.25">
      <c r="A99" s="7" t="s">
        <v>1240</v>
      </c>
      <c r="B99" s="8" t="s">
        <v>1241</v>
      </c>
    </row>
    <row r="100" spans="1:2" x14ac:dyDescent="0.25">
      <c r="A100" s="7" t="s">
        <v>1242</v>
      </c>
      <c r="B100" s="8" t="s">
        <v>1243</v>
      </c>
    </row>
    <row r="101" spans="1:2" x14ac:dyDescent="0.25">
      <c r="A101" s="7" t="s">
        <v>1244</v>
      </c>
      <c r="B101" s="8" t="s">
        <v>1245</v>
      </c>
    </row>
    <row r="102" spans="1:2" x14ac:dyDescent="0.25">
      <c r="A102" s="7" t="s">
        <v>1246</v>
      </c>
      <c r="B102" s="8" t="s">
        <v>1247</v>
      </c>
    </row>
    <row r="103" spans="1:2" x14ac:dyDescent="0.25">
      <c r="A103" s="7" t="s">
        <v>1248</v>
      </c>
      <c r="B103" s="8" t="s">
        <v>1249</v>
      </c>
    </row>
  </sheetData>
  <pageMargins left="0.7" right="0.7" top="0.78740157499999996" bottom="0.78740157499999996"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FSIQ</vt:lpstr>
      <vt:lpstr>verbal</vt:lpstr>
      <vt:lpstr>performance</vt:lpstr>
      <vt:lpstr>RVE_FSIQ</vt:lpstr>
      <vt:lpstr>RVE_VIQ</vt:lpstr>
      <vt:lpstr>RVE_PIQ</vt:lpstr>
      <vt:lpstr>RVE_all</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random</dc:creator>
  <cp:lastModifiedBy>random</cp:lastModifiedBy>
  <dcterms:created xsi:type="dcterms:W3CDTF">2015-06-05T18:19:34Z</dcterms:created>
  <dcterms:modified xsi:type="dcterms:W3CDTF">2021-09-02T11:06:48Z</dcterms:modified>
</cp:coreProperties>
</file>